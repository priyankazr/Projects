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excel\Excel Challenge Formula\"/>
    </mc:Choice>
  </mc:AlternateContent>
  <xr:revisionPtr revIDLastSave="0" documentId="13_ncr:1_{B212DE7A-B5F3-4885-921B-8097EC742C38}" xr6:coauthVersionLast="47" xr6:coauthVersionMax="47" xr10:uidLastSave="{00000000-0000-0000-0000-000000000000}"/>
  <bookViews>
    <workbookView xWindow="9510" yWindow="0" windowWidth="9780" windowHeight="10170" firstSheet="2" activeTab="3" xr2:uid="{46EF5C54-FFF4-434F-8A91-DB58B5D485CE}"/>
  </bookViews>
  <sheets>
    <sheet name="inventory_transactions(lookups)" sheetId="1" r:id="rId1"/>
    <sheet name="product_masterlist(ifs)" sheetId="2" r:id="rId2"/>
    <sheet name="product_summary (Hlookup)" sheetId="3" r:id="rId3"/>
    <sheet name="inventory_transactions(countif)" sheetId="4" r:id="rId4"/>
  </sheets>
  <definedNames>
    <definedName name="_xlnm._FilterDatabase" localSheetId="3" hidden="1">'inventory_transactions(countif)'!$A$1:$K$1416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4" l="1"/>
  <c r="R31" i="4"/>
  <c r="R24" i="4"/>
  <c r="O19" i="4"/>
  <c r="O6" i="4"/>
  <c r="O45" i="4"/>
  <c r="N45" i="4"/>
  <c r="N38" i="4"/>
  <c r="B20" i="3"/>
  <c r="B19" i="3"/>
  <c r="C19" i="3"/>
  <c r="D19" i="3"/>
  <c r="E19" i="3"/>
  <c r="F19" i="3"/>
  <c r="G19" i="3"/>
  <c r="C20" i="3"/>
  <c r="D20" i="3"/>
  <c r="E20" i="3"/>
  <c r="F20" i="3"/>
  <c r="G20" i="3"/>
  <c r="J3" i="2" a="1"/>
  <c r="J3" i="2" s="1"/>
  <c r="J2" i="2" a="1"/>
  <c r="J2" i="2" s="1"/>
  <c r="K2" i="1"/>
  <c r="J2" i="1"/>
  <c r="J6" i="2" a="1"/>
  <c r="J6" i="2" s="1"/>
  <c r="J4" i="2" a="1"/>
  <c r="J4" i="2"/>
  <c r="J5" i="2" a="1"/>
  <c r="J5" i="2"/>
  <c r="J7" i="2" a="1"/>
  <c r="J7" i="2" s="1"/>
  <c r="J8" i="2" a="1"/>
  <c r="J8" i="2"/>
  <c r="U33" i="4"/>
  <c r="U32" i="4"/>
  <c r="U31" i="4"/>
  <c r="T33" i="4"/>
  <c r="T32" i="4"/>
  <c r="T31" i="4"/>
  <c r="S33" i="4"/>
  <c r="S32" i="4"/>
  <c r="S31" i="4"/>
  <c r="R33" i="4"/>
  <c r="R32" i="4"/>
  <c r="N30" i="4" a="1"/>
  <c r="N30" i="4" s="1"/>
  <c r="P22" i="4"/>
  <c r="P12" i="4"/>
  <c r="K1416" i="4"/>
  <c r="J1416" i="4"/>
  <c r="K1415" i="4"/>
  <c r="J1415" i="4"/>
  <c r="K1414" i="4"/>
  <c r="J1414" i="4"/>
  <c r="K1413" i="4"/>
  <c r="J1413" i="4"/>
  <c r="K1412" i="4"/>
  <c r="J1412" i="4"/>
  <c r="K1411" i="4"/>
  <c r="J1411" i="4"/>
  <c r="K1410" i="4"/>
  <c r="J1410" i="4"/>
  <c r="K1409" i="4"/>
  <c r="J1409" i="4"/>
  <c r="K1408" i="4"/>
  <c r="J1408" i="4"/>
  <c r="K1407" i="4"/>
  <c r="J1407" i="4"/>
  <c r="K1406" i="4"/>
  <c r="J1406" i="4"/>
  <c r="K1405" i="4"/>
  <c r="J1405" i="4"/>
  <c r="K1404" i="4"/>
  <c r="J1404" i="4"/>
  <c r="K1403" i="4"/>
  <c r="J1403" i="4"/>
  <c r="K1402" i="4"/>
  <c r="J1402" i="4"/>
  <c r="K1401" i="4"/>
  <c r="J1401" i="4"/>
  <c r="K1400" i="4"/>
  <c r="J1400" i="4"/>
  <c r="K1399" i="4"/>
  <c r="J1399" i="4"/>
  <c r="K1398" i="4"/>
  <c r="J1398" i="4"/>
  <c r="K1397" i="4"/>
  <c r="J1397" i="4"/>
  <c r="K1396" i="4"/>
  <c r="J1396" i="4"/>
  <c r="K1395" i="4"/>
  <c r="J1395" i="4"/>
  <c r="K1394" i="4"/>
  <c r="J1394" i="4"/>
  <c r="K1393" i="4"/>
  <c r="J1393" i="4"/>
  <c r="K1392" i="4"/>
  <c r="J1392" i="4"/>
  <c r="K1391" i="4"/>
  <c r="J1391" i="4"/>
  <c r="K1390" i="4"/>
  <c r="J1390" i="4"/>
  <c r="K1389" i="4"/>
  <c r="J1389" i="4"/>
  <c r="K1388" i="4"/>
  <c r="J1388" i="4"/>
  <c r="K1387" i="4"/>
  <c r="J1387" i="4"/>
  <c r="K1386" i="4"/>
  <c r="J1386" i="4"/>
  <c r="K1385" i="4"/>
  <c r="J1385" i="4"/>
  <c r="K1384" i="4"/>
  <c r="J1384" i="4"/>
  <c r="K1383" i="4"/>
  <c r="J1383" i="4"/>
  <c r="K1382" i="4"/>
  <c r="J1382" i="4"/>
  <c r="K1381" i="4"/>
  <c r="J1381" i="4"/>
  <c r="K1380" i="4"/>
  <c r="J1380" i="4"/>
  <c r="K1379" i="4"/>
  <c r="J1379" i="4"/>
  <c r="K1378" i="4"/>
  <c r="J1378" i="4"/>
  <c r="K1377" i="4"/>
  <c r="J1377" i="4"/>
  <c r="K1376" i="4"/>
  <c r="J1376" i="4"/>
  <c r="K1375" i="4"/>
  <c r="J1375" i="4"/>
  <c r="K1374" i="4"/>
  <c r="J1374" i="4"/>
  <c r="K1373" i="4"/>
  <c r="J1373" i="4"/>
  <c r="K1372" i="4"/>
  <c r="J1372" i="4"/>
  <c r="K1371" i="4"/>
  <c r="J1371" i="4"/>
  <c r="K1370" i="4"/>
  <c r="J1370" i="4"/>
  <c r="K1369" i="4"/>
  <c r="J1369" i="4"/>
  <c r="K1368" i="4"/>
  <c r="J1368" i="4"/>
  <c r="K1367" i="4"/>
  <c r="J1367" i="4"/>
  <c r="K1366" i="4"/>
  <c r="J1366" i="4"/>
  <c r="K1365" i="4"/>
  <c r="J1365" i="4"/>
  <c r="K1364" i="4"/>
  <c r="J1364" i="4"/>
  <c r="K1363" i="4"/>
  <c r="J1363" i="4"/>
  <c r="K1362" i="4"/>
  <c r="J1362" i="4"/>
  <c r="K1361" i="4"/>
  <c r="J1361" i="4"/>
  <c r="K1360" i="4"/>
  <c r="J1360" i="4"/>
  <c r="K1359" i="4"/>
  <c r="J1359" i="4"/>
  <c r="K1358" i="4"/>
  <c r="J1358" i="4"/>
  <c r="K1357" i="4"/>
  <c r="J1357" i="4"/>
  <c r="K1356" i="4"/>
  <c r="J1356" i="4"/>
  <c r="K1355" i="4"/>
  <c r="J1355" i="4"/>
  <c r="K1354" i="4"/>
  <c r="J1354" i="4"/>
  <c r="K1353" i="4"/>
  <c r="J1353" i="4"/>
  <c r="K1352" i="4"/>
  <c r="J1352" i="4"/>
  <c r="K1351" i="4"/>
  <c r="J1351" i="4"/>
  <c r="K1350" i="4"/>
  <c r="J1350" i="4"/>
  <c r="K1349" i="4"/>
  <c r="J1349" i="4"/>
  <c r="K1348" i="4"/>
  <c r="J1348" i="4"/>
  <c r="K1347" i="4"/>
  <c r="J1347" i="4"/>
  <c r="K1346" i="4"/>
  <c r="J1346" i="4"/>
  <c r="K1345" i="4"/>
  <c r="J1345" i="4"/>
  <c r="K1344" i="4"/>
  <c r="J1344" i="4"/>
  <c r="K1343" i="4"/>
  <c r="J1343" i="4"/>
  <c r="K1342" i="4"/>
  <c r="J1342" i="4"/>
  <c r="K1341" i="4"/>
  <c r="J1341" i="4"/>
  <c r="K1340" i="4"/>
  <c r="J1340" i="4"/>
  <c r="K1339" i="4"/>
  <c r="J1339" i="4"/>
  <c r="K1338" i="4"/>
  <c r="J1338" i="4"/>
  <c r="K1337" i="4"/>
  <c r="J1337" i="4"/>
  <c r="K1336" i="4"/>
  <c r="J1336" i="4"/>
  <c r="K1335" i="4"/>
  <c r="J1335" i="4"/>
  <c r="K1334" i="4"/>
  <c r="J1334" i="4"/>
  <c r="K1333" i="4"/>
  <c r="J1333" i="4"/>
  <c r="K1332" i="4"/>
  <c r="J1332" i="4"/>
  <c r="K1331" i="4"/>
  <c r="J1331" i="4"/>
  <c r="K1330" i="4"/>
  <c r="J1330" i="4"/>
  <c r="K1329" i="4"/>
  <c r="J1329" i="4"/>
  <c r="K1328" i="4"/>
  <c r="J1328" i="4"/>
  <c r="K1327" i="4"/>
  <c r="J1327" i="4"/>
  <c r="K1326" i="4"/>
  <c r="J1326" i="4"/>
  <c r="K1325" i="4"/>
  <c r="J1325" i="4"/>
  <c r="K1324" i="4"/>
  <c r="J1324" i="4"/>
  <c r="K1323" i="4"/>
  <c r="J1323" i="4"/>
  <c r="K1322" i="4"/>
  <c r="J1322" i="4"/>
  <c r="K1321" i="4"/>
  <c r="J1321" i="4"/>
  <c r="K1320" i="4"/>
  <c r="J1320" i="4"/>
  <c r="K1319" i="4"/>
  <c r="J1319" i="4"/>
  <c r="K1318" i="4"/>
  <c r="J1318" i="4"/>
  <c r="K1317" i="4"/>
  <c r="J1317" i="4"/>
  <c r="K1316" i="4"/>
  <c r="J1316" i="4"/>
  <c r="K1315" i="4"/>
  <c r="J1315" i="4"/>
  <c r="K1314" i="4"/>
  <c r="J1314" i="4"/>
  <c r="K1313" i="4"/>
  <c r="J1313" i="4"/>
  <c r="K1312" i="4"/>
  <c r="J1312" i="4"/>
  <c r="K1311" i="4"/>
  <c r="J1311" i="4"/>
  <c r="K1310" i="4"/>
  <c r="J1310" i="4"/>
  <c r="K1309" i="4"/>
  <c r="J1309" i="4"/>
  <c r="K1308" i="4"/>
  <c r="J1308" i="4"/>
  <c r="K1307" i="4"/>
  <c r="J1307" i="4"/>
  <c r="K1306" i="4"/>
  <c r="J1306" i="4"/>
  <c r="K1305" i="4"/>
  <c r="J1305" i="4"/>
  <c r="K1304" i="4"/>
  <c r="J1304" i="4"/>
  <c r="K1303" i="4"/>
  <c r="J1303" i="4"/>
  <c r="K1302" i="4"/>
  <c r="J1302" i="4"/>
  <c r="K1301" i="4"/>
  <c r="J1301" i="4"/>
  <c r="K1300" i="4"/>
  <c r="J1300" i="4"/>
  <c r="K1299" i="4"/>
  <c r="J1299" i="4"/>
  <c r="K1298" i="4"/>
  <c r="J1298" i="4"/>
  <c r="K1297" i="4"/>
  <c r="J1297" i="4"/>
  <c r="K1296" i="4"/>
  <c r="J1296" i="4"/>
  <c r="K1295" i="4"/>
  <c r="J1295" i="4"/>
  <c r="K1294" i="4"/>
  <c r="J1294" i="4"/>
  <c r="K1293" i="4"/>
  <c r="J1293" i="4"/>
  <c r="K1292" i="4"/>
  <c r="J1292" i="4"/>
  <c r="K1291" i="4"/>
  <c r="J1291" i="4"/>
  <c r="K1290" i="4"/>
  <c r="J1290" i="4"/>
  <c r="K1289" i="4"/>
  <c r="J1289" i="4"/>
  <c r="K1288" i="4"/>
  <c r="J1288" i="4"/>
  <c r="K1287" i="4"/>
  <c r="J1287" i="4"/>
  <c r="K1286" i="4"/>
  <c r="J1286" i="4"/>
  <c r="K1285" i="4"/>
  <c r="J1285" i="4"/>
  <c r="K1284" i="4"/>
  <c r="J1284" i="4"/>
  <c r="K1283" i="4"/>
  <c r="J1283" i="4"/>
  <c r="K1282" i="4"/>
  <c r="J1282" i="4"/>
  <c r="K1281" i="4"/>
  <c r="J1281" i="4"/>
  <c r="K1280" i="4"/>
  <c r="J1280" i="4"/>
  <c r="K1279" i="4"/>
  <c r="J1279" i="4"/>
  <c r="K1278" i="4"/>
  <c r="J1278" i="4"/>
  <c r="K1277" i="4"/>
  <c r="J1277" i="4"/>
  <c r="K1276" i="4"/>
  <c r="J1276" i="4"/>
  <c r="K1275" i="4"/>
  <c r="J1275" i="4"/>
  <c r="K1274" i="4"/>
  <c r="J1274" i="4"/>
  <c r="K1273" i="4"/>
  <c r="J1273" i="4"/>
  <c r="K1272" i="4"/>
  <c r="J1272" i="4"/>
  <c r="K1271" i="4"/>
  <c r="J1271" i="4"/>
  <c r="K1270" i="4"/>
  <c r="J1270" i="4"/>
  <c r="K1269" i="4"/>
  <c r="J1269" i="4"/>
  <c r="K1268" i="4"/>
  <c r="J1268" i="4"/>
  <c r="K1267" i="4"/>
  <c r="J1267" i="4"/>
  <c r="K1266" i="4"/>
  <c r="J1266" i="4"/>
  <c r="K1265" i="4"/>
  <c r="J1265" i="4"/>
  <c r="K1264" i="4"/>
  <c r="J1264" i="4"/>
  <c r="K1263" i="4"/>
  <c r="J1263" i="4"/>
  <c r="K1262" i="4"/>
  <c r="J1262" i="4"/>
  <c r="K1261" i="4"/>
  <c r="J1261" i="4"/>
  <c r="K1260" i="4"/>
  <c r="J1260" i="4"/>
  <c r="K1259" i="4"/>
  <c r="J1259" i="4"/>
  <c r="K1258" i="4"/>
  <c r="J1258" i="4"/>
  <c r="K1257" i="4"/>
  <c r="J1257" i="4"/>
  <c r="K1256" i="4"/>
  <c r="J1256" i="4"/>
  <c r="K1255" i="4"/>
  <c r="J1255" i="4"/>
  <c r="K1254" i="4"/>
  <c r="J1254" i="4"/>
  <c r="K1253" i="4"/>
  <c r="J1253" i="4"/>
  <c r="K1252" i="4"/>
  <c r="J1252" i="4"/>
  <c r="K1251" i="4"/>
  <c r="J1251" i="4"/>
  <c r="K1250" i="4"/>
  <c r="J1250" i="4"/>
  <c r="K1249" i="4"/>
  <c r="J1249" i="4"/>
  <c r="K1248" i="4"/>
  <c r="J1248" i="4"/>
  <c r="K1247" i="4"/>
  <c r="J1247" i="4"/>
  <c r="K1246" i="4"/>
  <c r="J1246" i="4"/>
  <c r="K1245" i="4"/>
  <c r="J1245" i="4"/>
  <c r="K1244" i="4"/>
  <c r="J1244" i="4"/>
  <c r="K1243" i="4"/>
  <c r="J1243" i="4"/>
  <c r="K1242" i="4"/>
  <c r="J1242" i="4"/>
  <c r="K1241" i="4"/>
  <c r="J1241" i="4"/>
  <c r="K1240" i="4"/>
  <c r="J1240" i="4"/>
  <c r="K1239" i="4"/>
  <c r="J1239" i="4"/>
  <c r="K1238" i="4"/>
  <c r="J1238" i="4"/>
  <c r="K1237" i="4"/>
  <c r="J1237" i="4"/>
  <c r="K1236" i="4"/>
  <c r="J1236" i="4"/>
  <c r="K1235" i="4"/>
  <c r="J1235" i="4"/>
  <c r="K1234" i="4"/>
  <c r="J1234" i="4"/>
  <c r="K1233" i="4"/>
  <c r="J1233" i="4"/>
  <c r="K1232" i="4"/>
  <c r="J1232" i="4"/>
  <c r="K1231" i="4"/>
  <c r="J1231" i="4"/>
  <c r="K1230" i="4"/>
  <c r="J1230" i="4"/>
  <c r="K1229" i="4"/>
  <c r="J1229" i="4"/>
  <c r="K1228" i="4"/>
  <c r="J1228" i="4"/>
  <c r="K1227" i="4"/>
  <c r="J1227" i="4"/>
  <c r="K1226" i="4"/>
  <c r="J1226" i="4"/>
  <c r="K1225" i="4"/>
  <c r="J1225" i="4"/>
  <c r="K1224" i="4"/>
  <c r="J1224" i="4"/>
  <c r="K1223" i="4"/>
  <c r="J1223" i="4"/>
  <c r="K1222" i="4"/>
  <c r="J1222" i="4"/>
  <c r="K1221" i="4"/>
  <c r="J1221" i="4"/>
  <c r="K1220" i="4"/>
  <c r="J1220" i="4"/>
  <c r="K1219" i="4"/>
  <c r="J1219" i="4"/>
  <c r="K1218" i="4"/>
  <c r="J1218" i="4"/>
  <c r="K1217" i="4"/>
  <c r="J1217" i="4"/>
  <c r="K1216" i="4"/>
  <c r="J1216" i="4"/>
  <c r="K1215" i="4"/>
  <c r="J1215" i="4"/>
  <c r="K1214" i="4"/>
  <c r="J1214" i="4"/>
  <c r="K1213" i="4"/>
  <c r="J1213" i="4"/>
  <c r="K1212" i="4"/>
  <c r="J1212" i="4"/>
  <c r="K1211" i="4"/>
  <c r="J1211" i="4"/>
  <c r="K1210" i="4"/>
  <c r="J1210" i="4"/>
  <c r="K1209" i="4"/>
  <c r="J1209" i="4"/>
  <c r="K1208" i="4"/>
  <c r="J1208" i="4"/>
  <c r="K1207" i="4"/>
  <c r="J1207" i="4"/>
  <c r="K1206" i="4"/>
  <c r="J1206" i="4"/>
  <c r="K1205" i="4"/>
  <c r="J1205" i="4"/>
  <c r="K1204" i="4"/>
  <c r="J1204" i="4"/>
  <c r="K1203" i="4"/>
  <c r="J1203" i="4"/>
  <c r="K1202" i="4"/>
  <c r="J1202" i="4"/>
  <c r="K1201" i="4"/>
  <c r="J1201" i="4"/>
  <c r="K1200" i="4"/>
  <c r="J1200" i="4"/>
  <c r="K1199" i="4"/>
  <c r="J1199" i="4"/>
  <c r="K1198" i="4"/>
  <c r="J1198" i="4"/>
  <c r="K1197" i="4"/>
  <c r="J1197" i="4"/>
  <c r="K1196" i="4"/>
  <c r="J1196" i="4"/>
  <c r="K1195" i="4"/>
  <c r="J1195" i="4"/>
  <c r="K1194" i="4"/>
  <c r="J1194" i="4"/>
  <c r="K1193" i="4"/>
  <c r="J1193" i="4"/>
  <c r="K1192" i="4"/>
  <c r="J1192" i="4"/>
  <c r="K1191" i="4"/>
  <c r="J1191" i="4"/>
  <c r="K1190" i="4"/>
  <c r="J1190" i="4"/>
  <c r="K1189" i="4"/>
  <c r="J1189" i="4"/>
  <c r="K1188" i="4"/>
  <c r="J1188" i="4"/>
  <c r="K1187" i="4"/>
  <c r="J1187" i="4"/>
  <c r="K1186" i="4"/>
  <c r="J1186" i="4"/>
  <c r="K1185" i="4"/>
  <c r="J1185" i="4"/>
  <c r="K1184" i="4"/>
  <c r="J1184" i="4"/>
  <c r="K1183" i="4"/>
  <c r="J1183" i="4"/>
  <c r="K1182" i="4"/>
  <c r="J1182" i="4"/>
  <c r="K1181" i="4"/>
  <c r="J1181" i="4"/>
  <c r="K1180" i="4"/>
  <c r="J1180" i="4"/>
  <c r="K1179" i="4"/>
  <c r="J1179" i="4"/>
  <c r="K1178" i="4"/>
  <c r="J1178" i="4"/>
  <c r="K1177" i="4"/>
  <c r="J1177" i="4"/>
  <c r="K1176" i="4"/>
  <c r="J1176" i="4"/>
  <c r="K1175" i="4"/>
  <c r="J1175" i="4"/>
  <c r="K1174" i="4"/>
  <c r="J1174" i="4"/>
  <c r="K1173" i="4"/>
  <c r="J1173" i="4"/>
  <c r="K1172" i="4"/>
  <c r="J1172" i="4"/>
  <c r="K1171" i="4"/>
  <c r="J1171" i="4"/>
  <c r="K1170" i="4"/>
  <c r="J1170" i="4"/>
  <c r="K1169" i="4"/>
  <c r="J1169" i="4"/>
  <c r="K1168" i="4"/>
  <c r="J1168" i="4"/>
  <c r="K1167" i="4"/>
  <c r="J1167" i="4"/>
  <c r="K1166" i="4"/>
  <c r="J1166" i="4"/>
  <c r="K1165" i="4"/>
  <c r="J1165" i="4"/>
  <c r="K1164" i="4"/>
  <c r="J1164" i="4"/>
  <c r="K1163" i="4"/>
  <c r="J1163" i="4"/>
  <c r="K1162" i="4"/>
  <c r="J1162" i="4"/>
  <c r="K1161" i="4"/>
  <c r="J1161" i="4"/>
  <c r="K1160" i="4"/>
  <c r="J1160" i="4"/>
  <c r="K1159" i="4"/>
  <c r="J1159" i="4"/>
  <c r="K1158" i="4"/>
  <c r="J1158" i="4"/>
  <c r="K1157" i="4"/>
  <c r="J1157" i="4"/>
  <c r="K1156" i="4"/>
  <c r="J1156" i="4"/>
  <c r="K1155" i="4"/>
  <c r="J1155" i="4"/>
  <c r="K1154" i="4"/>
  <c r="J1154" i="4"/>
  <c r="K1153" i="4"/>
  <c r="J1153" i="4"/>
  <c r="K1152" i="4"/>
  <c r="J1152" i="4"/>
  <c r="K1151" i="4"/>
  <c r="J1151" i="4"/>
  <c r="K1150" i="4"/>
  <c r="J1150" i="4"/>
  <c r="K1149" i="4"/>
  <c r="J1149" i="4"/>
  <c r="K1148" i="4"/>
  <c r="J1148" i="4"/>
  <c r="K1147" i="4"/>
  <c r="J1147" i="4"/>
  <c r="K1146" i="4"/>
  <c r="J1146" i="4"/>
  <c r="K1145" i="4"/>
  <c r="J1145" i="4"/>
  <c r="K1144" i="4"/>
  <c r="J1144" i="4"/>
  <c r="K1143" i="4"/>
  <c r="J1143" i="4"/>
  <c r="K1142" i="4"/>
  <c r="J1142" i="4"/>
  <c r="K1141" i="4"/>
  <c r="J1141" i="4"/>
  <c r="K1140" i="4"/>
  <c r="J1140" i="4"/>
  <c r="K1139" i="4"/>
  <c r="J1139" i="4"/>
  <c r="K1138" i="4"/>
  <c r="J1138" i="4"/>
  <c r="K1137" i="4"/>
  <c r="J1137" i="4"/>
  <c r="K1136" i="4"/>
  <c r="J1136" i="4"/>
  <c r="K1135" i="4"/>
  <c r="J1135" i="4"/>
  <c r="K1134" i="4"/>
  <c r="J1134" i="4"/>
  <c r="K1133" i="4"/>
  <c r="J1133" i="4"/>
  <c r="K1132" i="4"/>
  <c r="J1132" i="4"/>
  <c r="K1131" i="4"/>
  <c r="J1131" i="4"/>
  <c r="K1130" i="4"/>
  <c r="J1130" i="4"/>
  <c r="K1129" i="4"/>
  <c r="J1129" i="4"/>
  <c r="K1128" i="4"/>
  <c r="J1128" i="4"/>
  <c r="K1127" i="4"/>
  <c r="J1127" i="4"/>
  <c r="K1126" i="4"/>
  <c r="J1126" i="4"/>
  <c r="K1125" i="4"/>
  <c r="J1125" i="4"/>
  <c r="K1124" i="4"/>
  <c r="J1124" i="4"/>
  <c r="K1123" i="4"/>
  <c r="J1123" i="4"/>
  <c r="K1122" i="4"/>
  <c r="J1122" i="4"/>
  <c r="K1121" i="4"/>
  <c r="J1121" i="4"/>
  <c r="K1120" i="4"/>
  <c r="J1120" i="4"/>
  <c r="K1119" i="4"/>
  <c r="J1119" i="4"/>
  <c r="K1118" i="4"/>
  <c r="J1118" i="4"/>
  <c r="K1117" i="4"/>
  <c r="J1117" i="4"/>
  <c r="K1116" i="4"/>
  <c r="J1116" i="4"/>
  <c r="K1115" i="4"/>
  <c r="J1115" i="4"/>
  <c r="K1114" i="4"/>
  <c r="J1114" i="4"/>
  <c r="K1113" i="4"/>
  <c r="J1113" i="4"/>
  <c r="K1112" i="4"/>
  <c r="J1112" i="4"/>
  <c r="K1111" i="4"/>
  <c r="J1111" i="4"/>
  <c r="K1110" i="4"/>
  <c r="J1110" i="4"/>
  <c r="K1109" i="4"/>
  <c r="J1109" i="4"/>
  <c r="K1108" i="4"/>
  <c r="J1108" i="4"/>
  <c r="K1107" i="4"/>
  <c r="J1107" i="4"/>
  <c r="K1106" i="4"/>
  <c r="J1106" i="4"/>
  <c r="K1105" i="4"/>
  <c r="J1105" i="4"/>
  <c r="K1104" i="4"/>
  <c r="J1104" i="4"/>
  <c r="K1103" i="4"/>
  <c r="J1103" i="4"/>
  <c r="K1102" i="4"/>
  <c r="J1102" i="4"/>
  <c r="K1101" i="4"/>
  <c r="J1101" i="4"/>
  <c r="K1100" i="4"/>
  <c r="J1100" i="4"/>
  <c r="K1099" i="4"/>
  <c r="J1099" i="4"/>
  <c r="K1098" i="4"/>
  <c r="J1098" i="4"/>
  <c r="K1097" i="4"/>
  <c r="J1097" i="4"/>
  <c r="K1096" i="4"/>
  <c r="J1096" i="4"/>
  <c r="K1095" i="4"/>
  <c r="J1095" i="4"/>
  <c r="K1094" i="4"/>
  <c r="J1094" i="4"/>
  <c r="K1093" i="4"/>
  <c r="J1093" i="4"/>
  <c r="K1092" i="4"/>
  <c r="J1092" i="4"/>
  <c r="K1091" i="4"/>
  <c r="J1091" i="4"/>
  <c r="K1090" i="4"/>
  <c r="J1090" i="4"/>
  <c r="K1089" i="4"/>
  <c r="J1089" i="4"/>
  <c r="K1088" i="4"/>
  <c r="J1088" i="4"/>
  <c r="K1087" i="4"/>
  <c r="J1087" i="4"/>
  <c r="K1086" i="4"/>
  <c r="J1086" i="4"/>
  <c r="K1085" i="4"/>
  <c r="J1085" i="4"/>
  <c r="K1084" i="4"/>
  <c r="J1084" i="4"/>
  <c r="K1083" i="4"/>
  <c r="J1083" i="4"/>
  <c r="K1082" i="4"/>
  <c r="J1082" i="4"/>
  <c r="K1081" i="4"/>
  <c r="J1081" i="4"/>
  <c r="K1080" i="4"/>
  <c r="J1080" i="4"/>
  <c r="K1079" i="4"/>
  <c r="J1079" i="4"/>
  <c r="K1078" i="4"/>
  <c r="J1078" i="4"/>
  <c r="K1077" i="4"/>
  <c r="J1077" i="4"/>
  <c r="K1076" i="4"/>
  <c r="J1076" i="4"/>
  <c r="K1075" i="4"/>
  <c r="J1075" i="4"/>
  <c r="K1074" i="4"/>
  <c r="J1074" i="4"/>
  <c r="K1073" i="4"/>
  <c r="J1073" i="4"/>
  <c r="K1072" i="4"/>
  <c r="J1072" i="4"/>
  <c r="K1071" i="4"/>
  <c r="J1071" i="4"/>
  <c r="K1070" i="4"/>
  <c r="J1070" i="4"/>
  <c r="K1069" i="4"/>
  <c r="J1069" i="4"/>
  <c r="K1068" i="4"/>
  <c r="J1068" i="4"/>
  <c r="K1067" i="4"/>
  <c r="J1067" i="4"/>
  <c r="K1066" i="4"/>
  <c r="J1066" i="4"/>
  <c r="K1065" i="4"/>
  <c r="J1065" i="4"/>
  <c r="K1064" i="4"/>
  <c r="J1064" i="4"/>
  <c r="K1063" i="4"/>
  <c r="J1063" i="4"/>
  <c r="K1062" i="4"/>
  <c r="J1062" i="4"/>
  <c r="K1061" i="4"/>
  <c r="J1061" i="4"/>
  <c r="K1060" i="4"/>
  <c r="J1060" i="4"/>
  <c r="K1059" i="4"/>
  <c r="J1059" i="4"/>
  <c r="K1058" i="4"/>
  <c r="J1058" i="4"/>
  <c r="K1057" i="4"/>
  <c r="J1057" i="4"/>
  <c r="K1056" i="4"/>
  <c r="J1056" i="4"/>
  <c r="K1055" i="4"/>
  <c r="J1055" i="4"/>
  <c r="K1054" i="4"/>
  <c r="J1054" i="4"/>
  <c r="K1053" i="4"/>
  <c r="J1053" i="4"/>
  <c r="K1052" i="4"/>
  <c r="J1052" i="4"/>
  <c r="K1051" i="4"/>
  <c r="J1051" i="4"/>
  <c r="K1050" i="4"/>
  <c r="J1050" i="4"/>
  <c r="K1049" i="4"/>
  <c r="J1049" i="4"/>
  <c r="K1048" i="4"/>
  <c r="J1048" i="4"/>
  <c r="K1047" i="4"/>
  <c r="J1047" i="4"/>
  <c r="K1046" i="4"/>
  <c r="J1046" i="4"/>
  <c r="K1045" i="4"/>
  <c r="J1045" i="4"/>
  <c r="K1044" i="4"/>
  <c r="J1044" i="4"/>
  <c r="K1043" i="4"/>
  <c r="J1043" i="4"/>
  <c r="K1042" i="4"/>
  <c r="J1042" i="4"/>
  <c r="K1041" i="4"/>
  <c r="J1041" i="4"/>
  <c r="K1040" i="4"/>
  <c r="J1040" i="4"/>
  <c r="K1039" i="4"/>
  <c r="J1039" i="4"/>
  <c r="K1038" i="4"/>
  <c r="J1038" i="4"/>
  <c r="K1037" i="4"/>
  <c r="J1037" i="4"/>
  <c r="K1036" i="4"/>
  <c r="J1036" i="4"/>
  <c r="K1035" i="4"/>
  <c r="J1035" i="4"/>
  <c r="K1034" i="4"/>
  <c r="J1034" i="4"/>
  <c r="K1033" i="4"/>
  <c r="J1033" i="4"/>
  <c r="K1032" i="4"/>
  <c r="J1032" i="4"/>
  <c r="K1031" i="4"/>
  <c r="J1031" i="4"/>
  <c r="K1030" i="4"/>
  <c r="J1030" i="4"/>
  <c r="K1029" i="4"/>
  <c r="J1029" i="4"/>
  <c r="K1028" i="4"/>
  <c r="J1028" i="4"/>
  <c r="K1027" i="4"/>
  <c r="J1027" i="4"/>
  <c r="K1026" i="4"/>
  <c r="J1026" i="4"/>
  <c r="K1025" i="4"/>
  <c r="J1025" i="4"/>
  <c r="K1024" i="4"/>
  <c r="J1024" i="4"/>
  <c r="K1023" i="4"/>
  <c r="J1023" i="4"/>
  <c r="K1022" i="4"/>
  <c r="J1022" i="4"/>
  <c r="K1021" i="4"/>
  <c r="J1021" i="4"/>
  <c r="K1020" i="4"/>
  <c r="J1020" i="4"/>
  <c r="K1019" i="4"/>
  <c r="J1019" i="4"/>
  <c r="K1018" i="4"/>
  <c r="J1018" i="4"/>
  <c r="K1017" i="4"/>
  <c r="J1017" i="4"/>
  <c r="K1016" i="4"/>
  <c r="J1016" i="4"/>
  <c r="K1015" i="4"/>
  <c r="J1015" i="4"/>
  <c r="K1014" i="4"/>
  <c r="J1014" i="4"/>
  <c r="K1013" i="4"/>
  <c r="J1013" i="4"/>
  <c r="K1012" i="4"/>
  <c r="J1012" i="4"/>
  <c r="K1011" i="4"/>
  <c r="J1011" i="4"/>
  <c r="K1010" i="4"/>
  <c r="J1010" i="4"/>
  <c r="K1009" i="4"/>
  <c r="J1009" i="4"/>
  <c r="K1008" i="4"/>
  <c r="J1008" i="4"/>
  <c r="K1007" i="4"/>
  <c r="J1007" i="4"/>
  <c r="K1006" i="4"/>
  <c r="J1006" i="4"/>
  <c r="K1005" i="4"/>
  <c r="J1005" i="4"/>
  <c r="K1004" i="4"/>
  <c r="J1004" i="4"/>
  <c r="K1003" i="4"/>
  <c r="J1003" i="4"/>
  <c r="K1002" i="4"/>
  <c r="J1002" i="4"/>
  <c r="K1001" i="4"/>
  <c r="J1001" i="4"/>
  <c r="K1000" i="4"/>
  <c r="J1000" i="4"/>
  <c r="K999" i="4"/>
  <c r="J999" i="4"/>
  <c r="K998" i="4"/>
  <c r="J998" i="4"/>
  <c r="K997" i="4"/>
  <c r="J997" i="4"/>
  <c r="K996" i="4"/>
  <c r="J996" i="4"/>
  <c r="K995" i="4"/>
  <c r="J995" i="4"/>
  <c r="K994" i="4"/>
  <c r="J994" i="4"/>
  <c r="K993" i="4"/>
  <c r="J993" i="4"/>
  <c r="K992" i="4"/>
  <c r="J992" i="4"/>
  <c r="K991" i="4"/>
  <c r="J991" i="4"/>
  <c r="K990" i="4"/>
  <c r="J990" i="4"/>
  <c r="K989" i="4"/>
  <c r="J989" i="4"/>
  <c r="K988" i="4"/>
  <c r="J988" i="4"/>
  <c r="K987" i="4"/>
  <c r="J987" i="4"/>
  <c r="K986" i="4"/>
  <c r="J986" i="4"/>
  <c r="K985" i="4"/>
  <c r="J985" i="4"/>
  <c r="K984" i="4"/>
  <c r="J984" i="4"/>
  <c r="K983" i="4"/>
  <c r="J983" i="4"/>
  <c r="K982" i="4"/>
  <c r="J982" i="4"/>
  <c r="K981" i="4"/>
  <c r="J981" i="4"/>
  <c r="K980" i="4"/>
  <c r="J980" i="4"/>
  <c r="K979" i="4"/>
  <c r="J979" i="4"/>
  <c r="K978" i="4"/>
  <c r="J978" i="4"/>
  <c r="K977" i="4"/>
  <c r="J977" i="4"/>
  <c r="K976" i="4"/>
  <c r="J976" i="4"/>
  <c r="K975" i="4"/>
  <c r="J975" i="4"/>
  <c r="K974" i="4"/>
  <c r="J974" i="4"/>
  <c r="K973" i="4"/>
  <c r="J973" i="4"/>
  <c r="K972" i="4"/>
  <c r="J972" i="4"/>
  <c r="K971" i="4"/>
  <c r="J971" i="4"/>
  <c r="K970" i="4"/>
  <c r="J970" i="4"/>
  <c r="K969" i="4"/>
  <c r="J969" i="4"/>
  <c r="K968" i="4"/>
  <c r="J968" i="4"/>
  <c r="K967" i="4"/>
  <c r="J967" i="4"/>
  <c r="K966" i="4"/>
  <c r="J966" i="4"/>
  <c r="K965" i="4"/>
  <c r="J965" i="4"/>
  <c r="K964" i="4"/>
  <c r="J964" i="4"/>
  <c r="K963" i="4"/>
  <c r="J963" i="4"/>
  <c r="K962" i="4"/>
  <c r="J962" i="4"/>
  <c r="K961" i="4"/>
  <c r="J961" i="4"/>
  <c r="K960" i="4"/>
  <c r="J960" i="4"/>
  <c r="K959" i="4"/>
  <c r="J959" i="4"/>
  <c r="K958" i="4"/>
  <c r="J958" i="4"/>
  <c r="K957" i="4"/>
  <c r="J957" i="4"/>
  <c r="K956" i="4"/>
  <c r="J956" i="4"/>
  <c r="K955" i="4"/>
  <c r="J955" i="4"/>
  <c r="K954" i="4"/>
  <c r="J954" i="4"/>
  <c r="K953" i="4"/>
  <c r="J953" i="4"/>
  <c r="K952" i="4"/>
  <c r="J952" i="4"/>
  <c r="K951" i="4"/>
  <c r="J951" i="4"/>
  <c r="K950" i="4"/>
  <c r="J950" i="4"/>
  <c r="K949" i="4"/>
  <c r="J949" i="4"/>
  <c r="K948" i="4"/>
  <c r="J948" i="4"/>
  <c r="K947" i="4"/>
  <c r="J947" i="4"/>
  <c r="K946" i="4"/>
  <c r="J946" i="4"/>
  <c r="K945" i="4"/>
  <c r="J945" i="4"/>
  <c r="K944" i="4"/>
  <c r="J944" i="4"/>
  <c r="K943" i="4"/>
  <c r="J943" i="4"/>
  <c r="K942" i="4"/>
  <c r="J942" i="4"/>
  <c r="K941" i="4"/>
  <c r="J941" i="4"/>
  <c r="K940" i="4"/>
  <c r="J940" i="4"/>
  <c r="K939" i="4"/>
  <c r="J939" i="4"/>
  <c r="K938" i="4"/>
  <c r="J938" i="4"/>
  <c r="K937" i="4"/>
  <c r="J937" i="4"/>
  <c r="K936" i="4"/>
  <c r="J936" i="4"/>
  <c r="K935" i="4"/>
  <c r="J935" i="4"/>
  <c r="K934" i="4"/>
  <c r="J934" i="4"/>
  <c r="K933" i="4"/>
  <c r="J933" i="4"/>
  <c r="K932" i="4"/>
  <c r="J932" i="4"/>
  <c r="K931" i="4"/>
  <c r="J931" i="4"/>
  <c r="K930" i="4"/>
  <c r="J930" i="4"/>
  <c r="K929" i="4"/>
  <c r="J929" i="4"/>
  <c r="K928" i="4"/>
  <c r="J928" i="4"/>
  <c r="K927" i="4"/>
  <c r="J927" i="4"/>
  <c r="K926" i="4"/>
  <c r="J926" i="4"/>
  <c r="K925" i="4"/>
  <c r="J925" i="4"/>
  <c r="K924" i="4"/>
  <c r="J924" i="4"/>
  <c r="K923" i="4"/>
  <c r="J923" i="4"/>
  <c r="K922" i="4"/>
  <c r="J922" i="4"/>
  <c r="K921" i="4"/>
  <c r="J921" i="4"/>
  <c r="K920" i="4"/>
  <c r="J920" i="4"/>
  <c r="K919" i="4"/>
  <c r="J919" i="4"/>
  <c r="K918" i="4"/>
  <c r="J918" i="4"/>
  <c r="K917" i="4"/>
  <c r="J917" i="4"/>
  <c r="K916" i="4"/>
  <c r="J916" i="4"/>
  <c r="K915" i="4"/>
  <c r="J915" i="4"/>
  <c r="K914" i="4"/>
  <c r="J914" i="4"/>
  <c r="K913" i="4"/>
  <c r="J913" i="4"/>
  <c r="K912" i="4"/>
  <c r="J912" i="4"/>
  <c r="K911" i="4"/>
  <c r="J911" i="4"/>
  <c r="K910" i="4"/>
  <c r="J910" i="4"/>
  <c r="K909" i="4"/>
  <c r="J909" i="4"/>
  <c r="K908" i="4"/>
  <c r="J908" i="4"/>
  <c r="K907" i="4"/>
  <c r="J907" i="4"/>
  <c r="K906" i="4"/>
  <c r="J906" i="4"/>
  <c r="K905" i="4"/>
  <c r="J905" i="4"/>
  <c r="K904" i="4"/>
  <c r="J904" i="4"/>
  <c r="K903" i="4"/>
  <c r="J903" i="4"/>
  <c r="K902" i="4"/>
  <c r="J902" i="4"/>
  <c r="K901" i="4"/>
  <c r="J901" i="4"/>
  <c r="K900" i="4"/>
  <c r="J900" i="4"/>
  <c r="K899" i="4"/>
  <c r="J899" i="4"/>
  <c r="K898" i="4"/>
  <c r="J898" i="4"/>
  <c r="K897" i="4"/>
  <c r="J897" i="4"/>
  <c r="K896" i="4"/>
  <c r="J896" i="4"/>
  <c r="K895" i="4"/>
  <c r="J895" i="4"/>
  <c r="K894" i="4"/>
  <c r="J894" i="4"/>
  <c r="K893" i="4"/>
  <c r="J893" i="4"/>
  <c r="K892" i="4"/>
  <c r="J892" i="4"/>
  <c r="K891" i="4"/>
  <c r="J891" i="4"/>
  <c r="K890" i="4"/>
  <c r="J890" i="4"/>
  <c r="K889" i="4"/>
  <c r="J889" i="4"/>
  <c r="K888" i="4"/>
  <c r="J888" i="4"/>
  <c r="K887" i="4"/>
  <c r="J887" i="4"/>
  <c r="K886" i="4"/>
  <c r="J886" i="4"/>
  <c r="K885" i="4"/>
  <c r="J885" i="4"/>
  <c r="K884" i="4"/>
  <c r="J884" i="4"/>
  <c r="K883" i="4"/>
  <c r="J883" i="4"/>
  <c r="K882" i="4"/>
  <c r="J882" i="4"/>
  <c r="K881" i="4"/>
  <c r="J881" i="4"/>
  <c r="K880" i="4"/>
  <c r="J880" i="4"/>
  <c r="K879" i="4"/>
  <c r="J879" i="4"/>
  <c r="K878" i="4"/>
  <c r="J878" i="4"/>
  <c r="K877" i="4"/>
  <c r="J877" i="4"/>
  <c r="K876" i="4"/>
  <c r="J876" i="4"/>
  <c r="K875" i="4"/>
  <c r="J875" i="4"/>
  <c r="K874" i="4"/>
  <c r="J874" i="4"/>
  <c r="K873" i="4"/>
  <c r="J873" i="4"/>
  <c r="K872" i="4"/>
  <c r="J872" i="4"/>
  <c r="K871" i="4"/>
  <c r="J871" i="4"/>
  <c r="K870" i="4"/>
  <c r="J870" i="4"/>
  <c r="K869" i="4"/>
  <c r="J869" i="4"/>
  <c r="K868" i="4"/>
  <c r="J868" i="4"/>
  <c r="K867" i="4"/>
  <c r="J867" i="4"/>
  <c r="K866" i="4"/>
  <c r="J866" i="4"/>
  <c r="K865" i="4"/>
  <c r="J865" i="4"/>
  <c r="K864" i="4"/>
  <c r="J864" i="4"/>
  <c r="K863" i="4"/>
  <c r="J863" i="4"/>
  <c r="K862" i="4"/>
  <c r="J862" i="4"/>
  <c r="K861" i="4"/>
  <c r="J861" i="4"/>
  <c r="K860" i="4"/>
  <c r="J860" i="4"/>
  <c r="K859" i="4"/>
  <c r="J859" i="4"/>
  <c r="K858" i="4"/>
  <c r="J858" i="4"/>
  <c r="K857" i="4"/>
  <c r="J857" i="4"/>
  <c r="K856" i="4"/>
  <c r="J856" i="4"/>
  <c r="K855" i="4"/>
  <c r="J855" i="4"/>
  <c r="K854" i="4"/>
  <c r="J854" i="4"/>
  <c r="K853" i="4"/>
  <c r="J853" i="4"/>
  <c r="K852" i="4"/>
  <c r="J852" i="4"/>
  <c r="K851" i="4"/>
  <c r="J851" i="4"/>
  <c r="K850" i="4"/>
  <c r="J850" i="4"/>
  <c r="K849" i="4"/>
  <c r="J849" i="4"/>
  <c r="K848" i="4"/>
  <c r="J848" i="4"/>
  <c r="K847" i="4"/>
  <c r="J847" i="4"/>
  <c r="K846" i="4"/>
  <c r="J846" i="4"/>
  <c r="K845" i="4"/>
  <c r="J845" i="4"/>
  <c r="K844" i="4"/>
  <c r="J844" i="4"/>
  <c r="K843" i="4"/>
  <c r="J843" i="4"/>
  <c r="K842" i="4"/>
  <c r="J842" i="4"/>
  <c r="K841" i="4"/>
  <c r="J841" i="4"/>
  <c r="K840" i="4"/>
  <c r="J840" i="4"/>
  <c r="K839" i="4"/>
  <c r="J839" i="4"/>
  <c r="K838" i="4"/>
  <c r="J838" i="4"/>
  <c r="K837" i="4"/>
  <c r="J837" i="4"/>
  <c r="K836" i="4"/>
  <c r="J836" i="4"/>
  <c r="K835" i="4"/>
  <c r="J835" i="4"/>
  <c r="K834" i="4"/>
  <c r="J834" i="4"/>
  <c r="K833" i="4"/>
  <c r="J833" i="4"/>
  <c r="K832" i="4"/>
  <c r="J832" i="4"/>
  <c r="K831" i="4"/>
  <c r="J831" i="4"/>
  <c r="K830" i="4"/>
  <c r="J830" i="4"/>
  <c r="K829" i="4"/>
  <c r="J829" i="4"/>
  <c r="K828" i="4"/>
  <c r="J828" i="4"/>
  <c r="K827" i="4"/>
  <c r="J827" i="4"/>
  <c r="K826" i="4"/>
  <c r="J826" i="4"/>
  <c r="K825" i="4"/>
  <c r="J825" i="4"/>
  <c r="K824" i="4"/>
  <c r="J824" i="4"/>
  <c r="K823" i="4"/>
  <c r="J823" i="4"/>
  <c r="K822" i="4"/>
  <c r="J822" i="4"/>
  <c r="K821" i="4"/>
  <c r="J821" i="4"/>
  <c r="K820" i="4"/>
  <c r="J820" i="4"/>
  <c r="K819" i="4"/>
  <c r="J819" i="4"/>
  <c r="K818" i="4"/>
  <c r="J818" i="4"/>
  <c r="K817" i="4"/>
  <c r="J817" i="4"/>
  <c r="K816" i="4"/>
  <c r="J816" i="4"/>
  <c r="K815" i="4"/>
  <c r="J815" i="4"/>
  <c r="K814" i="4"/>
  <c r="J814" i="4"/>
  <c r="K813" i="4"/>
  <c r="J813" i="4"/>
  <c r="K812" i="4"/>
  <c r="J812" i="4"/>
  <c r="K811" i="4"/>
  <c r="J811" i="4"/>
  <c r="K810" i="4"/>
  <c r="J810" i="4"/>
  <c r="K809" i="4"/>
  <c r="J809" i="4"/>
  <c r="K808" i="4"/>
  <c r="J808" i="4"/>
  <c r="K807" i="4"/>
  <c r="J807" i="4"/>
  <c r="K806" i="4"/>
  <c r="J806" i="4"/>
  <c r="K805" i="4"/>
  <c r="J805" i="4"/>
  <c r="K804" i="4"/>
  <c r="J804" i="4"/>
  <c r="K803" i="4"/>
  <c r="J803" i="4"/>
  <c r="K802" i="4"/>
  <c r="J802" i="4"/>
  <c r="K801" i="4"/>
  <c r="J801" i="4"/>
  <c r="K800" i="4"/>
  <c r="J800" i="4"/>
  <c r="K799" i="4"/>
  <c r="J799" i="4"/>
  <c r="K798" i="4"/>
  <c r="J798" i="4"/>
  <c r="K797" i="4"/>
  <c r="J797" i="4"/>
  <c r="K796" i="4"/>
  <c r="J796" i="4"/>
  <c r="K795" i="4"/>
  <c r="J795" i="4"/>
  <c r="K794" i="4"/>
  <c r="J794" i="4"/>
  <c r="K793" i="4"/>
  <c r="J793" i="4"/>
  <c r="K792" i="4"/>
  <c r="J792" i="4"/>
  <c r="K791" i="4"/>
  <c r="J791" i="4"/>
  <c r="K790" i="4"/>
  <c r="J790" i="4"/>
  <c r="K789" i="4"/>
  <c r="J789" i="4"/>
  <c r="K788" i="4"/>
  <c r="J788" i="4"/>
  <c r="K787" i="4"/>
  <c r="J787" i="4"/>
  <c r="K786" i="4"/>
  <c r="J786" i="4"/>
  <c r="K785" i="4"/>
  <c r="J785" i="4"/>
  <c r="K784" i="4"/>
  <c r="J784" i="4"/>
  <c r="K783" i="4"/>
  <c r="J783" i="4"/>
  <c r="K782" i="4"/>
  <c r="J782" i="4"/>
  <c r="K781" i="4"/>
  <c r="J781" i="4"/>
  <c r="K780" i="4"/>
  <c r="J780" i="4"/>
  <c r="K779" i="4"/>
  <c r="J779" i="4"/>
  <c r="K778" i="4"/>
  <c r="J778" i="4"/>
  <c r="K777" i="4"/>
  <c r="J777" i="4"/>
  <c r="K776" i="4"/>
  <c r="J776" i="4"/>
  <c r="K775" i="4"/>
  <c r="J775" i="4"/>
  <c r="K774" i="4"/>
  <c r="J774" i="4"/>
  <c r="K773" i="4"/>
  <c r="J773" i="4"/>
  <c r="K772" i="4"/>
  <c r="J772" i="4"/>
  <c r="K771" i="4"/>
  <c r="J771" i="4"/>
  <c r="K770" i="4"/>
  <c r="J770" i="4"/>
  <c r="K769" i="4"/>
  <c r="J769" i="4"/>
  <c r="K768" i="4"/>
  <c r="J768" i="4"/>
  <c r="K767" i="4"/>
  <c r="J767" i="4"/>
  <c r="K766" i="4"/>
  <c r="J766" i="4"/>
  <c r="K765" i="4"/>
  <c r="J765" i="4"/>
  <c r="K764" i="4"/>
  <c r="J764" i="4"/>
  <c r="K763" i="4"/>
  <c r="J763" i="4"/>
  <c r="K762" i="4"/>
  <c r="J762" i="4"/>
  <c r="K761" i="4"/>
  <c r="J761" i="4"/>
  <c r="K760" i="4"/>
  <c r="J760" i="4"/>
  <c r="K759" i="4"/>
  <c r="J759" i="4"/>
  <c r="K758" i="4"/>
  <c r="J758" i="4"/>
  <c r="K757" i="4"/>
  <c r="J757" i="4"/>
  <c r="K756" i="4"/>
  <c r="J756" i="4"/>
  <c r="K755" i="4"/>
  <c r="J755" i="4"/>
  <c r="K754" i="4"/>
  <c r="J754" i="4"/>
  <c r="K753" i="4"/>
  <c r="J753" i="4"/>
  <c r="K752" i="4"/>
  <c r="J752" i="4"/>
  <c r="K751" i="4"/>
  <c r="J751" i="4"/>
  <c r="K750" i="4"/>
  <c r="J750" i="4"/>
  <c r="K749" i="4"/>
  <c r="J749" i="4"/>
  <c r="K748" i="4"/>
  <c r="J748" i="4"/>
  <c r="K747" i="4"/>
  <c r="J747" i="4"/>
  <c r="K746" i="4"/>
  <c r="J746" i="4"/>
  <c r="K745" i="4"/>
  <c r="J745" i="4"/>
  <c r="K744" i="4"/>
  <c r="J744" i="4"/>
  <c r="K743" i="4"/>
  <c r="J743" i="4"/>
  <c r="K742" i="4"/>
  <c r="J742" i="4"/>
  <c r="K741" i="4"/>
  <c r="J741" i="4"/>
  <c r="K740" i="4"/>
  <c r="J740" i="4"/>
  <c r="K739" i="4"/>
  <c r="J739" i="4"/>
  <c r="K738" i="4"/>
  <c r="J738" i="4"/>
  <c r="K737" i="4"/>
  <c r="J737" i="4"/>
  <c r="K736" i="4"/>
  <c r="J736" i="4"/>
  <c r="K735" i="4"/>
  <c r="J735" i="4"/>
  <c r="K734" i="4"/>
  <c r="J734" i="4"/>
  <c r="K733" i="4"/>
  <c r="J733" i="4"/>
  <c r="K732" i="4"/>
  <c r="J732" i="4"/>
  <c r="K731" i="4"/>
  <c r="J731" i="4"/>
  <c r="K730" i="4"/>
  <c r="J730" i="4"/>
  <c r="K729" i="4"/>
  <c r="J729" i="4"/>
  <c r="K728" i="4"/>
  <c r="J728" i="4"/>
  <c r="K727" i="4"/>
  <c r="J727" i="4"/>
  <c r="K726" i="4"/>
  <c r="J726" i="4"/>
  <c r="K725" i="4"/>
  <c r="J725" i="4"/>
  <c r="K724" i="4"/>
  <c r="J724" i="4"/>
  <c r="K723" i="4"/>
  <c r="J723" i="4"/>
  <c r="K722" i="4"/>
  <c r="J722" i="4"/>
  <c r="K721" i="4"/>
  <c r="J721" i="4"/>
  <c r="K720" i="4"/>
  <c r="J720" i="4"/>
  <c r="K719" i="4"/>
  <c r="J719" i="4"/>
  <c r="K718" i="4"/>
  <c r="J718" i="4"/>
  <c r="K717" i="4"/>
  <c r="J717" i="4"/>
  <c r="K716" i="4"/>
  <c r="J716" i="4"/>
  <c r="K715" i="4"/>
  <c r="J715" i="4"/>
  <c r="K714" i="4"/>
  <c r="J714" i="4"/>
  <c r="K713" i="4"/>
  <c r="J713" i="4"/>
  <c r="K712" i="4"/>
  <c r="J712" i="4"/>
  <c r="K711" i="4"/>
  <c r="J711" i="4"/>
  <c r="K710" i="4"/>
  <c r="J710" i="4"/>
  <c r="K709" i="4"/>
  <c r="J709" i="4"/>
  <c r="K708" i="4"/>
  <c r="J708" i="4"/>
  <c r="K707" i="4"/>
  <c r="J707" i="4"/>
  <c r="K706" i="4"/>
  <c r="J706" i="4"/>
  <c r="K705" i="4"/>
  <c r="J705" i="4"/>
  <c r="K704" i="4"/>
  <c r="J704" i="4"/>
  <c r="K703" i="4"/>
  <c r="J703" i="4"/>
  <c r="K702" i="4"/>
  <c r="J702" i="4"/>
  <c r="K701" i="4"/>
  <c r="J701" i="4"/>
  <c r="K700" i="4"/>
  <c r="J700" i="4"/>
  <c r="K699" i="4"/>
  <c r="J699" i="4"/>
  <c r="K698" i="4"/>
  <c r="J698" i="4"/>
  <c r="K697" i="4"/>
  <c r="J697" i="4"/>
  <c r="K696" i="4"/>
  <c r="J696" i="4"/>
  <c r="K695" i="4"/>
  <c r="J695" i="4"/>
  <c r="K694" i="4"/>
  <c r="J694" i="4"/>
  <c r="K693" i="4"/>
  <c r="J693" i="4"/>
  <c r="K692" i="4"/>
  <c r="J692" i="4"/>
  <c r="K691" i="4"/>
  <c r="J691" i="4"/>
  <c r="K690" i="4"/>
  <c r="J690" i="4"/>
  <c r="K689" i="4"/>
  <c r="J689" i="4"/>
  <c r="K688" i="4"/>
  <c r="J688" i="4"/>
  <c r="K687" i="4"/>
  <c r="J687" i="4"/>
  <c r="K686" i="4"/>
  <c r="J686" i="4"/>
  <c r="K685" i="4"/>
  <c r="J685" i="4"/>
  <c r="K684" i="4"/>
  <c r="J684" i="4"/>
  <c r="K683" i="4"/>
  <c r="J683" i="4"/>
  <c r="K682" i="4"/>
  <c r="J682" i="4"/>
  <c r="K681" i="4"/>
  <c r="J681" i="4"/>
  <c r="K680" i="4"/>
  <c r="J680" i="4"/>
  <c r="K679" i="4"/>
  <c r="J679" i="4"/>
  <c r="K678" i="4"/>
  <c r="J678" i="4"/>
  <c r="K677" i="4"/>
  <c r="J677" i="4"/>
  <c r="K676" i="4"/>
  <c r="J676" i="4"/>
  <c r="K675" i="4"/>
  <c r="J675" i="4"/>
  <c r="K674" i="4"/>
  <c r="J674" i="4"/>
  <c r="K673" i="4"/>
  <c r="J673" i="4"/>
  <c r="K672" i="4"/>
  <c r="J672" i="4"/>
  <c r="K671" i="4"/>
  <c r="J671" i="4"/>
  <c r="K670" i="4"/>
  <c r="J670" i="4"/>
  <c r="K669" i="4"/>
  <c r="J669" i="4"/>
  <c r="K668" i="4"/>
  <c r="J668" i="4"/>
  <c r="K667" i="4"/>
  <c r="J667" i="4"/>
  <c r="K666" i="4"/>
  <c r="J666" i="4"/>
  <c r="K665" i="4"/>
  <c r="J665" i="4"/>
  <c r="K664" i="4"/>
  <c r="J664" i="4"/>
  <c r="K663" i="4"/>
  <c r="J663" i="4"/>
  <c r="K662" i="4"/>
  <c r="J662" i="4"/>
  <c r="K661" i="4"/>
  <c r="J661" i="4"/>
  <c r="K660" i="4"/>
  <c r="J660" i="4"/>
  <c r="K659" i="4"/>
  <c r="J659" i="4"/>
  <c r="K658" i="4"/>
  <c r="J658" i="4"/>
  <c r="K657" i="4"/>
  <c r="J657" i="4"/>
  <c r="K656" i="4"/>
  <c r="J656" i="4"/>
  <c r="K655" i="4"/>
  <c r="J655" i="4"/>
  <c r="K654" i="4"/>
  <c r="J654" i="4"/>
  <c r="K653" i="4"/>
  <c r="J653" i="4"/>
  <c r="K652" i="4"/>
  <c r="J652" i="4"/>
  <c r="K651" i="4"/>
  <c r="J651" i="4"/>
  <c r="K650" i="4"/>
  <c r="J650" i="4"/>
  <c r="K649" i="4"/>
  <c r="J649" i="4"/>
  <c r="K648" i="4"/>
  <c r="J648" i="4"/>
  <c r="K647" i="4"/>
  <c r="J647" i="4"/>
  <c r="K646" i="4"/>
  <c r="J646" i="4"/>
  <c r="K645" i="4"/>
  <c r="J645" i="4"/>
  <c r="K644" i="4"/>
  <c r="J644" i="4"/>
  <c r="K643" i="4"/>
  <c r="J643" i="4"/>
  <c r="K642" i="4"/>
  <c r="J642" i="4"/>
  <c r="K641" i="4"/>
  <c r="J641" i="4"/>
  <c r="K640" i="4"/>
  <c r="J640" i="4"/>
  <c r="K639" i="4"/>
  <c r="J639" i="4"/>
  <c r="K638" i="4"/>
  <c r="J638" i="4"/>
  <c r="K637" i="4"/>
  <c r="J637" i="4"/>
  <c r="K636" i="4"/>
  <c r="J636" i="4"/>
  <c r="K635" i="4"/>
  <c r="J635" i="4"/>
  <c r="K634" i="4"/>
  <c r="J634" i="4"/>
  <c r="K633" i="4"/>
  <c r="J633" i="4"/>
  <c r="K632" i="4"/>
  <c r="J632" i="4"/>
  <c r="K631" i="4"/>
  <c r="J631" i="4"/>
  <c r="K630" i="4"/>
  <c r="J630" i="4"/>
  <c r="K629" i="4"/>
  <c r="J629" i="4"/>
  <c r="K628" i="4"/>
  <c r="J628" i="4"/>
  <c r="K627" i="4"/>
  <c r="J627" i="4"/>
  <c r="K626" i="4"/>
  <c r="J626" i="4"/>
  <c r="K625" i="4"/>
  <c r="J625" i="4"/>
  <c r="K624" i="4"/>
  <c r="J624" i="4"/>
  <c r="K623" i="4"/>
  <c r="J623" i="4"/>
  <c r="K622" i="4"/>
  <c r="J622" i="4"/>
  <c r="K621" i="4"/>
  <c r="J621" i="4"/>
  <c r="K620" i="4"/>
  <c r="J620" i="4"/>
  <c r="K619" i="4"/>
  <c r="J619" i="4"/>
  <c r="K618" i="4"/>
  <c r="J618" i="4"/>
  <c r="K617" i="4"/>
  <c r="J617" i="4"/>
  <c r="K616" i="4"/>
  <c r="J616" i="4"/>
  <c r="K615" i="4"/>
  <c r="J615" i="4"/>
  <c r="K614" i="4"/>
  <c r="J614" i="4"/>
  <c r="K613" i="4"/>
  <c r="J613" i="4"/>
  <c r="K612" i="4"/>
  <c r="J612" i="4"/>
  <c r="K611" i="4"/>
  <c r="J611" i="4"/>
  <c r="K610" i="4"/>
  <c r="J610" i="4"/>
  <c r="K609" i="4"/>
  <c r="J609" i="4"/>
  <c r="K608" i="4"/>
  <c r="J608" i="4"/>
  <c r="K607" i="4"/>
  <c r="J607" i="4"/>
  <c r="K606" i="4"/>
  <c r="J606" i="4"/>
  <c r="K605" i="4"/>
  <c r="J605" i="4"/>
  <c r="K604" i="4"/>
  <c r="J604" i="4"/>
  <c r="K603" i="4"/>
  <c r="J603" i="4"/>
  <c r="K602" i="4"/>
  <c r="J602" i="4"/>
  <c r="K601" i="4"/>
  <c r="J601" i="4"/>
  <c r="K600" i="4"/>
  <c r="J600" i="4"/>
  <c r="K599" i="4"/>
  <c r="J599" i="4"/>
  <c r="K598" i="4"/>
  <c r="J598" i="4"/>
  <c r="K597" i="4"/>
  <c r="J597" i="4"/>
  <c r="K596" i="4"/>
  <c r="J596" i="4"/>
  <c r="K595" i="4"/>
  <c r="J595" i="4"/>
  <c r="K594" i="4"/>
  <c r="J594" i="4"/>
  <c r="K593" i="4"/>
  <c r="J593" i="4"/>
  <c r="K592" i="4"/>
  <c r="J592" i="4"/>
  <c r="K591" i="4"/>
  <c r="J591" i="4"/>
  <c r="K590" i="4"/>
  <c r="J590" i="4"/>
  <c r="K589" i="4"/>
  <c r="J589" i="4"/>
  <c r="K588" i="4"/>
  <c r="J588" i="4"/>
  <c r="K587" i="4"/>
  <c r="J587" i="4"/>
  <c r="K586" i="4"/>
  <c r="J586" i="4"/>
  <c r="K585" i="4"/>
  <c r="J585" i="4"/>
  <c r="K584" i="4"/>
  <c r="J584" i="4"/>
  <c r="K583" i="4"/>
  <c r="J583" i="4"/>
  <c r="K582" i="4"/>
  <c r="J582" i="4"/>
  <c r="K581" i="4"/>
  <c r="J581" i="4"/>
  <c r="K580" i="4"/>
  <c r="J580" i="4"/>
  <c r="K579" i="4"/>
  <c r="J579" i="4"/>
  <c r="K578" i="4"/>
  <c r="J578" i="4"/>
  <c r="K577" i="4"/>
  <c r="J577" i="4"/>
  <c r="K576" i="4"/>
  <c r="J576" i="4"/>
  <c r="K575" i="4"/>
  <c r="J575" i="4"/>
  <c r="K574" i="4"/>
  <c r="J574" i="4"/>
  <c r="K573" i="4"/>
  <c r="J573" i="4"/>
  <c r="K572" i="4"/>
  <c r="J572" i="4"/>
  <c r="K571" i="4"/>
  <c r="J571" i="4"/>
  <c r="K570" i="4"/>
  <c r="J570" i="4"/>
  <c r="K569" i="4"/>
  <c r="J569" i="4"/>
  <c r="K568" i="4"/>
  <c r="J568" i="4"/>
  <c r="K567" i="4"/>
  <c r="J567" i="4"/>
  <c r="K566" i="4"/>
  <c r="J566" i="4"/>
  <c r="K565" i="4"/>
  <c r="J565" i="4"/>
  <c r="K564" i="4"/>
  <c r="J564" i="4"/>
  <c r="K563" i="4"/>
  <c r="J563" i="4"/>
  <c r="K562" i="4"/>
  <c r="J562" i="4"/>
  <c r="K561" i="4"/>
  <c r="J561" i="4"/>
  <c r="K560" i="4"/>
  <c r="J560" i="4"/>
  <c r="K559" i="4"/>
  <c r="J559" i="4"/>
  <c r="K558" i="4"/>
  <c r="J558" i="4"/>
  <c r="K557" i="4"/>
  <c r="J557" i="4"/>
  <c r="K556" i="4"/>
  <c r="J556" i="4"/>
  <c r="K555" i="4"/>
  <c r="J555" i="4"/>
  <c r="K554" i="4"/>
  <c r="J554" i="4"/>
  <c r="K553" i="4"/>
  <c r="J553" i="4"/>
  <c r="K552" i="4"/>
  <c r="J552" i="4"/>
  <c r="K551" i="4"/>
  <c r="J551" i="4"/>
  <c r="K550" i="4"/>
  <c r="J550" i="4"/>
  <c r="K549" i="4"/>
  <c r="J549" i="4"/>
  <c r="K548" i="4"/>
  <c r="J548" i="4"/>
  <c r="K547" i="4"/>
  <c r="J547" i="4"/>
  <c r="K546" i="4"/>
  <c r="J546" i="4"/>
  <c r="K545" i="4"/>
  <c r="J545" i="4"/>
  <c r="K544" i="4"/>
  <c r="J544" i="4"/>
  <c r="K543" i="4"/>
  <c r="J543" i="4"/>
  <c r="K542" i="4"/>
  <c r="J542" i="4"/>
  <c r="K541" i="4"/>
  <c r="J541" i="4"/>
  <c r="K540" i="4"/>
  <c r="J540" i="4"/>
  <c r="K539" i="4"/>
  <c r="J539" i="4"/>
  <c r="K538" i="4"/>
  <c r="J538" i="4"/>
  <c r="K537" i="4"/>
  <c r="J537" i="4"/>
  <c r="K536" i="4"/>
  <c r="J536" i="4"/>
  <c r="K535" i="4"/>
  <c r="J535" i="4"/>
  <c r="K534" i="4"/>
  <c r="J534" i="4"/>
  <c r="K533" i="4"/>
  <c r="J533" i="4"/>
  <c r="K532" i="4"/>
  <c r="J532" i="4"/>
  <c r="K531" i="4"/>
  <c r="J531" i="4"/>
  <c r="K530" i="4"/>
  <c r="J530" i="4"/>
  <c r="K529" i="4"/>
  <c r="J529" i="4"/>
  <c r="K528" i="4"/>
  <c r="J528" i="4"/>
  <c r="K527" i="4"/>
  <c r="J527" i="4"/>
  <c r="K526" i="4"/>
  <c r="J526" i="4"/>
  <c r="K525" i="4"/>
  <c r="J525" i="4"/>
  <c r="K524" i="4"/>
  <c r="J524" i="4"/>
  <c r="K523" i="4"/>
  <c r="J523" i="4"/>
  <c r="K522" i="4"/>
  <c r="J522" i="4"/>
  <c r="K521" i="4"/>
  <c r="J521" i="4"/>
  <c r="K520" i="4"/>
  <c r="J520" i="4"/>
  <c r="K519" i="4"/>
  <c r="J519" i="4"/>
  <c r="K518" i="4"/>
  <c r="J518" i="4"/>
  <c r="K517" i="4"/>
  <c r="J517" i="4"/>
  <c r="K516" i="4"/>
  <c r="J516" i="4"/>
  <c r="K515" i="4"/>
  <c r="J515" i="4"/>
  <c r="K514" i="4"/>
  <c r="J514" i="4"/>
  <c r="K513" i="4"/>
  <c r="J513" i="4"/>
  <c r="K512" i="4"/>
  <c r="J512" i="4"/>
  <c r="K511" i="4"/>
  <c r="J511" i="4"/>
  <c r="K510" i="4"/>
  <c r="J510" i="4"/>
  <c r="K509" i="4"/>
  <c r="J509" i="4"/>
  <c r="K508" i="4"/>
  <c r="J508" i="4"/>
  <c r="K507" i="4"/>
  <c r="J507" i="4"/>
  <c r="K506" i="4"/>
  <c r="J506" i="4"/>
  <c r="K505" i="4"/>
  <c r="J505" i="4"/>
  <c r="K504" i="4"/>
  <c r="J504" i="4"/>
  <c r="K503" i="4"/>
  <c r="J503" i="4"/>
  <c r="K502" i="4"/>
  <c r="J502" i="4"/>
  <c r="K501" i="4"/>
  <c r="J501" i="4"/>
  <c r="K500" i="4"/>
  <c r="J500" i="4"/>
  <c r="K499" i="4"/>
  <c r="J499" i="4"/>
  <c r="K498" i="4"/>
  <c r="J498" i="4"/>
  <c r="K497" i="4"/>
  <c r="J497" i="4"/>
  <c r="K496" i="4"/>
  <c r="J496" i="4"/>
  <c r="K495" i="4"/>
  <c r="J495" i="4"/>
  <c r="K494" i="4"/>
  <c r="J494" i="4"/>
  <c r="K493" i="4"/>
  <c r="J493" i="4"/>
  <c r="K492" i="4"/>
  <c r="J492" i="4"/>
  <c r="K491" i="4"/>
  <c r="J491" i="4"/>
  <c r="K490" i="4"/>
  <c r="J490" i="4"/>
  <c r="K489" i="4"/>
  <c r="J489" i="4"/>
  <c r="K488" i="4"/>
  <c r="J488" i="4"/>
  <c r="K487" i="4"/>
  <c r="J487" i="4"/>
  <c r="K486" i="4"/>
  <c r="J486" i="4"/>
  <c r="K485" i="4"/>
  <c r="J485" i="4"/>
  <c r="K484" i="4"/>
  <c r="J484" i="4"/>
  <c r="K483" i="4"/>
  <c r="J483" i="4"/>
  <c r="K482" i="4"/>
  <c r="J482" i="4"/>
  <c r="K481" i="4"/>
  <c r="J481" i="4"/>
  <c r="K480" i="4"/>
  <c r="J480" i="4"/>
  <c r="K479" i="4"/>
  <c r="J479" i="4"/>
  <c r="K478" i="4"/>
  <c r="J478" i="4"/>
  <c r="K477" i="4"/>
  <c r="J477" i="4"/>
  <c r="K476" i="4"/>
  <c r="J476" i="4"/>
  <c r="K475" i="4"/>
  <c r="J475" i="4"/>
  <c r="K474" i="4"/>
  <c r="J474" i="4"/>
  <c r="K473" i="4"/>
  <c r="J473" i="4"/>
  <c r="K472" i="4"/>
  <c r="J472" i="4"/>
  <c r="K471" i="4"/>
  <c r="J471" i="4"/>
  <c r="K470" i="4"/>
  <c r="J470" i="4"/>
  <c r="K469" i="4"/>
  <c r="J469" i="4"/>
  <c r="K468" i="4"/>
  <c r="J468" i="4"/>
  <c r="K467" i="4"/>
  <c r="J467" i="4"/>
  <c r="K466" i="4"/>
  <c r="J466" i="4"/>
  <c r="K465" i="4"/>
  <c r="J465" i="4"/>
  <c r="K464" i="4"/>
  <c r="J464" i="4"/>
  <c r="K463" i="4"/>
  <c r="J463" i="4"/>
  <c r="K462" i="4"/>
  <c r="J462" i="4"/>
  <c r="K461" i="4"/>
  <c r="J461" i="4"/>
  <c r="K460" i="4"/>
  <c r="J460" i="4"/>
  <c r="K459" i="4"/>
  <c r="J459" i="4"/>
  <c r="K458" i="4"/>
  <c r="J458" i="4"/>
  <c r="K457" i="4"/>
  <c r="J457" i="4"/>
  <c r="K456" i="4"/>
  <c r="J456" i="4"/>
  <c r="K455" i="4"/>
  <c r="J455" i="4"/>
  <c r="K454" i="4"/>
  <c r="J454" i="4"/>
  <c r="K453" i="4"/>
  <c r="J453" i="4"/>
  <c r="K452" i="4"/>
  <c r="J452" i="4"/>
  <c r="K451" i="4"/>
  <c r="J451" i="4"/>
  <c r="K450" i="4"/>
  <c r="J450" i="4"/>
  <c r="K449" i="4"/>
  <c r="J449" i="4"/>
  <c r="K448" i="4"/>
  <c r="J448" i="4"/>
  <c r="K447" i="4"/>
  <c r="J447" i="4"/>
  <c r="K446" i="4"/>
  <c r="J446" i="4"/>
  <c r="K445" i="4"/>
  <c r="J445" i="4"/>
  <c r="K444" i="4"/>
  <c r="J444" i="4"/>
  <c r="K443" i="4"/>
  <c r="J443" i="4"/>
  <c r="K442" i="4"/>
  <c r="J442" i="4"/>
  <c r="K441" i="4"/>
  <c r="J441" i="4"/>
  <c r="K440" i="4"/>
  <c r="J440" i="4"/>
  <c r="K439" i="4"/>
  <c r="J439" i="4"/>
  <c r="K438" i="4"/>
  <c r="J438" i="4"/>
  <c r="K437" i="4"/>
  <c r="J437" i="4"/>
  <c r="K436" i="4"/>
  <c r="J436" i="4"/>
  <c r="K435" i="4"/>
  <c r="J435" i="4"/>
  <c r="K434" i="4"/>
  <c r="J434" i="4"/>
  <c r="K433" i="4"/>
  <c r="J433" i="4"/>
  <c r="K432" i="4"/>
  <c r="J432" i="4"/>
  <c r="K431" i="4"/>
  <c r="J431" i="4"/>
  <c r="K430" i="4"/>
  <c r="J430" i="4"/>
  <c r="K429" i="4"/>
  <c r="J429" i="4"/>
  <c r="K428" i="4"/>
  <c r="J428" i="4"/>
  <c r="K427" i="4"/>
  <c r="J427" i="4"/>
  <c r="K426" i="4"/>
  <c r="J426" i="4"/>
  <c r="K425" i="4"/>
  <c r="J425" i="4"/>
  <c r="K424" i="4"/>
  <c r="J424" i="4"/>
  <c r="K423" i="4"/>
  <c r="J423" i="4"/>
  <c r="K422" i="4"/>
  <c r="J422" i="4"/>
  <c r="K421" i="4"/>
  <c r="J421" i="4"/>
  <c r="K420" i="4"/>
  <c r="J420" i="4"/>
  <c r="K419" i="4"/>
  <c r="J419" i="4"/>
  <c r="K418" i="4"/>
  <c r="J418" i="4"/>
  <c r="K417" i="4"/>
  <c r="J417" i="4"/>
  <c r="K416" i="4"/>
  <c r="J416" i="4"/>
  <c r="K415" i="4"/>
  <c r="J415" i="4"/>
  <c r="K414" i="4"/>
  <c r="J414" i="4"/>
  <c r="K413" i="4"/>
  <c r="J413" i="4"/>
  <c r="K412" i="4"/>
  <c r="J412" i="4"/>
  <c r="K411" i="4"/>
  <c r="J411" i="4"/>
  <c r="K410" i="4"/>
  <c r="J410" i="4"/>
  <c r="K409" i="4"/>
  <c r="J409" i="4"/>
  <c r="K408" i="4"/>
  <c r="J408" i="4"/>
  <c r="K407" i="4"/>
  <c r="J407" i="4"/>
  <c r="K406" i="4"/>
  <c r="J406" i="4"/>
  <c r="K405" i="4"/>
  <c r="J405" i="4"/>
  <c r="K404" i="4"/>
  <c r="J404" i="4"/>
  <c r="K403" i="4"/>
  <c r="J403" i="4"/>
  <c r="K402" i="4"/>
  <c r="J402" i="4"/>
  <c r="K401" i="4"/>
  <c r="J401" i="4"/>
  <c r="K400" i="4"/>
  <c r="J400" i="4"/>
  <c r="K399" i="4"/>
  <c r="J399" i="4"/>
  <c r="K398" i="4"/>
  <c r="J398" i="4"/>
  <c r="K397" i="4"/>
  <c r="J397" i="4"/>
  <c r="K396" i="4"/>
  <c r="J396" i="4"/>
  <c r="K395" i="4"/>
  <c r="J395" i="4"/>
  <c r="K394" i="4"/>
  <c r="J394" i="4"/>
  <c r="K393" i="4"/>
  <c r="J393" i="4"/>
  <c r="K392" i="4"/>
  <c r="J392" i="4"/>
  <c r="K391" i="4"/>
  <c r="J391" i="4"/>
  <c r="K390" i="4"/>
  <c r="J390" i="4"/>
  <c r="K389" i="4"/>
  <c r="J389" i="4"/>
  <c r="K388" i="4"/>
  <c r="J388" i="4"/>
  <c r="K387" i="4"/>
  <c r="J387" i="4"/>
  <c r="K386" i="4"/>
  <c r="J386" i="4"/>
  <c r="K385" i="4"/>
  <c r="J385" i="4"/>
  <c r="K384" i="4"/>
  <c r="J384" i="4"/>
  <c r="K383" i="4"/>
  <c r="J383" i="4"/>
  <c r="K382" i="4"/>
  <c r="J382" i="4"/>
  <c r="K381" i="4"/>
  <c r="J381" i="4"/>
  <c r="K380" i="4"/>
  <c r="J380" i="4"/>
  <c r="K379" i="4"/>
  <c r="J379" i="4"/>
  <c r="K378" i="4"/>
  <c r="J378" i="4"/>
  <c r="K377" i="4"/>
  <c r="J377" i="4"/>
  <c r="K376" i="4"/>
  <c r="J376" i="4"/>
  <c r="K375" i="4"/>
  <c r="J375" i="4"/>
  <c r="K374" i="4"/>
  <c r="J374" i="4"/>
  <c r="K373" i="4"/>
  <c r="J373" i="4"/>
  <c r="K372" i="4"/>
  <c r="J372" i="4"/>
  <c r="K371" i="4"/>
  <c r="J371" i="4"/>
  <c r="K370" i="4"/>
  <c r="J370" i="4"/>
  <c r="K369" i="4"/>
  <c r="J369" i="4"/>
  <c r="K368" i="4"/>
  <c r="J368" i="4"/>
  <c r="K367" i="4"/>
  <c r="J367" i="4"/>
  <c r="K366" i="4"/>
  <c r="J366" i="4"/>
  <c r="K365" i="4"/>
  <c r="J365" i="4"/>
  <c r="K364" i="4"/>
  <c r="J364" i="4"/>
  <c r="K363" i="4"/>
  <c r="J363" i="4"/>
  <c r="K362" i="4"/>
  <c r="J362" i="4"/>
  <c r="K361" i="4"/>
  <c r="J361" i="4"/>
  <c r="K360" i="4"/>
  <c r="J360" i="4"/>
  <c r="K359" i="4"/>
  <c r="J359" i="4"/>
  <c r="K358" i="4"/>
  <c r="J358" i="4"/>
  <c r="K357" i="4"/>
  <c r="J357" i="4"/>
  <c r="K356" i="4"/>
  <c r="J356" i="4"/>
  <c r="K355" i="4"/>
  <c r="J355" i="4"/>
  <c r="K354" i="4"/>
  <c r="J354" i="4"/>
  <c r="K353" i="4"/>
  <c r="J353" i="4"/>
  <c r="K352" i="4"/>
  <c r="J352" i="4"/>
  <c r="K351" i="4"/>
  <c r="J351" i="4"/>
  <c r="K350" i="4"/>
  <c r="J350" i="4"/>
  <c r="K349" i="4"/>
  <c r="J349" i="4"/>
  <c r="K348" i="4"/>
  <c r="J348" i="4"/>
  <c r="K347" i="4"/>
  <c r="J347" i="4"/>
  <c r="K346" i="4"/>
  <c r="J346" i="4"/>
  <c r="K345" i="4"/>
  <c r="J345" i="4"/>
  <c r="K344" i="4"/>
  <c r="J344" i="4"/>
  <c r="K343" i="4"/>
  <c r="J343" i="4"/>
  <c r="K342" i="4"/>
  <c r="J342" i="4"/>
  <c r="K341" i="4"/>
  <c r="J341" i="4"/>
  <c r="K340" i="4"/>
  <c r="J340" i="4"/>
  <c r="K339" i="4"/>
  <c r="J339" i="4"/>
  <c r="K338" i="4"/>
  <c r="J338" i="4"/>
  <c r="K337" i="4"/>
  <c r="J337" i="4"/>
  <c r="K336" i="4"/>
  <c r="J336" i="4"/>
  <c r="K335" i="4"/>
  <c r="J335" i="4"/>
  <c r="K334" i="4"/>
  <c r="J334" i="4"/>
  <c r="K333" i="4"/>
  <c r="J333" i="4"/>
  <c r="K332" i="4"/>
  <c r="J332" i="4"/>
  <c r="K331" i="4"/>
  <c r="J331" i="4"/>
  <c r="K330" i="4"/>
  <c r="J330" i="4"/>
  <c r="K329" i="4"/>
  <c r="J329" i="4"/>
  <c r="K328" i="4"/>
  <c r="J328" i="4"/>
  <c r="K327" i="4"/>
  <c r="J327" i="4"/>
  <c r="K326" i="4"/>
  <c r="J326" i="4"/>
  <c r="K325" i="4"/>
  <c r="J325" i="4"/>
  <c r="K324" i="4"/>
  <c r="J324" i="4"/>
  <c r="K323" i="4"/>
  <c r="J323" i="4"/>
  <c r="K322" i="4"/>
  <c r="J322" i="4"/>
  <c r="K321" i="4"/>
  <c r="J321" i="4"/>
  <c r="K320" i="4"/>
  <c r="J320" i="4"/>
  <c r="K319" i="4"/>
  <c r="J319" i="4"/>
  <c r="K318" i="4"/>
  <c r="J318" i="4"/>
  <c r="K317" i="4"/>
  <c r="J317" i="4"/>
  <c r="K316" i="4"/>
  <c r="J316" i="4"/>
  <c r="K315" i="4"/>
  <c r="J315" i="4"/>
  <c r="K314" i="4"/>
  <c r="J314" i="4"/>
  <c r="K313" i="4"/>
  <c r="J313" i="4"/>
  <c r="K312" i="4"/>
  <c r="J312" i="4"/>
  <c r="K311" i="4"/>
  <c r="J311" i="4"/>
  <c r="K310" i="4"/>
  <c r="J310" i="4"/>
  <c r="K309" i="4"/>
  <c r="J309" i="4"/>
  <c r="K308" i="4"/>
  <c r="J308" i="4"/>
  <c r="K307" i="4"/>
  <c r="J307" i="4"/>
  <c r="K306" i="4"/>
  <c r="J306" i="4"/>
  <c r="K305" i="4"/>
  <c r="J305" i="4"/>
  <c r="K304" i="4"/>
  <c r="J304" i="4"/>
  <c r="K303" i="4"/>
  <c r="J303" i="4"/>
  <c r="K302" i="4"/>
  <c r="J302" i="4"/>
  <c r="K301" i="4"/>
  <c r="J301" i="4"/>
  <c r="K300" i="4"/>
  <c r="J300" i="4"/>
  <c r="K299" i="4"/>
  <c r="J299" i="4"/>
  <c r="K298" i="4"/>
  <c r="J298" i="4"/>
  <c r="K297" i="4"/>
  <c r="J297" i="4"/>
  <c r="K296" i="4"/>
  <c r="J296" i="4"/>
  <c r="K295" i="4"/>
  <c r="J295" i="4"/>
  <c r="K294" i="4"/>
  <c r="J294" i="4"/>
  <c r="K293" i="4"/>
  <c r="J293" i="4"/>
  <c r="K292" i="4"/>
  <c r="J292" i="4"/>
  <c r="K291" i="4"/>
  <c r="J291" i="4"/>
  <c r="K290" i="4"/>
  <c r="J290" i="4"/>
  <c r="K289" i="4"/>
  <c r="J289" i="4"/>
  <c r="K288" i="4"/>
  <c r="J288" i="4"/>
  <c r="K287" i="4"/>
  <c r="J287" i="4"/>
  <c r="K286" i="4"/>
  <c r="J286" i="4"/>
  <c r="K285" i="4"/>
  <c r="J285" i="4"/>
  <c r="K284" i="4"/>
  <c r="J284" i="4"/>
  <c r="K283" i="4"/>
  <c r="J283" i="4"/>
  <c r="K282" i="4"/>
  <c r="J282" i="4"/>
  <c r="K281" i="4"/>
  <c r="J281" i="4"/>
  <c r="K280" i="4"/>
  <c r="J280" i="4"/>
  <c r="K279" i="4"/>
  <c r="J279" i="4"/>
  <c r="K278" i="4"/>
  <c r="J278" i="4"/>
  <c r="K277" i="4"/>
  <c r="J277" i="4"/>
  <c r="K276" i="4"/>
  <c r="J276" i="4"/>
  <c r="K275" i="4"/>
  <c r="J275" i="4"/>
  <c r="K274" i="4"/>
  <c r="J274" i="4"/>
  <c r="K273" i="4"/>
  <c r="J273" i="4"/>
  <c r="K272" i="4"/>
  <c r="J272" i="4"/>
  <c r="K271" i="4"/>
  <c r="J271" i="4"/>
  <c r="K270" i="4"/>
  <c r="J270" i="4"/>
  <c r="K269" i="4"/>
  <c r="J269" i="4"/>
  <c r="K268" i="4"/>
  <c r="J268" i="4"/>
  <c r="K267" i="4"/>
  <c r="J267" i="4"/>
  <c r="K266" i="4"/>
  <c r="J266" i="4"/>
  <c r="K265" i="4"/>
  <c r="J265" i="4"/>
  <c r="K264" i="4"/>
  <c r="J264" i="4"/>
  <c r="K263" i="4"/>
  <c r="J263" i="4"/>
  <c r="K262" i="4"/>
  <c r="J262" i="4"/>
  <c r="K261" i="4"/>
  <c r="J261" i="4"/>
  <c r="K260" i="4"/>
  <c r="J260" i="4"/>
  <c r="K259" i="4"/>
  <c r="J259" i="4"/>
  <c r="K258" i="4"/>
  <c r="J258" i="4"/>
  <c r="K257" i="4"/>
  <c r="J257" i="4"/>
  <c r="K256" i="4"/>
  <c r="J256" i="4"/>
  <c r="K255" i="4"/>
  <c r="J255" i="4"/>
  <c r="K254" i="4"/>
  <c r="J254" i="4"/>
  <c r="K253" i="4"/>
  <c r="J253" i="4"/>
  <c r="K252" i="4"/>
  <c r="J252" i="4"/>
  <c r="K251" i="4"/>
  <c r="J251" i="4"/>
  <c r="K250" i="4"/>
  <c r="J250" i="4"/>
  <c r="K249" i="4"/>
  <c r="J249" i="4"/>
  <c r="K248" i="4"/>
  <c r="J248" i="4"/>
  <c r="K247" i="4"/>
  <c r="J247" i="4"/>
  <c r="K246" i="4"/>
  <c r="J246" i="4"/>
  <c r="K245" i="4"/>
  <c r="J245" i="4"/>
  <c r="K244" i="4"/>
  <c r="J244" i="4"/>
  <c r="K243" i="4"/>
  <c r="J243" i="4"/>
  <c r="K242" i="4"/>
  <c r="J242" i="4"/>
  <c r="K241" i="4"/>
  <c r="J241" i="4"/>
  <c r="K240" i="4"/>
  <c r="J240" i="4"/>
  <c r="K239" i="4"/>
  <c r="J239" i="4"/>
  <c r="K238" i="4"/>
  <c r="J238" i="4"/>
  <c r="K237" i="4"/>
  <c r="J237" i="4"/>
  <c r="K236" i="4"/>
  <c r="J236" i="4"/>
  <c r="K235" i="4"/>
  <c r="J235" i="4"/>
  <c r="K234" i="4"/>
  <c r="J234" i="4"/>
  <c r="K233" i="4"/>
  <c r="J233" i="4"/>
  <c r="K232" i="4"/>
  <c r="J232" i="4"/>
  <c r="K231" i="4"/>
  <c r="J231" i="4"/>
  <c r="K230" i="4"/>
  <c r="J230" i="4"/>
  <c r="K229" i="4"/>
  <c r="J229" i="4"/>
  <c r="K228" i="4"/>
  <c r="J228" i="4"/>
  <c r="K227" i="4"/>
  <c r="J227" i="4"/>
  <c r="K226" i="4"/>
  <c r="J226" i="4"/>
  <c r="K225" i="4"/>
  <c r="J225" i="4"/>
  <c r="K224" i="4"/>
  <c r="J224" i="4"/>
  <c r="K223" i="4"/>
  <c r="J223" i="4"/>
  <c r="K222" i="4"/>
  <c r="J222" i="4"/>
  <c r="K221" i="4"/>
  <c r="J221" i="4"/>
  <c r="K220" i="4"/>
  <c r="J220" i="4"/>
  <c r="K219" i="4"/>
  <c r="J219" i="4"/>
  <c r="K218" i="4"/>
  <c r="J218" i="4"/>
  <c r="K217" i="4"/>
  <c r="J217" i="4"/>
  <c r="K216" i="4"/>
  <c r="J216" i="4"/>
  <c r="K215" i="4"/>
  <c r="J215" i="4"/>
  <c r="K214" i="4"/>
  <c r="J214" i="4"/>
  <c r="K213" i="4"/>
  <c r="J213" i="4"/>
  <c r="K212" i="4"/>
  <c r="J212" i="4"/>
  <c r="K211" i="4"/>
  <c r="J211" i="4"/>
  <c r="K210" i="4"/>
  <c r="J210" i="4"/>
  <c r="K209" i="4"/>
  <c r="J209" i="4"/>
  <c r="K208" i="4"/>
  <c r="J208" i="4"/>
  <c r="K207" i="4"/>
  <c r="J207" i="4"/>
  <c r="K206" i="4"/>
  <c r="J206" i="4"/>
  <c r="K205" i="4"/>
  <c r="J205" i="4"/>
  <c r="K204" i="4"/>
  <c r="J204" i="4"/>
  <c r="K203" i="4"/>
  <c r="J203" i="4"/>
  <c r="K202" i="4"/>
  <c r="J202" i="4"/>
  <c r="K201" i="4"/>
  <c r="J201" i="4"/>
  <c r="K200" i="4"/>
  <c r="J200" i="4"/>
  <c r="K199" i="4"/>
  <c r="J199" i="4"/>
  <c r="K198" i="4"/>
  <c r="J198" i="4"/>
  <c r="K197" i="4"/>
  <c r="J197" i="4"/>
  <c r="K196" i="4"/>
  <c r="J196" i="4"/>
  <c r="K195" i="4"/>
  <c r="J195" i="4"/>
  <c r="K194" i="4"/>
  <c r="J194" i="4"/>
  <c r="K193" i="4"/>
  <c r="J193" i="4"/>
  <c r="K192" i="4"/>
  <c r="J192" i="4"/>
  <c r="K191" i="4"/>
  <c r="J191" i="4"/>
  <c r="K190" i="4"/>
  <c r="J190" i="4"/>
  <c r="K189" i="4"/>
  <c r="J189" i="4"/>
  <c r="K188" i="4"/>
  <c r="J188" i="4"/>
  <c r="K187" i="4"/>
  <c r="J187" i="4"/>
  <c r="K186" i="4"/>
  <c r="J186" i="4"/>
  <c r="K185" i="4"/>
  <c r="J185" i="4"/>
  <c r="K184" i="4"/>
  <c r="J184" i="4"/>
  <c r="K183" i="4"/>
  <c r="J183" i="4"/>
  <c r="K182" i="4"/>
  <c r="J182" i="4"/>
  <c r="K181" i="4"/>
  <c r="J181" i="4"/>
  <c r="K180" i="4"/>
  <c r="J180" i="4"/>
  <c r="K179" i="4"/>
  <c r="J179" i="4"/>
  <c r="K178" i="4"/>
  <c r="J178" i="4"/>
  <c r="K177" i="4"/>
  <c r="J177" i="4"/>
  <c r="K176" i="4"/>
  <c r="J176" i="4"/>
  <c r="K175" i="4"/>
  <c r="J175" i="4"/>
  <c r="K174" i="4"/>
  <c r="J174" i="4"/>
  <c r="K173" i="4"/>
  <c r="J173" i="4"/>
  <c r="K172" i="4"/>
  <c r="J172" i="4"/>
  <c r="K171" i="4"/>
  <c r="J171" i="4"/>
  <c r="K170" i="4"/>
  <c r="J170" i="4"/>
  <c r="K169" i="4"/>
  <c r="J169" i="4"/>
  <c r="K168" i="4"/>
  <c r="J168" i="4"/>
  <c r="K167" i="4"/>
  <c r="J167" i="4"/>
  <c r="K166" i="4"/>
  <c r="J166" i="4"/>
  <c r="K165" i="4"/>
  <c r="J165" i="4"/>
  <c r="K164" i="4"/>
  <c r="J164" i="4"/>
  <c r="K163" i="4"/>
  <c r="J163" i="4"/>
  <c r="K162" i="4"/>
  <c r="J162" i="4"/>
  <c r="K161" i="4"/>
  <c r="J161" i="4"/>
  <c r="K160" i="4"/>
  <c r="J160" i="4"/>
  <c r="K159" i="4"/>
  <c r="J159" i="4"/>
  <c r="K158" i="4"/>
  <c r="J158" i="4"/>
  <c r="K157" i="4"/>
  <c r="J157" i="4"/>
  <c r="K156" i="4"/>
  <c r="J156" i="4"/>
  <c r="K155" i="4"/>
  <c r="J155" i="4"/>
  <c r="K154" i="4"/>
  <c r="J154" i="4"/>
  <c r="K153" i="4"/>
  <c r="J153" i="4"/>
  <c r="K152" i="4"/>
  <c r="J152" i="4"/>
  <c r="K151" i="4"/>
  <c r="J151" i="4"/>
  <c r="K150" i="4"/>
  <c r="J150" i="4"/>
  <c r="K149" i="4"/>
  <c r="J149" i="4"/>
  <c r="K148" i="4"/>
  <c r="J148" i="4"/>
  <c r="K147" i="4"/>
  <c r="J147" i="4"/>
  <c r="K146" i="4"/>
  <c r="J146" i="4"/>
  <c r="K145" i="4"/>
  <c r="J145" i="4"/>
  <c r="K144" i="4"/>
  <c r="J144" i="4"/>
  <c r="K143" i="4"/>
  <c r="J143" i="4"/>
  <c r="K142" i="4"/>
  <c r="J142" i="4"/>
  <c r="K141" i="4"/>
  <c r="J141" i="4"/>
  <c r="K140" i="4"/>
  <c r="J140" i="4"/>
  <c r="K139" i="4"/>
  <c r="J139" i="4"/>
  <c r="K138" i="4"/>
  <c r="J138" i="4"/>
  <c r="K137" i="4"/>
  <c r="J137" i="4"/>
  <c r="K136" i="4"/>
  <c r="J136" i="4"/>
  <c r="K135" i="4"/>
  <c r="J135" i="4"/>
  <c r="K134" i="4"/>
  <c r="J134" i="4"/>
  <c r="K133" i="4"/>
  <c r="J133" i="4"/>
  <c r="K132" i="4"/>
  <c r="J132" i="4"/>
  <c r="K131" i="4"/>
  <c r="J131" i="4"/>
  <c r="K130" i="4"/>
  <c r="J130" i="4"/>
  <c r="K129" i="4"/>
  <c r="J129" i="4"/>
  <c r="K128" i="4"/>
  <c r="J128" i="4"/>
  <c r="K127" i="4"/>
  <c r="J127" i="4"/>
  <c r="K126" i="4"/>
  <c r="J126" i="4"/>
  <c r="K125" i="4"/>
  <c r="J125" i="4"/>
  <c r="K124" i="4"/>
  <c r="J124" i="4"/>
  <c r="K123" i="4"/>
  <c r="J123" i="4"/>
  <c r="K122" i="4"/>
  <c r="J122" i="4"/>
  <c r="K121" i="4"/>
  <c r="J121" i="4"/>
  <c r="K120" i="4"/>
  <c r="J120" i="4"/>
  <c r="K119" i="4"/>
  <c r="J119" i="4"/>
  <c r="K118" i="4"/>
  <c r="J118" i="4"/>
  <c r="K117" i="4"/>
  <c r="J117" i="4"/>
  <c r="K116" i="4"/>
  <c r="J116" i="4"/>
  <c r="K115" i="4"/>
  <c r="J115" i="4"/>
  <c r="K114" i="4"/>
  <c r="J114" i="4"/>
  <c r="K113" i="4"/>
  <c r="J113" i="4"/>
  <c r="K112" i="4"/>
  <c r="J112" i="4"/>
  <c r="K111" i="4"/>
  <c r="J111" i="4"/>
  <c r="K110" i="4"/>
  <c r="J110" i="4"/>
  <c r="K109" i="4"/>
  <c r="J109" i="4"/>
  <c r="K108" i="4"/>
  <c r="J108" i="4"/>
  <c r="K107" i="4"/>
  <c r="J107" i="4"/>
  <c r="K106" i="4"/>
  <c r="J106" i="4"/>
  <c r="K105" i="4"/>
  <c r="J105" i="4"/>
  <c r="K104" i="4"/>
  <c r="J104" i="4"/>
  <c r="K103" i="4"/>
  <c r="J103" i="4"/>
  <c r="K102" i="4"/>
  <c r="J102" i="4"/>
  <c r="K101" i="4"/>
  <c r="J101" i="4"/>
  <c r="K100" i="4"/>
  <c r="J100" i="4"/>
  <c r="K99" i="4"/>
  <c r="J99" i="4"/>
  <c r="K98" i="4"/>
  <c r="J98" i="4"/>
  <c r="K97" i="4"/>
  <c r="J97" i="4"/>
  <c r="K96" i="4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K2" i="4"/>
  <c r="J2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O31" i="4" l="1"/>
  <c r="O34" i="4"/>
  <c r="O33" i="4"/>
  <c r="O3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<sst xmlns="http://schemas.openxmlformats.org/spreadsheetml/2006/main" count="16745" uniqueCount="1732">
  <si>
    <t>Order_ID</t>
  </si>
  <si>
    <t>Date</t>
  </si>
  <si>
    <t>SKU</t>
  </si>
  <si>
    <t>Qty_Sold</t>
  </si>
  <si>
    <t>Location</t>
  </si>
  <si>
    <t>Staff_ID</t>
  </si>
  <si>
    <t>Revenue</t>
  </si>
  <si>
    <t>Lead_Time</t>
  </si>
  <si>
    <t>Risk_Level</t>
  </si>
  <si>
    <t>ORD-501</t>
  </si>
  <si>
    <t>9/22/2025</t>
  </si>
  <si>
    <t>SURG-P-02</t>
  </si>
  <si>
    <t>North</t>
  </si>
  <si>
    <t>Optician_A</t>
  </si>
  <si>
    <t>Medium Risk</t>
  </si>
  <si>
    <t>ORD-502</t>
  </si>
  <si>
    <t>8/16/2025</t>
  </si>
  <si>
    <t>FRM-M-10</t>
  </si>
  <si>
    <t>Optician_C</t>
  </si>
  <si>
    <t>ORD-503</t>
  </si>
  <si>
    <t>East</t>
  </si>
  <si>
    <t>ORD-504</t>
  </si>
  <si>
    <t>West</t>
  </si>
  <si>
    <t>Surgeon_K</t>
  </si>
  <si>
    <t>ORD-505</t>
  </si>
  <si>
    <t>5/29/2025</t>
  </si>
  <si>
    <t>LENS-D-01</t>
  </si>
  <si>
    <t>87.5</t>
  </si>
  <si>
    <t>Low Risk</t>
  </si>
  <si>
    <t>ORD-506</t>
  </si>
  <si>
    <t>1/26/2025</t>
  </si>
  <si>
    <t>Optician_B</t>
  </si>
  <si>
    <t>ORD-507</t>
  </si>
  <si>
    <t>SURG-L-01</t>
  </si>
  <si>
    <t>High Risk</t>
  </si>
  <si>
    <t>ORD-508</t>
  </si>
  <si>
    <t>4/24/2025</t>
  </si>
  <si>
    <t>South</t>
  </si>
  <si>
    <t>ORD-509</t>
  </si>
  <si>
    <t>5/21/2025</t>
  </si>
  <si>
    <t>37.5</t>
  </si>
  <si>
    <t>ORD-510</t>
  </si>
  <si>
    <t>LENS-M-02</t>
  </si>
  <si>
    <t>ORD-511</t>
  </si>
  <si>
    <t>7/30/2025</t>
  </si>
  <si>
    <t>ORD-512</t>
  </si>
  <si>
    <t>1/20/2025</t>
  </si>
  <si>
    <t>137.5</t>
  </si>
  <si>
    <t>ORD-513</t>
  </si>
  <si>
    <t>ORD-514</t>
  </si>
  <si>
    <t>ORD-515</t>
  </si>
  <si>
    <t>ORD-516</t>
  </si>
  <si>
    <t>12/26/2025</t>
  </si>
  <si>
    <t>SOL-S-01</t>
  </si>
  <si>
    <t>80.75</t>
  </si>
  <si>
    <t>ORD-517</t>
  </si>
  <si>
    <t>ORD-518</t>
  </si>
  <si>
    <t>ORD-519</t>
  </si>
  <si>
    <t>5/22/2025</t>
  </si>
  <si>
    <t>ORD-520</t>
  </si>
  <si>
    <t>4/28/2025</t>
  </si>
  <si>
    <t>ORD-521</t>
  </si>
  <si>
    <t>10/27/2025</t>
  </si>
  <si>
    <t>ORD-522</t>
  </si>
  <si>
    <t>ORD-523</t>
  </si>
  <si>
    <t>11/13/2025</t>
  </si>
  <si>
    <t>ORD-524</t>
  </si>
  <si>
    <t>6/22/2025</t>
  </si>
  <si>
    <t>ORD-525</t>
  </si>
  <si>
    <t>ORD-526</t>
  </si>
  <si>
    <t>ORD-527</t>
  </si>
  <si>
    <t>4/21/2025</t>
  </si>
  <si>
    <t>ORD-528</t>
  </si>
  <si>
    <t>ORD-529</t>
  </si>
  <si>
    <t>2/17/2025</t>
  </si>
  <si>
    <t>38.25</t>
  </si>
  <si>
    <t>ORD-530</t>
  </si>
  <si>
    <t>ORD-531</t>
  </si>
  <si>
    <t>ORD-532</t>
  </si>
  <si>
    <t>ORD-533</t>
  </si>
  <si>
    <t>8/23/2025</t>
  </si>
  <si>
    <t>ORD-534</t>
  </si>
  <si>
    <t>ORD-535</t>
  </si>
  <si>
    <t>1/31/2025</t>
  </si>
  <si>
    <t>ORD-536</t>
  </si>
  <si>
    <t>ORD-537</t>
  </si>
  <si>
    <t>ORD-538</t>
  </si>
  <si>
    <t>10/31/2025</t>
  </si>
  <si>
    <t>ORD-539</t>
  </si>
  <si>
    <t>8/31/2025</t>
  </si>
  <si>
    <t>FRM-W-12</t>
  </si>
  <si>
    <t>436.5</t>
  </si>
  <si>
    <t>ORD-540</t>
  </si>
  <si>
    <t>63.75</t>
  </si>
  <si>
    <t>ORD-541</t>
  </si>
  <si>
    <t>42.5</t>
  </si>
  <si>
    <t>ORD-542</t>
  </si>
  <si>
    <t>12/29/2025</t>
  </si>
  <si>
    <t>ORD-543</t>
  </si>
  <si>
    <t>ORD-544</t>
  </si>
  <si>
    <t>12/15/2025</t>
  </si>
  <si>
    <t>12.5</t>
  </si>
  <si>
    <t>ORD-545</t>
  </si>
  <si>
    <t>3/31/2025</t>
  </si>
  <si>
    <t>ORD-546</t>
  </si>
  <si>
    <t>5/16/2025</t>
  </si>
  <si>
    <t>ORD-547</t>
  </si>
  <si>
    <t>ORD-548</t>
  </si>
  <si>
    <t>7/28/2025</t>
  </si>
  <si>
    <t>48.5</t>
  </si>
  <si>
    <t>ORD-549</t>
  </si>
  <si>
    <t>10/13/2025</t>
  </si>
  <si>
    <t>ORD-550</t>
  </si>
  <si>
    <t>ORD-551</t>
  </si>
  <si>
    <t>ORD-552</t>
  </si>
  <si>
    <t>11/29/2025</t>
  </si>
  <si>
    <t>ORD-553</t>
  </si>
  <si>
    <t>12/31/2025</t>
  </si>
  <si>
    <t>ORD-554</t>
  </si>
  <si>
    <t>5/31/2025</t>
  </si>
  <si>
    <t>1018.5</t>
  </si>
  <si>
    <t>ORD-555</t>
  </si>
  <si>
    <t>7/22/2025</t>
  </si>
  <si>
    <t>1115.5</t>
  </si>
  <si>
    <t>ORD-556</t>
  </si>
  <si>
    <t>2/27/2025</t>
  </si>
  <si>
    <t>ORD-557</t>
  </si>
  <si>
    <t>10/15/2025</t>
  </si>
  <si>
    <t>ORD-558</t>
  </si>
  <si>
    <t>8/20/2025</t>
  </si>
  <si>
    <t>ORD-559</t>
  </si>
  <si>
    <t>2/14/2025</t>
  </si>
  <si>
    <t>ORD-560</t>
  </si>
  <si>
    <t>ORD-561</t>
  </si>
  <si>
    <t>ORD-562</t>
  </si>
  <si>
    <t>8/30/2025</t>
  </si>
  <si>
    <t>ORD-563</t>
  </si>
  <si>
    <t>ORD-564</t>
  </si>
  <si>
    <t>9/24/2025</t>
  </si>
  <si>
    <t>ORD-565</t>
  </si>
  <si>
    <t>ORD-566</t>
  </si>
  <si>
    <t>11/21/2025</t>
  </si>
  <si>
    <t>ORD-567</t>
  </si>
  <si>
    <t>ORD-568</t>
  </si>
  <si>
    <t>9/27/2025</t>
  </si>
  <si>
    <t>ORD-569</t>
  </si>
  <si>
    <t>4/30/2025</t>
  </si>
  <si>
    <t>ORD-570</t>
  </si>
  <si>
    <t>ORD-571</t>
  </si>
  <si>
    <t>4/22/2025</t>
  </si>
  <si>
    <t>ORD-572</t>
  </si>
  <si>
    <t>1/22/2025</t>
  </si>
  <si>
    <t>212.5</t>
  </si>
  <si>
    <t>ORD-573</t>
  </si>
  <si>
    <t>ORD-574</t>
  </si>
  <si>
    <t>62.5</t>
  </si>
  <si>
    <t>ORD-575</t>
  </si>
  <si>
    <t>ORD-576</t>
  </si>
  <si>
    <t>ORD-577</t>
  </si>
  <si>
    <t>9/15/2025</t>
  </si>
  <si>
    <t>ORD-578</t>
  </si>
  <si>
    <t>4/16/2025</t>
  </si>
  <si>
    <t>287.5</t>
  </si>
  <si>
    <t>ORD-579</t>
  </si>
  <si>
    <t>ORD-580</t>
  </si>
  <si>
    <t>1/14/2025</t>
  </si>
  <si>
    <t>ORD-581</t>
  </si>
  <si>
    <t>ORD-582</t>
  </si>
  <si>
    <t>8/19/2025</t>
  </si>
  <si>
    <t>ORD-583</t>
  </si>
  <si>
    <t>112.5</t>
  </si>
  <si>
    <t>ORD-584</t>
  </si>
  <si>
    <t>ORD-585</t>
  </si>
  <si>
    <t>3/25/2025</t>
  </si>
  <si>
    <t>ORD-586</t>
  </si>
  <si>
    <t>12/23/2025</t>
  </si>
  <si>
    <t>93.5</t>
  </si>
  <si>
    <t>ORD-587</t>
  </si>
  <si>
    <t>ORD-588</t>
  </si>
  <si>
    <t>ORD-589</t>
  </si>
  <si>
    <t>5/19/2025</t>
  </si>
  <si>
    <t>339.5</t>
  </si>
  <si>
    <t>ORD-590</t>
  </si>
  <si>
    <t>10/28/2025</t>
  </si>
  <si>
    <t>ORD-591</t>
  </si>
  <si>
    <t>ORD-592</t>
  </si>
  <si>
    <t>9/30/2025</t>
  </si>
  <si>
    <t>ORD-593</t>
  </si>
  <si>
    <t>55.25</t>
  </si>
  <si>
    <t>ORD-594</t>
  </si>
  <si>
    <t>ORD-595</t>
  </si>
  <si>
    <t>ORD-596</t>
  </si>
  <si>
    <t>12/22/2025</t>
  </si>
  <si>
    <t>ORD-597</t>
  </si>
  <si>
    <t>10/16/2025</t>
  </si>
  <si>
    <t>ORD-598</t>
  </si>
  <si>
    <t>11/24/2025</t>
  </si>
  <si>
    <t>89.25</t>
  </si>
  <si>
    <t>ORD-599</t>
  </si>
  <si>
    <t>1/16/2025</t>
  </si>
  <si>
    <t>ORD-600</t>
  </si>
  <si>
    <t>ORD-601</t>
  </si>
  <si>
    <t>ORD-602</t>
  </si>
  <si>
    <t>11/28/2025</t>
  </si>
  <si>
    <t>ORD-603</t>
  </si>
  <si>
    <t>6/15/2025</t>
  </si>
  <si>
    <t>ORD-604</t>
  </si>
  <si>
    <t>ORD-605</t>
  </si>
  <si>
    <t>9/28/2025</t>
  </si>
  <si>
    <t>ORD-606</t>
  </si>
  <si>
    <t>2/22/2025</t>
  </si>
  <si>
    <t>ORD-607</t>
  </si>
  <si>
    <t>6/21/2025</t>
  </si>
  <si>
    <t>ORD-608</t>
  </si>
  <si>
    <t>3/21/2025</t>
  </si>
  <si>
    <t>ORD-609</t>
  </si>
  <si>
    <t>ORD-610</t>
  </si>
  <si>
    <t>12/24/2025</t>
  </si>
  <si>
    <t>ORD-611</t>
  </si>
  <si>
    <t>ORD-612</t>
  </si>
  <si>
    <t>ORD-613</t>
  </si>
  <si>
    <t>5/26/2025</t>
  </si>
  <si>
    <t>ORD-614</t>
  </si>
  <si>
    <t>ORD-615</t>
  </si>
  <si>
    <t>9/18/2025</t>
  </si>
  <si>
    <t>ORD-616</t>
  </si>
  <si>
    <t>ORD-617</t>
  </si>
  <si>
    <t>11/19/2025</t>
  </si>
  <si>
    <t>59.5</t>
  </si>
  <si>
    <t>ORD-618</t>
  </si>
  <si>
    <t>ORD-619</t>
  </si>
  <si>
    <t>6/16/2025</t>
  </si>
  <si>
    <t>ORD-620</t>
  </si>
  <si>
    <t>11/22/2025</t>
  </si>
  <si>
    <t>ORD-621</t>
  </si>
  <si>
    <t>8/18/2025</t>
  </si>
  <si>
    <t>ORD-622</t>
  </si>
  <si>
    <t>6/25/2025</t>
  </si>
  <si>
    <t>533.5</t>
  </si>
  <si>
    <t>ORD-623</t>
  </si>
  <si>
    <t>46.75</t>
  </si>
  <si>
    <t>ORD-624</t>
  </si>
  <si>
    <t>7/26/2025</t>
  </si>
  <si>
    <t>ORD-625</t>
  </si>
  <si>
    <t>ORD-626</t>
  </si>
  <si>
    <t>ORD-627</t>
  </si>
  <si>
    <t>2/18/2025</t>
  </si>
  <si>
    <t>ORD-628</t>
  </si>
  <si>
    <t>10/18/2025</t>
  </si>
  <si>
    <t>ORD-629</t>
  </si>
  <si>
    <t>727.5</t>
  </si>
  <si>
    <t>ORD-630</t>
  </si>
  <si>
    <t>ORD-631</t>
  </si>
  <si>
    <t>ORD-632</t>
  </si>
  <si>
    <t>ORD-633</t>
  </si>
  <si>
    <t>9/14/2025</t>
  </si>
  <si>
    <t>ORD-634</t>
  </si>
  <si>
    <t>ORD-635</t>
  </si>
  <si>
    <t>5/20/2025</t>
  </si>
  <si>
    <t>ORD-636</t>
  </si>
  <si>
    <t>11/18/2025</t>
  </si>
  <si>
    <t>ORD-637</t>
  </si>
  <si>
    <t>630.5</t>
  </si>
  <si>
    <t>ORD-638</t>
  </si>
  <si>
    <t>ORD-639</t>
  </si>
  <si>
    <t>ORD-640</t>
  </si>
  <si>
    <t>ORD-641</t>
  </si>
  <si>
    <t>ORD-642</t>
  </si>
  <si>
    <t>ORD-643</t>
  </si>
  <si>
    <t>ORD-644</t>
  </si>
  <si>
    <t>ORD-645</t>
  </si>
  <si>
    <t>12/14/2025</t>
  </si>
  <si>
    <t>ORD-646</t>
  </si>
  <si>
    <t>ORD-647</t>
  </si>
  <si>
    <t>ORD-648</t>
  </si>
  <si>
    <t>ORD-649</t>
  </si>
  <si>
    <t>ORD-650</t>
  </si>
  <si>
    <t>7/15/2025</t>
  </si>
  <si>
    <t>12.75</t>
  </si>
  <si>
    <t>ORD-651</t>
  </si>
  <si>
    <t>ORD-652</t>
  </si>
  <si>
    <t>1/13/2025</t>
  </si>
  <si>
    <t>ORD-653</t>
  </si>
  <si>
    <t>ORD-654</t>
  </si>
  <si>
    <t>ORD-655</t>
  </si>
  <si>
    <t>312.5</t>
  </si>
  <si>
    <t>ORD-656</t>
  </si>
  <si>
    <t>ORD-657</t>
  </si>
  <si>
    <t>ORD-658</t>
  </si>
  <si>
    <t>5/18/2025</t>
  </si>
  <si>
    <t>ORD-659</t>
  </si>
  <si>
    <t>8.5</t>
  </si>
  <si>
    <t>ORD-660</t>
  </si>
  <si>
    <t>2/15/2025</t>
  </si>
  <si>
    <t>ORD-661</t>
  </si>
  <si>
    <t>ORD-662</t>
  </si>
  <si>
    <t>10/25/2025</t>
  </si>
  <si>
    <t>ORD-663</t>
  </si>
  <si>
    <t>9/23/2025</t>
  </si>
  <si>
    <t>ORD-664</t>
  </si>
  <si>
    <t>4/17/2025</t>
  </si>
  <si>
    <t>ORD-665</t>
  </si>
  <si>
    <t>11/27/2025</t>
  </si>
  <si>
    <t>ORD-666</t>
  </si>
  <si>
    <t>106.25</t>
  </si>
  <si>
    <t>ORD-667</t>
  </si>
  <si>
    <t>ORD-668</t>
  </si>
  <si>
    <t>ORD-669</t>
  </si>
  <si>
    <t>1212.5</t>
  </si>
  <si>
    <t>ORD-670</t>
  </si>
  <si>
    <t>11/30/2025</t>
  </si>
  <si>
    <t>ORD-671</t>
  </si>
  <si>
    <t>12/16/2025</t>
  </si>
  <si>
    <t>ORD-672</t>
  </si>
  <si>
    <t>ORD-673</t>
  </si>
  <si>
    <t>9/25/2025</t>
  </si>
  <si>
    <t>ORD-674</t>
  </si>
  <si>
    <t>7/27/2025</t>
  </si>
  <si>
    <t>ORD-675</t>
  </si>
  <si>
    <t>7/31/2025</t>
  </si>
  <si>
    <t>29.75</t>
  </si>
  <si>
    <t>ORD-676</t>
  </si>
  <si>
    <t>ORD-677</t>
  </si>
  <si>
    <t>6/27/2025</t>
  </si>
  <si>
    <t>ORD-678</t>
  </si>
  <si>
    <t>ORD-679</t>
  </si>
  <si>
    <t>ORD-680</t>
  </si>
  <si>
    <t>ORD-681</t>
  </si>
  <si>
    <t>ORD-682</t>
  </si>
  <si>
    <t>ORD-683</t>
  </si>
  <si>
    <t>5/27/2025</t>
  </si>
  <si>
    <t>ORD-684</t>
  </si>
  <si>
    <t>242.5</t>
  </si>
  <si>
    <t>ORD-685</t>
  </si>
  <si>
    <t>ORD-686</t>
  </si>
  <si>
    <t>ORD-687</t>
  </si>
  <si>
    <t>76.5</t>
  </si>
  <si>
    <t>ORD-688</t>
  </si>
  <si>
    <t>4/29/2025</t>
  </si>
  <si>
    <t>ORD-689</t>
  </si>
  <si>
    <t>ORD-690</t>
  </si>
  <si>
    <t>ORD-691</t>
  </si>
  <si>
    <t>ORD-692</t>
  </si>
  <si>
    <t>ORD-693</t>
  </si>
  <si>
    <t>ORD-694</t>
  </si>
  <si>
    <t>2/20/2025</t>
  </si>
  <si>
    <t>ORD-695</t>
  </si>
  <si>
    <t>ORD-696</t>
  </si>
  <si>
    <t>ORD-697</t>
  </si>
  <si>
    <t>ORD-698</t>
  </si>
  <si>
    <t>3/14/2025</t>
  </si>
  <si>
    <t>ORD-699</t>
  </si>
  <si>
    <t>7/17/2025</t>
  </si>
  <si>
    <t>ORD-700</t>
  </si>
  <si>
    <t>5/28/2025</t>
  </si>
  <si>
    <t>ORD-701</t>
  </si>
  <si>
    <t>ORD-702</t>
  </si>
  <si>
    <t>ORD-703</t>
  </si>
  <si>
    <t>ORD-704</t>
  </si>
  <si>
    <t>ORD-705</t>
  </si>
  <si>
    <t>ORD-706</t>
  </si>
  <si>
    <t>ORD-707</t>
  </si>
  <si>
    <t>824.5</t>
  </si>
  <si>
    <t>ORD-708</t>
  </si>
  <si>
    <t>6/23/2025</t>
  </si>
  <si>
    <t>ORD-709</t>
  </si>
  <si>
    <t>262.5</t>
  </si>
  <si>
    <t>ORD-710</t>
  </si>
  <si>
    <t>ORD-711</t>
  </si>
  <si>
    <t>25.5</t>
  </si>
  <si>
    <t>ORD-712</t>
  </si>
  <si>
    <t>ORD-713</t>
  </si>
  <si>
    <t>4.25</t>
  </si>
  <si>
    <t>ORD-714</t>
  </si>
  <si>
    <t>ORD-715</t>
  </si>
  <si>
    <t>145.5</t>
  </si>
  <si>
    <t>ORD-716</t>
  </si>
  <si>
    <t>ORD-717</t>
  </si>
  <si>
    <t>ORD-718</t>
  </si>
  <si>
    <t>2/16/2025</t>
  </si>
  <si>
    <t>ORD-719</t>
  </si>
  <si>
    <t>9/19/2025</t>
  </si>
  <si>
    <t>ORD-720</t>
  </si>
  <si>
    <t>4/18/2025</t>
  </si>
  <si>
    <t>ORD-721</t>
  </si>
  <si>
    <t>ORD-722</t>
  </si>
  <si>
    <t>ORD-723</t>
  </si>
  <si>
    <t>ORD-724</t>
  </si>
  <si>
    <t>ORD-725</t>
  </si>
  <si>
    <t>ORD-726</t>
  </si>
  <si>
    <t>ORD-727</t>
  </si>
  <si>
    <t>ORD-728</t>
  </si>
  <si>
    <t>ORD-729</t>
  </si>
  <si>
    <t>7/23/2025</t>
  </si>
  <si>
    <t>ORD-730</t>
  </si>
  <si>
    <t>7/25/2025</t>
  </si>
  <si>
    <t>ORD-731</t>
  </si>
  <si>
    <t>ORD-732</t>
  </si>
  <si>
    <t>12/21/2025</t>
  </si>
  <si>
    <t>ORD-733</t>
  </si>
  <si>
    <t>ORD-734</t>
  </si>
  <si>
    <t>ORD-735</t>
  </si>
  <si>
    <t>ORD-736</t>
  </si>
  <si>
    <t>5/17/2025</t>
  </si>
  <si>
    <t>ORD-737</t>
  </si>
  <si>
    <t>ORD-738</t>
  </si>
  <si>
    <t>10/14/2025</t>
  </si>
  <si>
    <t>ORD-739</t>
  </si>
  <si>
    <t>11/16/2025</t>
  </si>
  <si>
    <t>ORD-740</t>
  </si>
  <si>
    <t>ORD-741</t>
  </si>
  <si>
    <t>ORD-742</t>
  </si>
  <si>
    <t>ORD-743</t>
  </si>
  <si>
    <t>ORD-744</t>
  </si>
  <si>
    <t>3/26/2025</t>
  </si>
  <si>
    <t>ORD-745</t>
  </si>
  <si>
    <t>ORD-746</t>
  </si>
  <si>
    <t>1/27/2025</t>
  </si>
  <si>
    <t>ORD-747</t>
  </si>
  <si>
    <t>12/28/2025</t>
  </si>
  <si>
    <t>ORD-748</t>
  </si>
  <si>
    <t>ORD-749</t>
  </si>
  <si>
    <t>ORD-750</t>
  </si>
  <si>
    <t>ORD-751</t>
  </si>
  <si>
    <t>ORD-752</t>
  </si>
  <si>
    <t>ORD-753</t>
  </si>
  <si>
    <t>ORD-754</t>
  </si>
  <si>
    <t>ORD-755</t>
  </si>
  <si>
    <t>ORD-756</t>
  </si>
  <si>
    <t>ORD-757</t>
  </si>
  <si>
    <t>5/13/2025</t>
  </si>
  <si>
    <t>ORD-758</t>
  </si>
  <si>
    <t>ORD-759</t>
  </si>
  <si>
    <t>ORD-760</t>
  </si>
  <si>
    <t>ORD-761</t>
  </si>
  <si>
    <t>ORD-762</t>
  </si>
  <si>
    <t>4/26/2025</t>
  </si>
  <si>
    <t>162.5</t>
  </si>
  <si>
    <t>ORD-763</t>
  </si>
  <si>
    <t>6/20/2025</t>
  </si>
  <si>
    <t>ORD-764</t>
  </si>
  <si>
    <t>ORD-765</t>
  </si>
  <si>
    <t>ORD-766</t>
  </si>
  <si>
    <t>ORD-767</t>
  </si>
  <si>
    <t>9/21/2025</t>
  </si>
  <si>
    <t>ORD-768</t>
  </si>
  <si>
    <t>7/24/2025</t>
  </si>
  <si>
    <t>ORD-769</t>
  </si>
  <si>
    <t>3/18/2025</t>
  </si>
  <si>
    <t>ORD-770</t>
  </si>
  <si>
    <t>ORD-771</t>
  </si>
  <si>
    <t>7/20/2025</t>
  </si>
  <si>
    <t>ORD-772</t>
  </si>
  <si>
    <t>ORD-773</t>
  </si>
  <si>
    <t>ORD-774</t>
  </si>
  <si>
    <t>ORD-775</t>
  </si>
  <si>
    <t>ORD-776</t>
  </si>
  <si>
    <t>5/24/2025</t>
  </si>
  <si>
    <t>ORD-777</t>
  </si>
  <si>
    <t>ORD-778</t>
  </si>
  <si>
    <t>8/21/2025</t>
  </si>
  <si>
    <t>ORD-779</t>
  </si>
  <si>
    <t>9/29/2025</t>
  </si>
  <si>
    <t>ORD-780</t>
  </si>
  <si>
    <t>ORD-781</t>
  </si>
  <si>
    <t>ORD-782</t>
  </si>
  <si>
    <t>ORD-783</t>
  </si>
  <si>
    <t>ORD-784</t>
  </si>
  <si>
    <t>12/18/2025</t>
  </si>
  <si>
    <t>ORD-785</t>
  </si>
  <si>
    <t>ORD-786</t>
  </si>
  <si>
    <t>ORD-787</t>
  </si>
  <si>
    <t>ORD-788</t>
  </si>
  <si>
    <t>ORD-789</t>
  </si>
  <si>
    <t>ORD-790</t>
  </si>
  <si>
    <t>1/28/2025</t>
  </si>
  <si>
    <t>ORD-791</t>
  </si>
  <si>
    <t>7/13/2025</t>
  </si>
  <si>
    <t>ORD-792</t>
  </si>
  <si>
    <t>ORD-793</t>
  </si>
  <si>
    <t>ORD-794</t>
  </si>
  <si>
    <t>ORD-795</t>
  </si>
  <si>
    <t>ORD-796</t>
  </si>
  <si>
    <t>ORD-797</t>
  </si>
  <si>
    <t>ORD-798</t>
  </si>
  <si>
    <t>4/27/2025</t>
  </si>
  <si>
    <t>ORD-799</t>
  </si>
  <si>
    <t>ORD-800</t>
  </si>
  <si>
    <t>ORD-801</t>
  </si>
  <si>
    <t>6/28/2025</t>
  </si>
  <si>
    <t>ORD-802</t>
  </si>
  <si>
    <t>ORD-803</t>
  </si>
  <si>
    <t>ORD-804</t>
  </si>
  <si>
    <t>ORD-805</t>
  </si>
  <si>
    <t>ORD-806</t>
  </si>
  <si>
    <t>ORD-807</t>
  </si>
  <si>
    <t>ORD-808</t>
  </si>
  <si>
    <t>ORD-809</t>
  </si>
  <si>
    <t>ORD-810</t>
  </si>
  <si>
    <t>3/19/2025</t>
  </si>
  <si>
    <t>ORD-811</t>
  </si>
  <si>
    <t>9/17/2025</t>
  </si>
  <si>
    <t>ORD-812</t>
  </si>
  <si>
    <t>4/23/2025</t>
  </si>
  <si>
    <t>921.5</t>
  </si>
  <si>
    <t>ORD-813</t>
  </si>
  <si>
    <t>4/13/2025</t>
  </si>
  <si>
    <t>ORD-814</t>
  </si>
  <si>
    <t>ORD-815</t>
  </si>
  <si>
    <t>ORD-816</t>
  </si>
  <si>
    <t>ORD-817</t>
  </si>
  <si>
    <t>ORD-818</t>
  </si>
  <si>
    <t>ORD-819</t>
  </si>
  <si>
    <t>187.5</t>
  </si>
  <si>
    <t>ORD-820</t>
  </si>
  <si>
    <t>3/13/2025</t>
  </si>
  <si>
    <t>ORD-821</t>
  </si>
  <si>
    <t>ORD-822</t>
  </si>
  <si>
    <t>ORD-823</t>
  </si>
  <si>
    <t>ORD-824</t>
  </si>
  <si>
    <t>ORD-825</t>
  </si>
  <si>
    <t>ORD-826</t>
  </si>
  <si>
    <t>ORD-827</t>
  </si>
  <si>
    <t>ORD-828</t>
  </si>
  <si>
    <t>ORD-829</t>
  </si>
  <si>
    <t>ORD-830</t>
  </si>
  <si>
    <t>ORD-831</t>
  </si>
  <si>
    <t>ORD-832</t>
  </si>
  <si>
    <t>ORD-833</t>
  </si>
  <si>
    <t>ORD-834</t>
  </si>
  <si>
    <t>ORD-835</t>
  </si>
  <si>
    <t>ORD-836</t>
  </si>
  <si>
    <t>3/20/2025</t>
  </si>
  <si>
    <t>ORD-837</t>
  </si>
  <si>
    <t>ORD-838</t>
  </si>
  <si>
    <t>3/27/2025</t>
  </si>
  <si>
    <t>ORD-839</t>
  </si>
  <si>
    <t>ORD-840</t>
  </si>
  <si>
    <t>ORD-841</t>
  </si>
  <si>
    <t>ORD-842</t>
  </si>
  <si>
    <t>ORD-843</t>
  </si>
  <si>
    <t>ORD-844</t>
  </si>
  <si>
    <t>ORD-845</t>
  </si>
  <si>
    <t>ORD-846</t>
  </si>
  <si>
    <t>ORD-847</t>
  </si>
  <si>
    <t>7/16/2025</t>
  </si>
  <si>
    <t>ORD-848</t>
  </si>
  <si>
    <t>9/20/2025</t>
  </si>
  <si>
    <t>ORD-849</t>
  </si>
  <si>
    <t>ORD-850</t>
  </si>
  <si>
    <t>5/25/2025</t>
  </si>
  <si>
    <t>ORD-851</t>
  </si>
  <si>
    <t>ORD-852</t>
  </si>
  <si>
    <t>12/25/2025</t>
  </si>
  <si>
    <t>ORD-853</t>
  </si>
  <si>
    <t>ORD-854</t>
  </si>
  <si>
    <t>ORD-855</t>
  </si>
  <si>
    <t>ORD-856</t>
  </si>
  <si>
    <t>ORD-857</t>
  </si>
  <si>
    <t>ORD-858</t>
  </si>
  <si>
    <t>ORD-859</t>
  </si>
  <si>
    <t>6/30/2025</t>
  </si>
  <si>
    <t>ORD-860</t>
  </si>
  <si>
    <t>ORD-861</t>
  </si>
  <si>
    <t>ORD-862</t>
  </si>
  <si>
    <t>12/30/2025</t>
  </si>
  <si>
    <t>ORD-863</t>
  </si>
  <si>
    <t>7/14/2025</t>
  </si>
  <si>
    <t>ORD-864</t>
  </si>
  <si>
    <t>1/29/2025</t>
  </si>
  <si>
    <t>ORD-865</t>
  </si>
  <si>
    <t>ORD-866</t>
  </si>
  <si>
    <t>ORD-867</t>
  </si>
  <si>
    <t>ORD-868</t>
  </si>
  <si>
    <t>ORD-869</t>
  </si>
  <si>
    <t>3/23/2025</t>
  </si>
  <si>
    <t>97.75</t>
  </si>
  <si>
    <t>ORD-870</t>
  </si>
  <si>
    <t>ORD-871</t>
  </si>
  <si>
    <t>ORD-872</t>
  </si>
  <si>
    <t>ORD-873</t>
  </si>
  <si>
    <t>ORD-874</t>
  </si>
  <si>
    <t>10/17/2025</t>
  </si>
  <si>
    <t>ORD-875</t>
  </si>
  <si>
    <t>6/18/2025</t>
  </si>
  <si>
    <t>ORD-876</t>
  </si>
  <si>
    <t>ORD-877</t>
  </si>
  <si>
    <t>ORD-878</t>
  </si>
  <si>
    <t>6/26/2025</t>
  </si>
  <si>
    <t>ORD-879</t>
  </si>
  <si>
    <t>ORD-880</t>
  </si>
  <si>
    <t>10/19/2025</t>
  </si>
  <si>
    <t>ORD-881</t>
  </si>
  <si>
    <t>ORD-882</t>
  </si>
  <si>
    <t>ORD-883</t>
  </si>
  <si>
    <t>ORD-884</t>
  </si>
  <si>
    <t>ORD-885</t>
  </si>
  <si>
    <t>ORD-886</t>
  </si>
  <si>
    <t>ORD-887</t>
  </si>
  <si>
    <t>9/26/2025</t>
  </si>
  <si>
    <t>ORD-888</t>
  </si>
  <si>
    <t>ORD-889</t>
  </si>
  <si>
    <t>ORD-890</t>
  </si>
  <si>
    <t>ORD-891</t>
  </si>
  <si>
    <t>ORD-892</t>
  </si>
  <si>
    <t>ORD-893</t>
  </si>
  <si>
    <t>ORD-894</t>
  </si>
  <si>
    <t>ORD-895</t>
  </si>
  <si>
    <t>ORD-896</t>
  </si>
  <si>
    <t>ORD-897</t>
  </si>
  <si>
    <t>ORD-898</t>
  </si>
  <si>
    <t>ORD-899</t>
  </si>
  <si>
    <t>4/19/2025</t>
  </si>
  <si>
    <t>ORD-900</t>
  </si>
  <si>
    <t>ORD-901</t>
  </si>
  <si>
    <t>ORD-902</t>
  </si>
  <si>
    <t>ORD-903</t>
  </si>
  <si>
    <t>ORD-904</t>
  </si>
  <si>
    <t>ORD-905</t>
  </si>
  <si>
    <t>11/15/2025</t>
  </si>
  <si>
    <t>ORD-906</t>
  </si>
  <si>
    <t>ORD-907</t>
  </si>
  <si>
    <t>ORD-908</t>
  </si>
  <si>
    <t>ORD-909</t>
  </si>
  <si>
    <t>ORD-910</t>
  </si>
  <si>
    <t>8/27/2025</t>
  </si>
  <si>
    <t>ORD-911</t>
  </si>
  <si>
    <t>ORD-912</t>
  </si>
  <si>
    <t>ORD-913</t>
  </si>
  <si>
    <t>ORD-914</t>
  </si>
  <si>
    <t>ORD-915</t>
  </si>
  <si>
    <t>ORD-916</t>
  </si>
  <si>
    <t>ORD-917</t>
  </si>
  <si>
    <t>ORD-918</t>
  </si>
  <si>
    <t>ORD-919</t>
  </si>
  <si>
    <t>ORD-920</t>
  </si>
  <si>
    <t>1/15/2025</t>
  </si>
  <si>
    <t>ORD-921</t>
  </si>
  <si>
    <t>ORD-922</t>
  </si>
  <si>
    <t>ORD-923</t>
  </si>
  <si>
    <t>ORD-924</t>
  </si>
  <si>
    <t>ORD-925</t>
  </si>
  <si>
    <t>ORD-926</t>
  </si>
  <si>
    <t>ORD-927</t>
  </si>
  <si>
    <t>ORD-928</t>
  </si>
  <si>
    <t>ORD-929</t>
  </si>
  <si>
    <t>ORD-930</t>
  </si>
  <si>
    <t>ORD-931</t>
  </si>
  <si>
    <t>ORD-932</t>
  </si>
  <si>
    <t>ORD-933</t>
  </si>
  <si>
    <t>ORD-934</t>
  </si>
  <si>
    <t>3/30/2025</t>
  </si>
  <si>
    <t>ORD-935</t>
  </si>
  <si>
    <t>ORD-936</t>
  </si>
  <si>
    <t>1/17/2025</t>
  </si>
  <si>
    <t>ORD-937</t>
  </si>
  <si>
    <t>ORD-938</t>
  </si>
  <si>
    <t>ORD-939</t>
  </si>
  <si>
    <t>1/25/2025</t>
  </si>
  <si>
    <t>ORD-940</t>
  </si>
  <si>
    <t>2/24/2025</t>
  </si>
  <si>
    <t>ORD-941</t>
  </si>
  <si>
    <t>ORD-942</t>
  </si>
  <si>
    <t>ORD-943</t>
  </si>
  <si>
    <t>ORD-944</t>
  </si>
  <si>
    <t>ORD-945</t>
  </si>
  <si>
    <t>ORD-946</t>
  </si>
  <si>
    <t>8/17/2025</t>
  </si>
  <si>
    <t>ORD-947</t>
  </si>
  <si>
    <t>ORD-948</t>
  </si>
  <si>
    <t>ORD-949</t>
  </si>
  <si>
    <t>ORD-950</t>
  </si>
  <si>
    <t>ORD-951</t>
  </si>
  <si>
    <t>ORD-952</t>
  </si>
  <si>
    <t>2/26/2025</t>
  </si>
  <si>
    <t>ORD-953</t>
  </si>
  <si>
    <t>ORD-954</t>
  </si>
  <si>
    <t>ORD-955</t>
  </si>
  <si>
    <t>ORD-956</t>
  </si>
  <si>
    <t>ORD-957</t>
  </si>
  <si>
    <t>ORD-958</t>
  </si>
  <si>
    <t>ORD-959</t>
  </si>
  <si>
    <t>ORD-960</t>
  </si>
  <si>
    <t>5/30/2025</t>
  </si>
  <si>
    <t>ORD-961</t>
  </si>
  <si>
    <t>ORD-962</t>
  </si>
  <si>
    <t>ORD-963</t>
  </si>
  <si>
    <t>ORD-964</t>
  </si>
  <si>
    <t>1/18/2025</t>
  </si>
  <si>
    <t>ORD-965</t>
  </si>
  <si>
    <t>4/25/2025</t>
  </si>
  <si>
    <t>ORD-966</t>
  </si>
  <si>
    <t>ORD-967</t>
  </si>
  <si>
    <t>ORD-968</t>
  </si>
  <si>
    <t>ORD-969</t>
  </si>
  <si>
    <t>ORD-970</t>
  </si>
  <si>
    <t>ORD-971</t>
  </si>
  <si>
    <t>ORD-972</t>
  </si>
  <si>
    <t>72.25</t>
  </si>
  <si>
    <t>ORD-973</t>
  </si>
  <si>
    <t>12/19/2025</t>
  </si>
  <si>
    <t>ORD-974</t>
  </si>
  <si>
    <t>ORD-975</t>
  </si>
  <si>
    <t>ORD-976</t>
  </si>
  <si>
    <t>10/21/2025</t>
  </si>
  <si>
    <t>ORD-977</t>
  </si>
  <si>
    <t>10/24/2025</t>
  </si>
  <si>
    <t>ORD-978</t>
  </si>
  <si>
    <t>2/23/2025</t>
  </si>
  <si>
    <t>ORD-979</t>
  </si>
  <si>
    <t>ORD-980</t>
  </si>
  <si>
    <t>11/14/2025</t>
  </si>
  <si>
    <t>ORD-981</t>
  </si>
  <si>
    <t>ORD-982</t>
  </si>
  <si>
    <t>ORD-983</t>
  </si>
  <si>
    <t>ORD-984</t>
  </si>
  <si>
    <t>2/21/2025</t>
  </si>
  <si>
    <t>ORD-985</t>
  </si>
  <si>
    <t>ORD-986</t>
  </si>
  <si>
    <t>ORD-987</t>
  </si>
  <si>
    <t>ORD-988</t>
  </si>
  <si>
    <t>ORD-989</t>
  </si>
  <si>
    <t>ORD-990</t>
  </si>
  <si>
    <t>5/15/2025</t>
  </si>
  <si>
    <t>ORD-991</t>
  </si>
  <si>
    <t>ORD-992</t>
  </si>
  <si>
    <t>ORD-993</t>
  </si>
  <si>
    <t>ORD-994</t>
  </si>
  <si>
    <t>ORD-995</t>
  </si>
  <si>
    <t>ORD-996</t>
  </si>
  <si>
    <t>ORD-997</t>
  </si>
  <si>
    <t>ORD-998</t>
  </si>
  <si>
    <t>ORD-999</t>
  </si>
  <si>
    <t>ORD-1000</t>
  </si>
  <si>
    <t>ORD-1001</t>
  </si>
  <si>
    <t>ORD-1002</t>
  </si>
  <si>
    <t>ORD-1003</t>
  </si>
  <si>
    <t>8/13/2025</t>
  </si>
  <si>
    <t>ORD-1004</t>
  </si>
  <si>
    <t>ORD-1005</t>
  </si>
  <si>
    <t>ORD-1006</t>
  </si>
  <si>
    <t>ORD-1007</t>
  </si>
  <si>
    <t>6/17/2025</t>
  </si>
  <si>
    <t>ORD-1008</t>
  </si>
  <si>
    <t>10/30/2025</t>
  </si>
  <si>
    <t>ORD-1009</t>
  </si>
  <si>
    <t>ORD-1010</t>
  </si>
  <si>
    <t>3/24/2025</t>
  </si>
  <si>
    <t>ORD-1011</t>
  </si>
  <si>
    <t>ORD-1012</t>
  </si>
  <si>
    <t>ORD-1013</t>
  </si>
  <si>
    <t>ORD-1014</t>
  </si>
  <si>
    <t>3/22/2025</t>
  </si>
  <si>
    <t>ORD-1015</t>
  </si>
  <si>
    <t>ORD-1016</t>
  </si>
  <si>
    <t>ORD-1017</t>
  </si>
  <si>
    <t>ORD-1018</t>
  </si>
  <si>
    <t>10/26/2025</t>
  </si>
  <si>
    <t>ORD-1019</t>
  </si>
  <si>
    <t>ORD-1020</t>
  </si>
  <si>
    <t>ORD-1021</t>
  </si>
  <si>
    <t>ORD-1022</t>
  </si>
  <si>
    <t>ORD-1023</t>
  </si>
  <si>
    <t>1/21/2025</t>
  </si>
  <si>
    <t>ORD-1024</t>
  </si>
  <si>
    <t>ORD-1025</t>
  </si>
  <si>
    <t>ORD-1026</t>
  </si>
  <si>
    <t>ORD-1027</t>
  </si>
  <si>
    <t>ORD-1028</t>
  </si>
  <si>
    <t>ORD-1029</t>
  </si>
  <si>
    <t>3/28/2025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</si>
  <si>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</si>
  <si>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</si>
  <si>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</si>
  <si>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</si>
  <si>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</si>
  <si>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</si>
  <si>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</si>
  <si>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</si>
  <si>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</si>
  <si>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</si>
  <si>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</si>
  <si>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</si>
  <si>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</si>
  <si>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</si>
  <si>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</si>
  <si>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</si>
  <si>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</si>
  <si>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</si>
  <si>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</si>
  <si>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</si>
  <si>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</si>
  <si>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</si>
  <si>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</si>
  <si>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</si>
  <si>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</si>
  <si>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</si>
  <si>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1/23/2025</t>
  </si>
  <si>
    <t>ORD-1056</t>
  </si>
  <si>
    <t>ORD-1057</t>
  </si>
  <si>
    <t>ORD-1058</t>
  </si>
  <si>
    <t>ORD-1059</t>
  </si>
  <si>
    <t>3/15/2025</t>
  </si>
  <si>
    <t>ORD-1060</t>
  </si>
  <si>
    <t>ORD-1061</t>
  </si>
  <si>
    <t>ORD-1062</t>
  </si>
  <si>
    <t>ORD-1063</t>
  </si>
  <si>
    <t>ORD-1064</t>
  </si>
  <si>
    <t>3/17/2025</t>
  </si>
  <si>
    <t>ORD-1065</t>
  </si>
  <si>
    <t>ORD-1066</t>
  </si>
  <si>
    <t>ORD-1067</t>
  </si>
  <si>
    <t>ORD-1068</t>
  </si>
  <si>
    <t>ORD-1069</t>
  </si>
  <si>
    <t>ORD-1070</t>
  </si>
  <si>
    <t>6/13/2025</t>
  </si>
  <si>
    <t>ORD-1071</t>
  </si>
  <si>
    <t>ORD-1072</t>
  </si>
  <si>
    <t>ORD-1073</t>
  </si>
  <si>
    <t>ORD-1074</t>
  </si>
  <si>
    <t>ORD-1075</t>
  </si>
  <si>
    <t>ORD-1076</t>
  </si>
  <si>
    <t>ORD-1077</t>
  </si>
  <si>
    <t>8/22/2025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</si>
  <si>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</si>
  <si>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</si>
  <si>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</si>
  <si>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</si>
  <si>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</si>
  <si>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</si>
  <si>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</si>
  <si>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</si>
  <si>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</si>
  <si>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</si>
  <si>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</si>
  <si>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</si>
  <si>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</si>
  <si>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</si>
  <si>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8/26/2025</t>
  </si>
  <si>
    <t>ORD-1092</t>
  </si>
  <si>
    <t>ORD-1093</t>
  </si>
  <si>
    <t>ORD-1094</t>
  </si>
  <si>
    <t>9/16/2025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</si>
  <si>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</si>
  <si>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</si>
  <si>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</si>
  <si>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</si>
  <si>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</si>
  <si>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</si>
  <si>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</si>
  <si>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</si>
  <si>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</si>
  <si>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</si>
  <si>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</si>
  <si>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21.25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</si>
  <si>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</si>
  <si>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</si>
  <si>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</si>
  <si>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</si>
  <si>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</si>
  <si>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</si>
  <si>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</si>
  <si>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</si>
  <si>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</si>
  <si>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</si>
  <si>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</si>
  <si>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</si>
  <si>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</si>
  <si>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</si>
  <si>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</si>
  <si>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</si>
  <si>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7/21/2025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</si>
  <si>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</si>
  <si>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</si>
  <si>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</si>
  <si>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</si>
  <si>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</si>
  <si>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</si>
  <si>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</si>
  <si>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</si>
  <si>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</si>
  <si>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</si>
  <si>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</si>
  <si>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</si>
  <si>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6/14/2025</t>
  </si>
  <si>
    <t>ORD-1134</t>
  </si>
  <si>
    <t>ORD-1135</t>
  </si>
  <si>
    <t>ORD-1136</t>
  </si>
  <si>
    <t>2/28/2025</t>
  </si>
  <si>
    <t>ORD-1137</t>
  </si>
  <si>
    <t>ORD-1138</t>
  </si>
  <si>
    <t>10/29/2025</t>
  </si>
  <si>
    <t>ORD-1139</t>
  </si>
  <si>
    <t>ORD-1140</t>
  </si>
  <si>
    <t>ORD-1141</t>
  </si>
  <si>
    <t>11/17/2025</t>
  </si>
  <si>
    <t>ORD-1142</t>
  </si>
  <si>
    <t>ORD-1143</t>
  </si>
  <si>
    <t>ORD-1144</t>
  </si>
  <si>
    <t>ORD-1145</t>
  </si>
  <si>
    <t>ORD-1146</t>
  </si>
  <si>
    <t>2/19/2025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</si>
  <si>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</si>
  <si>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</si>
  <si>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</si>
  <si>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</si>
  <si>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</si>
  <si>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</si>
  <si>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</si>
  <si>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</si>
  <si>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</si>
  <si>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</si>
  <si>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</si>
  <si>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</si>
  <si>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</si>
  <si>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</si>
  <si>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</si>
  <si>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</si>
  <si>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</si>
  <si>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</si>
  <si>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8/29/2025</t>
  </si>
  <si>
    <t>ORD-1165</t>
  </si>
  <si>
    <t>ORD-1166</t>
  </si>
  <si>
    <t>ORD-1167</t>
  </si>
  <si>
    <t>10/20/2025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</si>
  <si>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</si>
  <si>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</si>
  <si>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</si>
  <si>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</si>
  <si>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</si>
  <si>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</si>
  <si>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</si>
  <si>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</si>
  <si>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</si>
  <si>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</si>
  <si>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</si>
  <si>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</si>
  <si>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</si>
  <si>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</si>
  <si>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</si>
  <si>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</si>
  <si>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</si>
  <si>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</si>
  <si>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</si>
  <si>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</si>
  <si>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</si>
  <si>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</si>
  <si>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</si>
  <si>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</si>
  <si>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</si>
  <si>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2/25/2025</t>
  </si>
  <si>
    <t>ORD-1193</t>
  </si>
  <si>
    <t>3/29/2025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</si>
  <si>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</si>
  <si>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</si>
  <si>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</si>
  <si>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</si>
  <si>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</si>
  <si>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</si>
  <si>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</si>
  <si>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</si>
  <si>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</si>
  <si>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4/15/2025</t>
  </si>
  <si>
    <t>ORD-1203</t>
  </si>
  <si>
    <t>ORD-1204</t>
  </si>
  <si>
    <t>ORD-1205</t>
  </si>
  <si>
    <t>ORD-1206</t>
  </si>
  <si>
    <t>5/23/2025</t>
  </si>
  <si>
    <t>ORD-1207</t>
  </si>
  <si>
    <t>ORD-1208</t>
  </si>
  <si>
    <t>ORD-1209</t>
  </si>
  <si>
    <t>ORD-1210</t>
  </si>
  <si>
    <t>ORD-1211</t>
  </si>
  <si>
    <t>ORD-1212</t>
  </si>
  <si>
    <t>ORD-1213</t>
  </si>
  <si>
    <t>5/14/2025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</si>
  <si>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</si>
  <si>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</si>
  <si>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</si>
  <si>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</si>
  <si>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</si>
  <si>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</si>
  <si>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</si>
  <si>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</si>
  <si>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</si>
  <si>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</si>
  <si>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</si>
  <si>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</si>
  <si>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1/24/2025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</si>
  <si>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</si>
  <si>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</si>
  <si>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</si>
  <si>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</si>
  <si>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</si>
  <si>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</si>
  <si>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</si>
  <si>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</si>
  <si>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</si>
  <si>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</si>
  <si>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11/25/2025</t>
  </si>
  <si>
    <t>ORD-1236</t>
  </si>
  <si>
    <t>ORD-1237</t>
  </si>
  <si>
    <t>ORD-1238</t>
  </si>
  <si>
    <t>ORD-1239</t>
  </si>
  <si>
    <t>ORD-1240</t>
  </si>
  <si>
    <t>ORD-1241</t>
  </si>
  <si>
    <t>7/29/2025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</si>
  <si>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</si>
  <si>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</si>
  <si>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</si>
  <si>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</si>
  <si>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</si>
  <si>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</si>
  <si>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</si>
  <si>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</si>
  <si>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</si>
  <si>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4/20/2025</t>
  </si>
  <si>
    <t>ORD-1251</t>
  </si>
  <si>
    <t>ORD-1252</t>
  </si>
  <si>
    <t>ORD-1253</t>
  </si>
  <si>
    <t>ORD-1254</t>
  </si>
  <si>
    <t>7/18/2025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</si>
  <si>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</si>
  <si>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</si>
  <si>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</si>
  <si>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</si>
  <si>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</si>
  <si>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</si>
  <si>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</si>
  <si>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</si>
  <si>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</si>
  <si>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</si>
  <si>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</si>
  <si>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</si>
  <si>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6/19/2025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</si>
  <si>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</si>
  <si>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</si>
  <si>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</si>
  <si>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</si>
  <si>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</si>
  <si>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</si>
  <si>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</si>
  <si>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</si>
  <si>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</si>
  <si>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</si>
  <si>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</si>
  <si>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</si>
  <si>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</si>
  <si>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</si>
  <si>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</si>
  <si>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9/13/2025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</si>
  <si>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</si>
  <si>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</si>
  <si>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</si>
  <si>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</si>
  <si>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</si>
  <si>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</si>
  <si>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</si>
  <si>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</si>
  <si>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</si>
  <si>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12/17/2025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</si>
  <si>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</si>
  <si>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</si>
  <si>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</si>
  <si>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</si>
  <si>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</si>
  <si>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</si>
  <si>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</si>
  <si>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</si>
  <si>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</si>
  <si>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</si>
  <si>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</si>
  <si>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</si>
  <si>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</si>
  <si>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</si>
  <si>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</si>
  <si>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</si>
  <si>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</si>
  <si>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</si>
  <si>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</si>
  <si>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</si>
  <si>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</si>
  <si>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</si>
  <si>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</si>
  <si>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</si>
  <si>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</si>
  <si>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</si>
  <si>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</si>
  <si>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</si>
  <si>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</si>
  <si>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</si>
  <si>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</si>
  <si>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</si>
  <si>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237.5</t>
  </si>
  <si>
    <t>ORD-1323</t>
  </si>
  <si>
    <t>ORD-1324</t>
  </si>
  <si>
    <t>ORD-1325</t>
  </si>
  <si>
    <t>ORD-1326</t>
  </si>
  <si>
    <t>ORD-1327</t>
  </si>
  <si>
    <t>8/24/2025</t>
  </si>
  <si>
    <t>ORD-1328</t>
  </si>
  <si>
    <t>ORD-1329</t>
  </si>
  <si>
    <t>ORD-1330</t>
  </si>
  <si>
    <t>12/13/2025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</si>
  <si>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</si>
  <si>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</si>
  <si>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</si>
  <si>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</si>
  <si>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</si>
  <si>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</si>
  <si>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</si>
  <si>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</si>
  <si>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</si>
  <si>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</si>
  <si>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</si>
  <si>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</si>
  <si>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</si>
  <si>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</si>
  <si>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</si>
  <si>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</si>
  <si>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</si>
  <si>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</si>
  <si>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</si>
  <si>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</si>
  <si>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</si>
  <si>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8/28/2025</t>
  </si>
  <si>
    <t>ORD-1352</t>
  </si>
  <si>
    <t>ORD-1353</t>
  </si>
  <si>
    <t>ORD-1354</t>
  </si>
  <si>
    <t>ORD-1355</t>
  </si>
  <si>
    <t>ORD-1356</t>
  </si>
  <si>
    <t>3/16/2025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</si>
  <si>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</si>
  <si>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</si>
  <si>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</si>
  <si>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</si>
  <si>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</si>
  <si>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</si>
  <si>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</si>
  <si>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</si>
  <si>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</si>
  <si>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</si>
  <si>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</si>
  <si>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</si>
  <si>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</si>
  <si>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</si>
  <si>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</si>
  <si>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</si>
  <si>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</si>
  <si>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</si>
  <si>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10/23/2025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</si>
  <si>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</si>
  <si>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</si>
  <si>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</si>
  <si>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</si>
  <si>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</si>
  <si>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</si>
  <si>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</si>
  <si>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</si>
  <si>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</si>
  <si>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</si>
  <si>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</si>
  <si>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</si>
  <si>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</si>
  <si>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</si>
  <si>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</si>
  <si>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</si>
  <si>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</si>
  <si>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</si>
  <si>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</si>
  <si>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</si>
  <si>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</si>
  <si>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</si>
  <si>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</si>
  <si>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</si>
  <si>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</si>
  <si>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</si>
  <si>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</si>
  <si>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</si>
  <si>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</si>
  <si>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</si>
  <si>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</si>
  <si>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</si>
  <si>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</si>
  <si>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</si>
  <si>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</si>
  <si>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</si>
  <si>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</si>
  <si>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</si>
  <si>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</si>
  <si>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1/19/2025</t>
  </si>
  <si>
    <t>ORD-1414</t>
  </si>
  <si>
    <t>ORD-1415</t>
  </si>
  <si>
    <t>ORD-1416</t>
  </si>
  <si>
    <t>10/22/2025</t>
  </si>
  <si>
    <t>ORD-1417</t>
  </si>
  <si>
    <t>ORD-1418</t>
  </si>
  <si>
    <t>ORD-1419</t>
  </si>
  <si>
    <t>ORD-1420</t>
  </si>
  <si>
    <t>ORD-1421</t>
  </si>
  <si>
    <t>2/13/2025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</si>
  <si>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</si>
  <si>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</si>
  <si>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</si>
  <si>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</si>
  <si>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</si>
  <si>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</si>
  <si>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</si>
  <si>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</si>
  <si>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</si>
  <si>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</si>
  <si>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</si>
  <si>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</si>
  <si>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</si>
  <si>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</si>
  <si>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</si>
  <si>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</si>
  <si>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</si>
  <si>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</si>
  <si>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</si>
  <si>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</si>
  <si>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</si>
  <si>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12/27/2025</t>
  </si>
  <si>
    <t>ORD-1443</t>
  </si>
  <si>
    <t>ORD-1444</t>
  </si>
  <si>
    <t>ORD-1445</t>
  </si>
  <si>
    <t>ORD-1446</t>
  </si>
  <si>
    <t>ORD-1447</t>
  </si>
  <si>
    <t>ORD-1448</t>
  </si>
  <si>
    <t>11/26/2025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</si>
  <si>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</si>
  <si>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</si>
  <si>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</si>
  <si>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</si>
  <si>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</si>
  <si>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</si>
  <si>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</si>
  <si>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</si>
  <si>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</si>
  <si>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</si>
  <si>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</si>
  <si>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</si>
  <si>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</si>
  <si>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</si>
  <si>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</si>
  <si>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</si>
  <si>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</si>
  <si>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</si>
  <si>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</si>
  <si>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</si>
  <si>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</si>
  <si>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</si>
  <si>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</si>
  <si>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</si>
  <si>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</si>
  <si>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</si>
  <si>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</si>
  <si>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</si>
  <si>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</si>
  <si>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</si>
  <si>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</si>
  <si>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</si>
  <si>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</si>
  <si>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</si>
  <si>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</si>
  <si>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</si>
  <si>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</si>
  <si>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</si>
  <si>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</si>
  <si>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</si>
  <si>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</si>
  <si>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</si>
  <si>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</si>
  <si>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</si>
  <si>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</si>
  <si>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</si>
  <si>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</si>
  <si>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</si>
  <si>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</si>
  <si>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</si>
  <si>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</si>
  <si>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</si>
  <si>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</si>
  <si>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</si>
  <si>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</si>
  <si>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</si>
  <si>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</si>
  <si>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</si>
  <si>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</si>
  <si>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</si>
  <si>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</si>
  <si>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</si>
  <si>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</si>
  <si>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</si>
  <si>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</si>
  <si>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</si>
  <si>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</si>
  <si>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</si>
  <si>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</si>
  <si>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</si>
  <si>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</si>
  <si>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</si>
  <si>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</si>
  <si>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</si>
  <si>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</si>
  <si>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</si>
  <si>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</si>
  <si>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</si>
  <si>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</si>
  <si>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</si>
  <si>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</si>
  <si>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</si>
  <si>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</si>
  <si>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</si>
  <si>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</si>
  <si>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</si>
  <si>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</si>
  <si>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</si>
  <si>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</si>
  <si>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</si>
  <si>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6/29/2025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</si>
  <si>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</si>
  <si>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</si>
  <si>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</si>
  <si>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</si>
  <si>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</si>
  <si>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</si>
  <si>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</si>
  <si>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</si>
  <si>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</si>
  <si>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</si>
  <si>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</si>
  <si>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</si>
  <si>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</si>
  <si>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</si>
  <si>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</si>
  <si>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</si>
  <si>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</si>
  <si>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</si>
  <si>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</si>
  <si>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</si>
  <si>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</si>
  <si>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</si>
  <si>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</si>
  <si>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</si>
  <si>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</si>
  <si>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</si>
  <si>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</si>
  <si>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</si>
  <si>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</si>
  <si>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</si>
  <si>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</si>
  <si>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</si>
  <si>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</si>
  <si>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</si>
  <si>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</si>
  <si>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</si>
  <si>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</si>
  <si>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</si>
  <si>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</si>
  <si>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</si>
  <si>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</si>
  <si>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</si>
  <si>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</si>
  <si>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</si>
  <si>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</si>
  <si>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</si>
  <si>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8/14/2025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</si>
  <si>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</si>
  <si>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</si>
  <si>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</si>
  <si>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</si>
  <si>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</si>
  <si>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</si>
  <si>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</si>
  <si>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</si>
  <si>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</si>
  <si>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</si>
  <si>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</si>
  <si>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</si>
  <si>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</si>
  <si>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</si>
  <si>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</si>
  <si>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</si>
  <si>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</si>
  <si>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</si>
  <si>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</si>
  <si>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</si>
  <si>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</si>
  <si>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</si>
  <si>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</si>
  <si>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</si>
  <si>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</si>
  <si>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</si>
  <si>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</si>
  <si>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</si>
  <si>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</si>
  <si>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</si>
  <si>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</si>
  <si>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</si>
  <si>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</si>
  <si>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</si>
  <si>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</si>
  <si>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</si>
  <si>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</si>
  <si>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</si>
  <si>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</si>
  <si>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</si>
  <si>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</si>
  <si>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</si>
  <si>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</si>
  <si>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</si>
  <si>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</si>
  <si>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</si>
  <si>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</si>
  <si>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</si>
  <si>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</si>
  <si>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</si>
  <si>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</si>
  <si>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</si>
  <si>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</si>
  <si>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</si>
  <si>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</si>
  <si>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</si>
  <si>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</si>
  <si>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</si>
  <si>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</si>
  <si>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</si>
  <si>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</si>
  <si>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</si>
  <si>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</si>
  <si>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</si>
  <si>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</si>
  <si>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</si>
  <si>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</si>
  <si>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</si>
  <si>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</si>
  <si>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</si>
  <si>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</si>
  <si>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</si>
  <si>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</si>
  <si>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</si>
  <si>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</si>
  <si>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</si>
  <si>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</si>
  <si>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</si>
  <si>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</si>
  <si>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</si>
  <si>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</si>
  <si>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</si>
  <si>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</si>
  <si>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</si>
  <si>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</si>
  <si>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</si>
  <si>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</si>
  <si>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</si>
  <si>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</si>
  <si>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</si>
  <si>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</si>
  <si>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</si>
  <si>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</si>
  <si>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</si>
  <si>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</si>
  <si>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</si>
  <si>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</si>
  <si>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</si>
  <si>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</si>
  <si>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</si>
  <si>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</si>
  <si>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</si>
  <si>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</si>
  <si>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</si>
  <si>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</si>
  <si>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</si>
  <si>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</si>
  <si>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</si>
  <si>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</si>
  <si>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</si>
  <si>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</si>
  <si>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</si>
  <si>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</si>
  <si>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</si>
  <si>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</si>
  <si>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</si>
  <si>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</si>
  <si>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7/19/2025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</si>
  <si>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</si>
  <si>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</si>
  <si>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</si>
  <si>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</si>
  <si>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</si>
  <si>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</si>
  <si>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</si>
  <si>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</si>
  <si>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</si>
  <si>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</si>
  <si>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</si>
  <si>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</si>
  <si>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</si>
  <si>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</si>
  <si>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</si>
  <si>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</si>
  <si>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</si>
  <si>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</si>
  <si>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</si>
  <si>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</si>
  <si>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</si>
  <si>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</si>
  <si>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</si>
  <si>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</si>
  <si>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</si>
  <si>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</si>
  <si>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</si>
  <si>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</si>
  <si>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</si>
  <si>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</si>
  <si>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</si>
  <si>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</si>
  <si>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</si>
  <si>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</si>
  <si>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</si>
  <si>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</si>
  <si>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</si>
  <si>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</si>
  <si>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</si>
  <si>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</si>
  <si>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</si>
  <si>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</si>
  <si>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</si>
  <si>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11/23/2025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</si>
  <si>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</si>
  <si>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</si>
  <si>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</si>
  <si>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</si>
  <si>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</si>
  <si>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</si>
  <si>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</si>
  <si>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</si>
  <si>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</si>
  <si>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</si>
  <si>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</si>
  <si>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</si>
  <si>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</si>
  <si>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</si>
  <si>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</si>
  <si>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</si>
  <si>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</si>
  <si>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</si>
  <si>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</si>
  <si>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</si>
  <si>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</si>
  <si>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</si>
  <si>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</si>
  <si>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</si>
  <si>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</si>
  <si>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</si>
  <si>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</si>
  <si>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</si>
  <si>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</si>
  <si>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</si>
  <si>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</si>
  <si>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</si>
  <si>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</si>
  <si>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</si>
  <si>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</si>
  <si>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</si>
  <si>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</si>
  <si>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</si>
  <si>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</si>
  <si>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</si>
  <si>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</si>
  <si>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</si>
  <si>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</si>
  <si>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</si>
  <si>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</si>
  <si>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</si>
  <si>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</si>
  <si>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</si>
  <si>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11/20/2025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</si>
  <si>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</si>
  <si>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</si>
  <si>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</si>
  <si>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</si>
  <si>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</si>
  <si>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</si>
  <si>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</si>
  <si>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</si>
  <si>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</si>
  <si>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</si>
  <si>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</si>
  <si>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</si>
  <si>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</si>
  <si>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</si>
  <si>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</si>
  <si>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</si>
  <si>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</si>
  <si>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</si>
  <si>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</si>
  <si>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</si>
  <si>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</si>
  <si>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</si>
  <si>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</si>
  <si>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</si>
  <si>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</si>
  <si>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</si>
  <si>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</si>
  <si>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</si>
  <si>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</si>
  <si>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</si>
  <si>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</si>
  <si>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</si>
  <si>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</si>
  <si>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</si>
  <si>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</si>
  <si>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</si>
  <si>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</si>
  <si>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</si>
  <si>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</si>
  <si>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</si>
  <si>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</si>
  <si>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</si>
  <si>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</si>
  <si>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</si>
  <si>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</si>
  <si>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</si>
  <si>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</si>
  <si>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</si>
  <si>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</si>
  <si>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</si>
  <si>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</si>
  <si>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</si>
  <si>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</si>
  <si>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</si>
  <si>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</si>
  <si>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</si>
  <si>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</si>
  <si>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</si>
  <si>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</si>
  <si>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</si>
  <si>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</si>
  <si>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</si>
  <si>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</si>
  <si>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</si>
  <si>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</si>
  <si>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</si>
  <si>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</si>
  <si>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</si>
  <si>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</si>
  <si>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</si>
  <si>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</si>
  <si>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</si>
  <si>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</si>
  <si>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</si>
  <si>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</si>
  <si>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</si>
  <si>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</si>
  <si>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</si>
  <si>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</si>
  <si>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</si>
  <si>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</si>
  <si>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</si>
  <si>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</si>
  <si>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</si>
  <si>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1/30/2025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</si>
  <si>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</si>
  <si>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</si>
  <si>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</si>
  <si>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</si>
  <si>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</si>
  <si>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</si>
  <si>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</si>
  <si>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</si>
  <si>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</si>
  <si>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</si>
  <si>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</si>
  <si>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</si>
  <si>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</si>
  <si>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</si>
  <si>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</si>
  <si>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</si>
  <si>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</si>
  <si>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</si>
  <si>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</si>
  <si>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</si>
  <si>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</si>
  <si>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</si>
  <si>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</si>
  <si>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</si>
  <si>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</si>
  <si>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</si>
  <si>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</si>
  <si>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</si>
  <si>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</si>
  <si>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</si>
  <si>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</si>
  <si>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</si>
  <si>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</si>
  <si>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4/14/2025</t>
  </si>
  <si>
    <t>ORD-1910</t>
  </si>
  <si>
    <t>ORD-1911</t>
  </si>
  <si>
    <t>ORD-1912</t>
  </si>
  <si>
    <t>ORD-1913</t>
  </si>
  <si>
    <t>ORD-1914</t>
  </si>
  <si>
    <t>ORD-1915</t>
  </si>
  <si>
    <t>Description</t>
  </si>
  <si>
    <t>Category</t>
  </si>
  <si>
    <t>Supplier</t>
  </si>
  <si>
    <t>Unit_Cost</t>
  </si>
  <si>
    <t>Lead_Time_Days</t>
  </si>
  <si>
    <t>Stock_Level</t>
  </si>
  <si>
    <t>Reorder_Point</t>
  </si>
  <si>
    <t>Total_Value</t>
  </si>
  <si>
    <t>Daily Contacts</t>
  </si>
  <si>
    <t>Contact Lenses</t>
  </si>
  <si>
    <t>ClearVision</t>
  </si>
  <si>
    <t>Monthly Toric</t>
  </si>
  <si>
    <t>Men's Aviator</t>
  </si>
  <si>
    <t>Frames</t>
  </si>
  <si>
    <t>OptiStyle</t>
  </si>
  <si>
    <t>Women's Cat Eye</t>
  </si>
  <si>
    <t>Saline 300ml</t>
  </si>
  <si>
    <t>Solutions</t>
  </si>
  <si>
    <t>AquaDrop</t>
  </si>
  <si>
    <t>Intraocular Lens</t>
  </si>
  <si>
    <t>Surgical</t>
  </si>
  <si>
    <t>MedEye Tech</t>
  </si>
  <si>
    <t>Phaco Tip</t>
  </si>
  <si>
    <t>Table Information</t>
  </si>
  <si>
    <t>Table HLOOKUP</t>
  </si>
  <si>
    <t>Amount</t>
  </si>
  <si>
    <t>Stock_Status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</si>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</sst>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0" xfId="0" applyFont="1"/>
    <xf numFmtId="10" fontId="0" fillId="0" borderId="0" xfId="0" applyNumberFormat="1"/>
    <xf numFmtId="9" fontId="0" fillId="0" borderId="0" xfId="42" applyFont="1"/>
    <xf numFmtId="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44450</xdr:colOff>
      <xdr:row>1</xdr:row>
      <xdr:rowOff>19050</xdr:rowOff>
    </xdr:from>
    <xdr:to>
      <xdr:col>21</xdr:col>
      <xdr:colOff>431800</xdr:colOff>
      <xdr:row>3</xdr:row>
      <xdr:rowOff>158750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F44F92-D1F4-8E49-91E8-520A1242DC40}"/>
            </a:ext>
          </a:extLst>
        </xdr:cNvPr>
        <xdr:cNvSpPr txBox="1"/>
      </xdr:nvSpPr>
      <xdr:spPr>
        <a:xfrm>
          <a:off x="8324850" y="203200"/>
          <a:ext cx="587375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/>
            <a:t>Your inventory manager wants to know how many orders were classified as </a:t>
          </a:r>
          <a:r>
            <a:rPr lang="en-ID" b="1"/>
            <a:t>High Risk </a:t>
          </a:r>
          <a:r>
            <a:rPr lang="en-ID"/>
            <a:t>so the team can prioritize monitoring and supplier follow-ups.</a:t>
          </a:r>
          <a:endParaRPr lang="en-ID" sz="1100"/>
        </a:p>
      </xdr:txBody>
    </xdr:sp>
    <xdr:clientData/>
  </xdr:twoCellAnchor>
  <xdr:twoCellAnchor>
    <xdr:from>
      <xdr:col>12</xdr:col>
      <xdr:colOff>6350</xdr:colOff>
      <xdr:row>7</xdr:row>
      <xdr:rowOff>19050</xdr:rowOff>
    </xdr:from>
    <xdr:to>
      <xdr:col>21</xdr:col>
      <xdr:colOff>393700</xdr:colOff>
      <xdr:row>9</xdr:row>
      <xdr:rowOff>158750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ED0D758-191C-9EC0-26D3-7609C41072FD}"/>
            </a:ext>
          </a:extLst>
        </xdr:cNvPr>
        <xdr:cNvSpPr txBox="1"/>
      </xdr:nvSpPr>
      <xdr:spPr>
        <a:xfrm>
          <a:off x="8286750" y="1308100"/>
          <a:ext cx="590550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/>
            <a:t>Your manager wants to know how many orders are classified as </a:t>
          </a:r>
          <a:r>
            <a:rPr lang="en-ID" b="1"/>
            <a:t>High Risk in the West </a:t>
          </a:r>
          <a:r>
            <a:rPr lang="en-ID"/>
            <a:t>location to identify where additional operational monitoring may be needed.</a:t>
          </a:r>
          <a:endParaRPr lang="en-ID" sz="1100"/>
        </a:p>
      </xdr:txBody>
    </xdr:sp>
    <xdr:clientData/>
  </xdr:twoCellAnchor>
  <xdr:twoCellAnchor>
    <xdr:from>
      <xdr:col>12</xdr:col>
      <xdr:colOff>6350</xdr:colOff>
      <xdr:row>13</xdr:row>
      <xdr:rowOff>12700</xdr:rowOff>
    </xdr:from>
    <xdr:to>
      <xdr:col>21</xdr:col>
      <xdr:colOff>393700</xdr:colOff>
      <xdr:row>16</xdr:row>
      <xdr:rowOff>88900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70C444-8187-E21E-C4ED-802FE1542890}"/>
            </a:ext>
          </a:extLst>
        </xdr:cNvPr>
        <xdr:cNvSpPr txBox="1"/>
      </xdr:nvSpPr>
      <xdr:spPr>
        <a:xfrm>
          <a:off x="8286750" y="2406650"/>
          <a:ext cx="5937250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/>
            <a:t>You're working with the same Orders and product_masterlist datasets. Your manager wants to know whether the </a:t>
          </a:r>
          <a:r>
            <a:rPr lang="en-ID" b="1"/>
            <a:t>West location </a:t>
          </a:r>
          <a:r>
            <a:rPr lang="en-ID"/>
            <a:t>has an unusually </a:t>
          </a:r>
          <a:r>
            <a:rPr lang="en-ID" b="1"/>
            <a:t>high number of high-risk </a:t>
          </a:r>
          <a:r>
            <a:rPr lang="en-ID"/>
            <a:t>orders compared with </a:t>
          </a:r>
          <a:r>
            <a:rPr lang="en-ID" b="1"/>
            <a:t>its overall order volume.</a:t>
          </a:r>
          <a:endParaRPr lang="en-ID" sz="1100" b="1"/>
        </a:p>
      </xdr:txBody>
    </xdr:sp>
    <xdr:clientData/>
  </xdr:twoCellAnchor>
  <xdr:twoCellAnchor>
    <xdr:from>
      <xdr:col>13</xdr:col>
      <xdr:colOff>31750</xdr:colOff>
      <xdr:row>23</xdr:row>
      <xdr:rowOff>12700</xdr:rowOff>
    </xdr:from>
    <xdr:to>
      <xdr:col>16</xdr:col>
      <xdr:colOff>584200</xdr:colOff>
      <xdr:row>24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C153AA-56CD-A3D4-0B2A-12873037C3C5}"/>
            </a:ext>
          </a:extLst>
        </xdr:cNvPr>
        <xdr:cNvSpPr txBox="1"/>
      </xdr:nvSpPr>
      <xdr:spPr>
        <a:xfrm>
          <a:off x="8953500" y="4248150"/>
          <a:ext cx="2413000" cy="298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/>
            <a:t>Percentage of High Risk West Orders =</a:t>
          </a:r>
          <a:endParaRPr lang="en-ID" sz="1100" b="1"/>
        </a:p>
      </xdr:txBody>
    </xdr:sp>
    <xdr:clientData/>
  </xdr:twoCellAnchor>
  <xdr:twoCellAnchor>
    <xdr:from>
      <xdr:col>12</xdr:col>
      <xdr:colOff>19050</xdr:colOff>
      <xdr:row>26</xdr:row>
      <xdr:rowOff>19050</xdr:rowOff>
    </xdr:from>
    <xdr:to>
      <xdr:col>21</xdr:col>
      <xdr:colOff>406400</xdr:colOff>
      <xdr:row>28</xdr:row>
      <xdr:rowOff>127000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915620-210C-4205-DE9E-9979C175D0D4}"/>
            </a:ext>
          </a:extLst>
        </xdr:cNvPr>
        <xdr:cNvSpPr txBox="1"/>
      </xdr:nvSpPr>
      <xdr:spPr>
        <a:xfrm>
          <a:off x="8451850" y="4806950"/>
          <a:ext cx="59372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/>
            <a:t>Your manager wants to compare </a:t>
          </a:r>
          <a:r>
            <a:rPr lang="en-ID" b="1"/>
            <a:t>order risks </a:t>
          </a:r>
          <a:r>
            <a:rPr lang="en-ID"/>
            <a:t>across </a:t>
          </a:r>
          <a:r>
            <a:rPr lang="en-ID" b="1"/>
            <a:t>different locations </a:t>
          </a:r>
          <a:r>
            <a:rPr lang="en-ID"/>
            <a:t>to decide where additional monitoring is needed.</a:t>
          </a:r>
          <a:endParaRPr lang="en-ID" sz="1100" b="1"/>
        </a:p>
      </xdr:txBody>
    </xdr:sp>
    <xdr:clientData/>
  </xdr:twoCellAnchor>
  <xdr:twoCellAnchor>
    <xdr:from>
      <xdr:col>11</xdr:col>
      <xdr:colOff>603250</xdr:colOff>
      <xdr:row>34</xdr:row>
      <xdr:rowOff>19050</xdr:rowOff>
    </xdr:from>
    <xdr:to>
      <xdr:col>21</xdr:col>
      <xdr:colOff>381000</xdr:colOff>
      <xdr:row>36</xdr:row>
      <xdr:rowOff>127000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AE08C1-ACB1-22CE-32D7-6065A484E0CD}"/>
            </a:ext>
          </a:extLst>
        </xdr:cNvPr>
        <xdr:cNvSpPr txBox="1"/>
      </xdr:nvSpPr>
      <xdr:spPr>
        <a:xfrm>
          <a:off x="8426450" y="6280150"/>
          <a:ext cx="6223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/>
            <a:t>Your manager wants to investigate whether products with </a:t>
          </a:r>
          <a:r>
            <a:rPr lang="en-ID" b="1"/>
            <a:t>low stock </a:t>
          </a:r>
          <a:r>
            <a:rPr lang="en-ID"/>
            <a:t>are associated with </a:t>
          </a:r>
          <a:r>
            <a:rPr lang="en-ID" b="1"/>
            <a:t>high-risk orders</a:t>
          </a:r>
          <a:r>
            <a:rPr lang="en-ID"/>
            <a:t>. You need to combine information from the Orders and product_masterlist sheets.</a:t>
          </a:r>
          <a:endParaRPr lang="en-ID" sz="1100" b="1"/>
        </a:p>
      </xdr:txBody>
    </xdr:sp>
    <xdr:clientData/>
  </xdr:twoCellAnchor>
  <xdr:twoCellAnchor>
    <xdr:from>
      <xdr:col>12</xdr:col>
      <xdr:colOff>590550</xdr:colOff>
      <xdr:row>39</xdr:row>
      <xdr:rowOff>12700</xdr:rowOff>
    </xdr:from>
    <xdr:to>
      <xdr:col>18</xdr:col>
      <xdr:colOff>114300</xdr:colOff>
      <xdr:row>40</xdr:row>
      <xdr:rowOff>101600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D3DE99-0F6D-5872-F680-D54AD25405D6}"/>
            </a:ext>
          </a:extLst>
        </xdr:cNvPr>
        <xdr:cNvSpPr txBox="1"/>
      </xdr:nvSpPr>
      <xdr:spPr>
        <a:xfrm>
          <a:off x="9023350" y="7194550"/>
          <a:ext cx="36957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/>
            <a:t>The only high risk SKU is SURG-L-01</a:t>
          </a:r>
          <a:r>
            <a:rPr lang="en-ID" baseline="0"/>
            <a:t> with Reorder Stock Status</a:t>
          </a:r>
          <a:endParaRPr lang="en-ID" sz="1100" b="1"/>
        </a:p>
      </xdr:txBody>
    </xdr:sp>
    <xdr:clientData/>
  </xdr:twoCellAnchor>
  <xdr:twoCellAnchor>
    <xdr:from>
      <xdr:col>12</xdr:col>
      <xdr:colOff>19050</xdr:colOff>
      <xdr:row>41</xdr:row>
      <xdr:rowOff>0</xdr:rowOff>
    </xdr:from>
    <xdr:to>
      <xdr:col>21</xdr:col>
      <xdr:colOff>406400</xdr:colOff>
      <xdr:row>43</xdr:row>
      <xdr:rowOff>146050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EB88F5-8BE9-2058-0B25-F53603B3B366}"/>
            </a:ext>
          </a:extLst>
        </xdr:cNvPr>
        <xdr:cNvSpPr txBox="1"/>
      </xdr:nvSpPr>
      <xdr:spPr>
        <a:xfrm>
          <a:off x="8451850" y="7550150"/>
          <a:ext cx="638810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/>
            <a:t>Company needs</a:t>
          </a:r>
          <a:r>
            <a:rPr lang="en-ID" baseline="0"/>
            <a:t> informations about</a:t>
          </a:r>
          <a:r>
            <a:rPr lang="en-ID"/>
            <a:t> products counts where Stock_Level is less than Reorder_Point and orders total for a selected SKU, but only if that SKU's stock is below its reorder point</a:t>
          </a:r>
          <a:endParaRPr lang="en-ID" sz="1100" b="1"/>
        </a:p>
      </xdr:txBody>
    </xdr:sp>
    <xdr:clientData/>
  </xdr:twoCellAnchor>
  <xdr:twoCellAnchor>
    <xdr:from>
      <xdr:col>13</xdr:col>
      <xdr:colOff>19050</xdr:colOff>
      <xdr:row>47</xdr:row>
      <xdr:rowOff>19050</xdr:rowOff>
    </xdr:from>
    <xdr:to>
      <xdr:col>21</xdr:col>
      <xdr:colOff>38100</xdr:colOff>
      <xdr:row>48</xdr:row>
      <xdr:rowOff>107950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7D22AE-8525-86C0-9ED5-6C3E24A9061E}"/>
            </a:ext>
          </a:extLst>
        </xdr:cNvPr>
        <xdr:cNvSpPr txBox="1"/>
      </xdr:nvSpPr>
      <xdr:spPr>
        <a:xfrm>
          <a:off x="9093200" y="8674100"/>
          <a:ext cx="537845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/>
            <a:t>Since the SKU does not match SURG-L-01, its Stock Status is not classified as High Risk.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F088-2655-410C-B24F-46207AE3860E}">
  <dimension ref="A1:K1416"/>
  <sheetViews>
    <sheetView workbookViewId="0">
      <selection activeCell="K2" sqref="K2"/>
    </sheetView>
  </sheetViews>
  <sheetFormatPr defaultRowHeight="14.5" x14ac:dyDescent="0.35"/>
  <cols>
    <col min="2" max="2" width="10.08984375" bestFit="1" customWidth="1"/>
    <col min="6" max="6" width="9.81640625" bestFit="1" customWidth="1"/>
    <col min="9" max="9" width="11" bestFit="1" customWidth="1"/>
    <col min="10" max="10" width="13.54296875" bestFit="1" customWidth="1"/>
    <col min="11" max="11" width="14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1705</v>
      </c>
      <c r="K1" t="s">
        <v>1709</v>
      </c>
    </row>
    <row r="2" spans="1:11" x14ac:dyDescent="0.35">
      <c r="A2" t="s">
        <v>9</v>
      </c>
      <c r="B2" t="s">
        <v>10</v>
      </c>
      <c r="C2" t="s">
        <v>11</v>
      </c>
      <c r="D2">
        <v>18</v>
      </c>
      <c r="E2" t="s">
        <v>12</v>
      </c>
      <c r="F2" t="s">
        <v>13</v>
      </c>
      <c r="G2">
        <v>1530</v>
      </c>
      <c r="H2">
        <v>30</v>
      </c>
      <c r="I2" t="s">
        <v>14</v>
      </c>
      <c r="J2" t="str">
        <f>_xlfn.XLOOKUP('inventory_transactions(lookups)'!C2,'product_masterlist(ifs)'!A:A,'product_masterlist(ifs)'!C:C,,0)</f>
        <v>Surgical</v>
      </c>
      <c r="K2">
        <f>VLOOKUP(C2,'product_masterlist(ifs)'!A:I,7,FALSE)</f>
        <v>40</v>
      </c>
    </row>
    <row r="3" spans="1:11" x14ac:dyDescent="0.35">
      <c r="A3" t="s">
        <v>15</v>
      </c>
      <c r="B3" t="s">
        <v>16</v>
      </c>
      <c r="C3" t="s">
        <v>17</v>
      </c>
      <c r="D3">
        <v>4</v>
      </c>
      <c r="E3" t="s">
        <v>12</v>
      </c>
      <c r="F3" t="s">
        <v>18</v>
      </c>
      <c r="G3">
        <v>180</v>
      </c>
      <c r="H3">
        <v>30</v>
      </c>
      <c r="I3" t="s">
        <v>14</v>
      </c>
      <c r="J3" t="str">
        <f>_xlfn.XLOOKUP(C3,'product_masterlist(ifs)'!A:A,'product_masterlist(ifs)'!C:C,"N/A",0)</f>
        <v>Frames</v>
      </c>
      <c r="K3">
        <f>VLOOKUP(C3,'product_masterlist(ifs)'!A:I,7,FALSE)</f>
        <v>45</v>
      </c>
    </row>
    <row r="4" spans="1:11" x14ac:dyDescent="0.35">
      <c r="A4" t="s">
        <v>19</v>
      </c>
      <c r="B4" s="1">
        <v>45840</v>
      </c>
      <c r="C4" t="s">
        <v>11</v>
      </c>
      <c r="D4">
        <v>13</v>
      </c>
      <c r="E4" t="s">
        <v>20</v>
      </c>
      <c r="F4" t="s">
        <v>13</v>
      </c>
      <c r="G4">
        <v>1105</v>
      </c>
      <c r="H4">
        <v>30</v>
      </c>
      <c r="I4" t="s">
        <v>14</v>
      </c>
      <c r="J4" t="str">
        <f>_xlfn.XLOOKUP(C4,'product_masterlist(ifs)'!A:A,'product_masterlist(ifs)'!C:C,"N/A",0)</f>
        <v>Surgical</v>
      </c>
      <c r="K4">
        <f>VLOOKUP(C4,'product_masterlist(ifs)'!A:I,7,FALSE)</f>
        <v>40</v>
      </c>
    </row>
    <row r="5" spans="1:11" x14ac:dyDescent="0.35">
      <c r="A5" t="s">
        <v>21</v>
      </c>
      <c r="B5" s="1">
        <v>45937</v>
      </c>
      <c r="C5" t="s">
        <v>11</v>
      </c>
      <c r="D5">
        <v>16</v>
      </c>
      <c r="E5" t="s">
        <v>22</v>
      </c>
      <c r="F5" t="s">
        <v>23</v>
      </c>
      <c r="G5">
        <v>1360</v>
      </c>
      <c r="H5">
        <v>30</v>
      </c>
      <c r="I5" t="s">
        <v>14</v>
      </c>
      <c r="J5" t="str">
        <f>_xlfn.XLOOKUP(C5,'product_masterlist(ifs)'!A:A,'product_masterlist(ifs)'!C:C,"N/A",0)</f>
        <v>Surgical</v>
      </c>
      <c r="K5">
        <f>VLOOKUP(C5,'product_masterlist(ifs)'!A:I,7,FALSE)</f>
        <v>40</v>
      </c>
    </row>
    <row r="6" spans="1:11" x14ac:dyDescent="0.35">
      <c r="A6" t="s">
        <v>24</v>
      </c>
      <c r="B6" t="s">
        <v>25</v>
      </c>
      <c r="C6" t="s">
        <v>26</v>
      </c>
      <c r="D6">
        <v>7</v>
      </c>
      <c r="E6" t="s">
        <v>22</v>
      </c>
      <c r="F6" t="s">
        <v>13</v>
      </c>
      <c r="G6" t="s">
        <v>27</v>
      </c>
      <c r="H6">
        <v>14</v>
      </c>
      <c r="I6" t="s">
        <v>28</v>
      </c>
      <c r="J6" t="str">
        <f>_xlfn.XLOOKUP(C6,'product_masterlist(ifs)'!A:A,'product_masterlist(ifs)'!C:C,"N/A",0)</f>
        <v>Contact Lenses</v>
      </c>
      <c r="K6">
        <f>VLOOKUP(C6,'product_masterlist(ifs)'!A:I,7,FALSE)</f>
        <v>450</v>
      </c>
    </row>
    <row r="7" spans="1:11" x14ac:dyDescent="0.35">
      <c r="A7" t="s">
        <v>29</v>
      </c>
      <c r="B7" t="s">
        <v>30</v>
      </c>
      <c r="C7" t="s">
        <v>11</v>
      </c>
      <c r="D7">
        <v>24</v>
      </c>
      <c r="E7" t="s">
        <v>20</v>
      </c>
      <c r="F7" t="s">
        <v>31</v>
      </c>
      <c r="G7">
        <v>2040</v>
      </c>
      <c r="H7">
        <v>30</v>
      </c>
      <c r="I7" t="s">
        <v>14</v>
      </c>
      <c r="J7" t="str">
        <f>_xlfn.XLOOKUP(C7,'product_masterlist(ifs)'!A:A,'product_masterlist(ifs)'!C:C,"N/A",0)</f>
        <v>Surgical</v>
      </c>
      <c r="K7">
        <f>VLOOKUP(C7,'product_masterlist(ifs)'!A:I,7,FALSE)</f>
        <v>40</v>
      </c>
    </row>
    <row r="8" spans="1:11" x14ac:dyDescent="0.35">
      <c r="A8" t="s">
        <v>32</v>
      </c>
      <c r="B8" s="1">
        <v>45999</v>
      </c>
      <c r="C8" t="s">
        <v>33</v>
      </c>
      <c r="D8">
        <v>10</v>
      </c>
      <c r="E8" t="s">
        <v>12</v>
      </c>
      <c r="F8" t="s">
        <v>18</v>
      </c>
      <c r="G8">
        <v>1500</v>
      </c>
      <c r="H8">
        <v>45</v>
      </c>
      <c r="I8" t="s">
        <v>34</v>
      </c>
      <c r="J8" t="str">
        <f>_xlfn.XLOOKUP(C8,'product_masterlist(ifs)'!A:A,'product_masterlist(ifs)'!C:C,"N/A",0)</f>
        <v>Surgical</v>
      </c>
      <c r="K8">
        <f>VLOOKUP(C8,'product_masterlist(ifs)'!A:I,7,FALSE)</f>
        <v>15</v>
      </c>
    </row>
    <row r="9" spans="1:11" x14ac:dyDescent="0.35">
      <c r="A9" t="s">
        <v>35</v>
      </c>
      <c r="B9" t="s">
        <v>36</v>
      </c>
      <c r="C9" t="s">
        <v>26</v>
      </c>
      <c r="D9">
        <v>8</v>
      </c>
      <c r="E9" t="s">
        <v>37</v>
      </c>
      <c r="F9" t="s">
        <v>18</v>
      </c>
      <c r="G9">
        <v>100</v>
      </c>
      <c r="H9">
        <v>14</v>
      </c>
      <c r="I9" t="s">
        <v>28</v>
      </c>
      <c r="J9" t="str">
        <f>_xlfn.XLOOKUP(C9,'product_masterlist(ifs)'!A:A,'product_masterlist(ifs)'!C:C,"N/A",0)</f>
        <v>Contact Lenses</v>
      </c>
      <c r="K9">
        <f>VLOOKUP(C9,'product_masterlist(ifs)'!A:I,7,FALSE)</f>
        <v>450</v>
      </c>
    </row>
    <row r="10" spans="1:11" x14ac:dyDescent="0.35">
      <c r="A10" t="s">
        <v>38</v>
      </c>
      <c r="B10" t="s">
        <v>39</v>
      </c>
      <c r="C10" t="s">
        <v>26</v>
      </c>
      <c r="D10">
        <v>3</v>
      </c>
      <c r="E10" t="s">
        <v>37</v>
      </c>
      <c r="F10" t="s">
        <v>13</v>
      </c>
      <c r="G10" t="s">
        <v>40</v>
      </c>
      <c r="H10">
        <v>14</v>
      </c>
      <c r="I10" t="s">
        <v>28</v>
      </c>
      <c r="J10" t="str">
        <f>_xlfn.XLOOKUP(C10,'product_masterlist(ifs)'!A:A,'product_masterlist(ifs)'!C:C,"N/A",0)</f>
        <v>Contact Lenses</v>
      </c>
      <c r="K10">
        <f>VLOOKUP(C10,'product_masterlist(ifs)'!A:I,7,FALSE)</f>
        <v>450</v>
      </c>
    </row>
    <row r="11" spans="1:11" x14ac:dyDescent="0.35">
      <c r="A11" t="s">
        <v>41</v>
      </c>
      <c r="B11" s="1">
        <v>45699</v>
      </c>
      <c r="C11" t="s">
        <v>42</v>
      </c>
      <c r="D11">
        <v>21</v>
      </c>
      <c r="E11" t="s">
        <v>22</v>
      </c>
      <c r="F11" t="s">
        <v>18</v>
      </c>
      <c r="G11">
        <v>525</v>
      </c>
      <c r="H11">
        <v>21</v>
      </c>
      <c r="I11" t="s">
        <v>14</v>
      </c>
      <c r="J11" t="str">
        <f>_xlfn.XLOOKUP(C11,'product_masterlist(ifs)'!A:A,'product_masterlist(ifs)'!C:C,"N/A",0)</f>
        <v>Contact Lenses</v>
      </c>
      <c r="K11">
        <f>VLOOKUP(C11,'product_masterlist(ifs)'!A:I,7,FALSE)</f>
        <v>120</v>
      </c>
    </row>
    <row r="12" spans="1:11" x14ac:dyDescent="0.35">
      <c r="A12" t="s">
        <v>43</v>
      </c>
      <c r="B12" t="s">
        <v>44</v>
      </c>
      <c r="C12" t="s">
        <v>26</v>
      </c>
      <c r="D12">
        <v>7</v>
      </c>
      <c r="E12" t="s">
        <v>22</v>
      </c>
      <c r="F12" t="s">
        <v>31</v>
      </c>
      <c r="G12" t="s">
        <v>27</v>
      </c>
      <c r="H12">
        <v>14</v>
      </c>
      <c r="I12" t="s">
        <v>28</v>
      </c>
      <c r="J12" t="str">
        <f>_xlfn.XLOOKUP(C12,'product_masterlist(ifs)'!A:A,'product_masterlist(ifs)'!C:C,"N/A",0)</f>
        <v>Contact Lenses</v>
      </c>
      <c r="K12">
        <f>VLOOKUP(C12,'product_masterlist(ifs)'!A:I,7,FALSE)</f>
        <v>450</v>
      </c>
    </row>
    <row r="13" spans="1:11" x14ac:dyDescent="0.35">
      <c r="A13" t="s">
        <v>45</v>
      </c>
      <c r="B13" t="s">
        <v>46</v>
      </c>
      <c r="C13" t="s">
        <v>26</v>
      </c>
      <c r="D13">
        <v>11</v>
      </c>
      <c r="E13" t="s">
        <v>12</v>
      </c>
      <c r="F13" t="s">
        <v>13</v>
      </c>
      <c r="G13" t="s">
        <v>47</v>
      </c>
      <c r="H13">
        <v>14</v>
      </c>
      <c r="I13" t="s">
        <v>28</v>
      </c>
      <c r="J13" t="str">
        <f>_xlfn.XLOOKUP(C13,'product_masterlist(ifs)'!A:A,'product_masterlist(ifs)'!C:C,"N/A",0)</f>
        <v>Contact Lenses</v>
      </c>
      <c r="K13">
        <f>VLOOKUP(C13,'product_masterlist(ifs)'!A:I,7,FALSE)</f>
        <v>450</v>
      </c>
    </row>
    <row r="14" spans="1:11" x14ac:dyDescent="0.35">
      <c r="A14" t="s">
        <v>48</v>
      </c>
      <c r="B14" s="1">
        <v>45908</v>
      </c>
      <c r="C14" t="s">
        <v>17</v>
      </c>
      <c r="D14">
        <v>8</v>
      </c>
      <c r="E14" t="s">
        <v>20</v>
      </c>
      <c r="F14" t="s">
        <v>18</v>
      </c>
      <c r="G14">
        <v>360</v>
      </c>
      <c r="H14">
        <v>30</v>
      </c>
      <c r="I14" t="s">
        <v>14</v>
      </c>
      <c r="J14" t="str">
        <f>_xlfn.XLOOKUP(C14,'product_masterlist(ifs)'!A:A,'product_masterlist(ifs)'!C:C,"N/A",0)</f>
        <v>Frames</v>
      </c>
      <c r="K14">
        <f>VLOOKUP(C14,'product_masterlist(ifs)'!A:I,7,FALSE)</f>
        <v>45</v>
      </c>
    </row>
    <row r="15" spans="1:11" x14ac:dyDescent="0.35">
      <c r="A15" t="s">
        <v>49</v>
      </c>
      <c r="B15" s="1">
        <v>46003</v>
      </c>
      <c r="C15" t="s">
        <v>11</v>
      </c>
      <c r="D15">
        <v>25</v>
      </c>
      <c r="E15" t="s">
        <v>37</v>
      </c>
      <c r="F15" t="s">
        <v>18</v>
      </c>
      <c r="G15">
        <v>2125</v>
      </c>
      <c r="H15">
        <v>30</v>
      </c>
      <c r="I15" t="s">
        <v>14</v>
      </c>
      <c r="J15" t="str">
        <f>_xlfn.XLOOKUP(C15,'product_masterlist(ifs)'!A:A,'product_masterlist(ifs)'!C:C,"N/A",0)</f>
        <v>Surgical</v>
      </c>
      <c r="K15">
        <f>VLOOKUP(C15,'product_masterlist(ifs)'!A:I,7,FALSE)</f>
        <v>40</v>
      </c>
    </row>
    <row r="16" spans="1:11" x14ac:dyDescent="0.35">
      <c r="A16" t="s">
        <v>50</v>
      </c>
      <c r="B16" s="1">
        <v>45750</v>
      </c>
      <c r="C16" t="s">
        <v>33</v>
      </c>
      <c r="D16">
        <v>1</v>
      </c>
      <c r="E16" t="s">
        <v>20</v>
      </c>
      <c r="F16" t="s">
        <v>18</v>
      </c>
      <c r="G16">
        <v>150</v>
      </c>
      <c r="H16">
        <v>45</v>
      </c>
      <c r="I16" t="s">
        <v>34</v>
      </c>
      <c r="J16" t="str">
        <f>_xlfn.XLOOKUP(C16,'product_masterlist(ifs)'!A:A,'product_masterlist(ifs)'!C:C,"N/A",0)</f>
        <v>Surgical</v>
      </c>
      <c r="K16">
        <f>VLOOKUP(C16,'product_masterlist(ifs)'!A:I,7,FALSE)</f>
        <v>15</v>
      </c>
    </row>
    <row r="17" spans="1:11" x14ac:dyDescent="0.35">
      <c r="A17" t="s">
        <v>51</v>
      </c>
      <c r="B17" t="s">
        <v>52</v>
      </c>
      <c r="C17" t="s">
        <v>53</v>
      </c>
      <c r="D17">
        <v>19</v>
      </c>
      <c r="E17" t="s">
        <v>12</v>
      </c>
      <c r="F17" t="s">
        <v>13</v>
      </c>
      <c r="G17" t="s">
        <v>54</v>
      </c>
      <c r="H17">
        <v>7</v>
      </c>
      <c r="I17" t="s">
        <v>28</v>
      </c>
      <c r="J17" t="str">
        <f>_xlfn.XLOOKUP(C17,'product_masterlist(ifs)'!A:A,'product_masterlist(ifs)'!C:C,"N/A",0)</f>
        <v>Solutions</v>
      </c>
      <c r="K17">
        <f>VLOOKUP(C17,'product_masterlist(ifs)'!A:I,7,FALSE)</f>
        <v>800</v>
      </c>
    </row>
    <row r="18" spans="1:11" x14ac:dyDescent="0.35">
      <c r="A18" t="s">
        <v>55</v>
      </c>
      <c r="B18" s="1">
        <v>45757</v>
      </c>
      <c r="C18" t="s">
        <v>33</v>
      </c>
      <c r="D18">
        <v>23</v>
      </c>
      <c r="E18" t="s">
        <v>22</v>
      </c>
      <c r="F18" t="s">
        <v>31</v>
      </c>
      <c r="G18">
        <v>3450</v>
      </c>
      <c r="H18">
        <v>45</v>
      </c>
      <c r="I18" t="s">
        <v>34</v>
      </c>
      <c r="J18" t="str">
        <f>_xlfn.XLOOKUP(C18,'product_masterlist(ifs)'!A:A,'product_masterlist(ifs)'!C:C,"N/A",0)</f>
        <v>Surgical</v>
      </c>
      <c r="K18">
        <f>VLOOKUP(C18,'product_masterlist(ifs)'!A:I,7,FALSE)</f>
        <v>15</v>
      </c>
    </row>
    <row r="19" spans="1:11" x14ac:dyDescent="0.35">
      <c r="A19" t="s">
        <v>56</v>
      </c>
      <c r="B19" s="1">
        <v>45845</v>
      </c>
      <c r="C19" t="s">
        <v>17</v>
      </c>
      <c r="D19">
        <v>19</v>
      </c>
      <c r="E19" t="s">
        <v>22</v>
      </c>
      <c r="F19" t="s">
        <v>31</v>
      </c>
      <c r="G19">
        <v>855</v>
      </c>
      <c r="H19">
        <v>30</v>
      </c>
      <c r="I19" t="s">
        <v>14</v>
      </c>
      <c r="J19" t="str">
        <f>_xlfn.XLOOKUP(C19,'product_masterlist(ifs)'!A:A,'product_masterlist(ifs)'!C:C,"N/A",0)</f>
        <v>Frames</v>
      </c>
      <c r="K19">
        <f>VLOOKUP(C19,'product_masterlist(ifs)'!A:I,7,FALSE)</f>
        <v>45</v>
      </c>
    </row>
    <row r="20" spans="1:11" x14ac:dyDescent="0.35">
      <c r="A20" t="s">
        <v>57</v>
      </c>
      <c r="B20" t="s">
        <v>58</v>
      </c>
      <c r="C20" t="s">
        <v>17</v>
      </c>
      <c r="D20">
        <v>16</v>
      </c>
      <c r="E20" t="s">
        <v>37</v>
      </c>
      <c r="F20" t="s">
        <v>13</v>
      </c>
      <c r="G20">
        <v>720</v>
      </c>
      <c r="H20">
        <v>30</v>
      </c>
      <c r="I20" t="s">
        <v>14</v>
      </c>
      <c r="J20" t="str">
        <f>_xlfn.XLOOKUP(C20,'product_masterlist(ifs)'!A:A,'product_masterlist(ifs)'!C:C,"N/A",0)</f>
        <v>Frames</v>
      </c>
      <c r="K20">
        <f>VLOOKUP(C20,'product_masterlist(ifs)'!A:I,7,FALSE)</f>
        <v>45</v>
      </c>
    </row>
    <row r="21" spans="1:11" x14ac:dyDescent="0.35">
      <c r="A21" t="s">
        <v>59</v>
      </c>
      <c r="B21" t="s">
        <v>60</v>
      </c>
      <c r="C21" t="s">
        <v>33</v>
      </c>
      <c r="D21">
        <v>6</v>
      </c>
      <c r="E21" t="s">
        <v>37</v>
      </c>
      <c r="F21" t="s">
        <v>31</v>
      </c>
      <c r="G21">
        <v>900</v>
      </c>
      <c r="H21">
        <v>45</v>
      </c>
      <c r="I21" t="s">
        <v>34</v>
      </c>
      <c r="J21" t="str">
        <f>_xlfn.XLOOKUP(C21,'product_masterlist(ifs)'!A:A,'product_masterlist(ifs)'!C:C,"N/A",0)</f>
        <v>Surgical</v>
      </c>
      <c r="K21">
        <f>VLOOKUP(C21,'product_masterlist(ifs)'!A:I,7,FALSE)</f>
        <v>15</v>
      </c>
    </row>
    <row r="22" spans="1:11" x14ac:dyDescent="0.35">
      <c r="A22" t="s">
        <v>61</v>
      </c>
      <c r="B22" t="s">
        <v>62</v>
      </c>
      <c r="C22" t="s">
        <v>42</v>
      </c>
      <c r="D22">
        <v>12</v>
      </c>
      <c r="E22" t="s">
        <v>37</v>
      </c>
      <c r="F22" t="s">
        <v>23</v>
      </c>
      <c r="G22">
        <v>300</v>
      </c>
      <c r="H22">
        <v>21</v>
      </c>
      <c r="I22" t="s">
        <v>14</v>
      </c>
      <c r="J22" t="str">
        <f>_xlfn.XLOOKUP(C22,'product_masterlist(ifs)'!A:A,'product_masterlist(ifs)'!C:C,"N/A",0)</f>
        <v>Contact Lenses</v>
      </c>
      <c r="K22">
        <f>VLOOKUP(C22,'product_masterlist(ifs)'!A:I,7,FALSE)</f>
        <v>120</v>
      </c>
    </row>
    <row r="23" spans="1:11" x14ac:dyDescent="0.35">
      <c r="A23" t="s">
        <v>63</v>
      </c>
      <c r="B23" s="1">
        <v>45940</v>
      </c>
      <c r="C23" t="s">
        <v>17</v>
      </c>
      <c r="D23">
        <v>19</v>
      </c>
      <c r="E23" t="s">
        <v>22</v>
      </c>
      <c r="F23" t="s">
        <v>31</v>
      </c>
      <c r="G23">
        <v>855</v>
      </c>
      <c r="H23">
        <v>30</v>
      </c>
      <c r="I23" t="s">
        <v>14</v>
      </c>
      <c r="J23" t="str">
        <f>_xlfn.XLOOKUP(C23,'product_masterlist(ifs)'!A:A,'product_masterlist(ifs)'!C:C,"N/A",0)</f>
        <v>Frames</v>
      </c>
      <c r="K23">
        <f>VLOOKUP(C23,'product_masterlist(ifs)'!A:I,7,FALSE)</f>
        <v>45</v>
      </c>
    </row>
    <row r="24" spans="1:11" x14ac:dyDescent="0.35">
      <c r="A24" t="s">
        <v>64</v>
      </c>
      <c r="B24" t="s">
        <v>65</v>
      </c>
      <c r="C24" t="s">
        <v>33</v>
      </c>
      <c r="D24">
        <v>2</v>
      </c>
      <c r="E24" t="s">
        <v>20</v>
      </c>
      <c r="F24" t="s">
        <v>13</v>
      </c>
      <c r="G24">
        <v>300</v>
      </c>
      <c r="H24">
        <v>45</v>
      </c>
      <c r="I24" t="s">
        <v>34</v>
      </c>
      <c r="J24" t="str">
        <f>_xlfn.XLOOKUP(C24,'product_masterlist(ifs)'!A:A,'product_masterlist(ifs)'!C:C,"N/A",0)</f>
        <v>Surgical</v>
      </c>
      <c r="K24">
        <f>VLOOKUP(C24,'product_masterlist(ifs)'!A:I,7,FALSE)</f>
        <v>15</v>
      </c>
    </row>
    <row r="25" spans="1:11" x14ac:dyDescent="0.35">
      <c r="A25" t="s">
        <v>66</v>
      </c>
      <c r="B25" t="s">
        <v>67</v>
      </c>
      <c r="C25" t="s">
        <v>42</v>
      </c>
      <c r="D25">
        <v>24</v>
      </c>
      <c r="E25" t="s">
        <v>22</v>
      </c>
      <c r="F25" t="s">
        <v>18</v>
      </c>
      <c r="G25">
        <v>600</v>
      </c>
      <c r="H25">
        <v>21</v>
      </c>
      <c r="I25" t="s">
        <v>14</v>
      </c>
      <c r="J25" t="str">
        <f>_xlfn.XLOOKUP(C25,'product_masterlist(ifs)'!A:A,'product_masterlist(ifs)'!C:C,"N/A",0)</f>
        <v>Contact Lenses</v>
      </c>
      <c r="K25">
        <f>VLOOKUP(C25,'product_masterlist(ifs)'!A:I,7,FALSE)</f>
        <v>120</v>
      </c>
    </row>
    <row r="26" spans="1:11" x14ac:dyDescent="0.35">
      <c r="A26" t="s">
        <v>68</v>
      </c>
      <c r="B26" s="1">
        <v>45717</v>
      </c>
      <c r="C26" t="s">
        <v>33</v>
      </c>
      <c r="D26">
        <v>25</v>
      </c>
      <c r="E26" t="s">
        <v>22</v>
      </c>
      <c r="F26" t="s">
        <v>31</v>
      </c>
      <c r="G26">
        <v>3750</v>
      </c>
      <c r="H26">
        <v>45</v>
      </c>
      <c r="I26" t="s">
        <v>34</v>
      </c>
      <c r="J26" t="str">
        <f>_xlfn.XLOOKUP(C26,'product_masterlist(ifs)'!A:A,'product_masterlist(ifs)'!C:C,"N/A",0)</f>
        <v>Surgical</v>
      </c>
      <c r="K26">
        <f>VLOOKUP(C26,'product_masterlist(ifs)'!A:I,7,FALSE)</f>
        <v>15</v>
      </c>
    </row>
    <row r="27" spans="1:11" x14ac:dyDescent="0.35">
      <c r="A27" t="s">
        <v>69</v>
      </c>
      <c r="B27" s="1">
        <v>45787</v>
      </c>
      <c r="C27" t="s">
        <v>26</v>
      </c>
      <c r="D27">
        <v>24</v>
      </c>
      <c r="E27" t="s">
        <v>12</v>
      </c>
      <c r="F27" t="s">
        <v>13</v>
      </c>
      <c r="G27">
        <v>300</v>
      </c>
      <c r="H27">
        <v>14</v>
      </c>
      <c r="I27" t="s">
        <v>28</v>
      </c>
      <c r="J27" t="str">
        <f>_xlfn.XLOOKUP(C27,'product_masterlist(ifs)'!A:A,'product_masterlist(ifs)'!C:C,"N/A",0)</f>
        <v>Contact Lenses</v>
      </c>
      <c r="K27">
        <f>VLOOKUP(C27,'product_masterlist(ifs)'!A:I,7,FALSE)</f>
        <v>450</v>
      </c>
    </row>
    <row r="28" spans="1:11" x14ac:dyDescent="0.35">
      <c r="A28" t="s">
        <v>70</v>
      </c>
      <c r="B28" t="s">
        <v>71</v>
      </c>
      <c r="C28" t="s">
        <v>26</v>
      </c>
      <c r="D28">
        <v>18</v>
      </c>
      <c r="E28" t="s">
        <v>37</v>
      </c>
      <c r="F28" t="s">
        <v>13</v>
      </c>
      <c r="G28">
        <v>225</v>
      </c>
      <c r="H28">
        <v>14</v>
      </c>
      <c r="I28" t="s">
        <v>28</v>
      </c>
      <c r="J28" t="str">
        <f>_xlfn.XLOOKUP(C28,'product_masterlist(ifs)'!A:A,'product_masterlist(ifs)'!C:C,"N/A",0)</f>
        <v>Contact Lenses</v>
      </c>
      <c r="K28">
        <f>VLOOKUP(C28,'product_masterlist(ifs)'!A:I,7,FALSE)</f>
        <v>450</v>
      </c>
    </row>
    <row r="29" spans="1:11" x14ac:dyDescent="0.35">
      <c r="A29" t="s">
        <v>72</v>
      </c>
      <c r="B29" s="1">
        <v>45725</v>
      </c>
      <c r="C29" t="s">
        <v>26</v>
      </c>
      <c r="D29">
        <v>2</v>
      </c>
      <c r="E29" t="s">
        <v>20</v>
      </c>
      <c r="F29" t="s">
        <v>31</v>
      </c>
      <c r="G29">
        <v>25</v>
      </c>
      <c r="H29">
        <v>14</v>
      </c>
      <c r="I29" t="s">
        <v>28</v>
      </c>
      <c r="J29" t="str">
        <f>_xlfn.XLOOKUP(C29,'product_masterlist(ifs)'!A:A,'product_masterlist(ifs)'!C:C,"N/A",0)</f>
        <v>Contact Lenses</v>
      </c>
      <c r="K29">
        <f>VLOOKUP(C29,'product_masterlist(ifs)'!A:I,7,FALSE)</f>
        <v>450</v>
      </c>
    </row>
    <row r="30" spans="1:11" x14ac:dyDescent="0.35">
      <c r="A30" t="s">
        <v>73</v>
      </c>
      <c r="B30" t="s">
        <v>74</v>
      </c>
      <c r="C30" t="s">
        <v>53</v>
      </c>
      <c r="D30">
        <v>9</v>
      </c>
      <c r="E30" t="s">
        <v>37</v>
      </c>
      <c r="F30" t="s">
        <v>13</v>
      </c>
      <c r="G30" t="s">
        <v>75</v>
      </c>
      <c r="H30">
        <v>7</v>
      </c>
      <c r="I30" t="s">
        <v>28</v>
      </c>
      <c r="J30" t="str">
        <f>_xlfn.XLOOKUP(C30,'product_masterlist(ifs)'!A:A,'product_masterlist(ifs)'!C:C,"N/A",0)</f>
        <v>Solutions</v>
      </c>
      <c r="K30">
        <f>VLOOKUP(C30,'product_masterlist(ifs)'!A:I,7,FALSE)</f>
        <v>800</v>
      </c>
    </row>
    <row r="31" spans="1:11" x14ac:dyDescent="0.35">
      <c r="A31" t="s">
        <v>76</v>
      </c>
      <c r="B31" s="1">
        <v>45911</v>
      </c>
      <c r="C31" t="s">
        <v>11</v>
      </c>
      <c r="D31">
        <v>3</v>
      </c>
      <c r="E31" t="s">
        <v>22</v>
      </c>
      <c r="F31" t="s">
        <v>31</v>
      </c>
      <c r="G31">
        <v>255</v>
      </c>
      <c r="H31">
        <v>30</v>
      </c>
      <c r="I31" t="s">
        <v>14</v>
      </c>
      <c r="J31" t="str">
        <f>_xlfn.XLOOKUP(C31,'product_masterlist(ifs)'!A:A,'product_masterlist(ifs)'!C:C,"N/A",0)</f>
        <v>Surgical</v>
      </c>
      <c r="K31">
        <f>VLOOKUP(C31,'product_masterlist(ifs)'!A:I,7,FALSE)</f>
        <v>40</v>
      </c>
    </row>
    <row r="32" spans="1:11" x14ac:dyDescent="0.35">
      <c r="A32" t="s">
        <v>77</v>
      </c>
      <c r="B32" s="1">
        <v>45698</v>
      </c>
      <c r="C32" t="s">
        <v>33</v>
      </c>
      <c r="D32">
        <v>8</v>
      </c>
      <c r="E32" t="s">
        <v>22</v>
      </c>
      <c r="F32" t="s">
        <v>18</v>
      </c>
      <c r="G32">
        <v>1200</v>
      </c>
      <c r="H32">
        <v>45</v>
      </c>
      <c r="I32" t="s">
        <v>34</v>
      </c>
      <c r="J32" t="str">
        <f>_xlfn.XLOOKUP(C32,'product_masterlist(ifs)'!A:A,'product_masterlist(ifs)'!C:C,"N/A",0)</f>
        <v>Surgical</v>
      </c>
      <c r="K32">
        <f>VLOOKUP(C32,'product_masterlist(ifs)'!A:I,7,FALSE)</f>
        <v>15</v>
      </c>
    </row>
    <row r="33" spans="1:11" x14ac:dyDescent="0.35">
      <c r="A33" t="s">
        <v>78</v>
      </c>
      <c r="B33" s="1">
        <v>45722</v>
      </c>
      <c r="C33" t="s">
        <v>17</v>
      </c>
      <c r="D33">
        <v>9</v>
      </c>
      <c r="E33" t="s">
        <v>12</v>
      </c>
      <c r="F33" t="s">
        <v>23</v>
      </c>
      <c r="G33">
        <v>405</v>
      </c>
      <c r="H33">
        <v>30</v>
      </c>
      <c r="I33" t="s">
        <v>14</v>
      </c>
      <c r="J33" t="str">
        <f>_xlfn.XLOOKUP(C33,'product_masterlist(ifs)'!A:A,'product_masterlist(ifs)'!C:C,"N/A",0)</f>
        <v>Frames</v>
      </c>
      <c r="K33">
        <f>VLOOKUP(C33,'product_masterlist(ifs)'!A:I,7,FALSE)</f>
        <v>45</v>
      </c>
    </row>
    <row r="34" spans="1:11" x14ac:dyDescent="0.35">
      <c r="A34" t="s">
        <v>79</v>
      </c>
      <c r="B34" t="s">
        <v>80</v>
      </c>
      <c r="C34" t="s">
        <v>33</v>
      </c>
      <c r="D34">
        <v>18</v>
      </c>
      <c r="E34" t="s">
        <v>37</v>
      </c>
      <c r="F34" t="s">
        <v>23</v>
      </c>
      <c r="G34">
        <v>2700</v>
      </c>
      <c r="H34">
        <v>45</v>
      </c>
      <c r="I34" t="s">
        <v>34</v>
      </c>
      <c r="J34" t="str">
        <f>_xlfn.XLOOKUP(C34,'product_masterlist(ifs)'!A:A,'product_masterlist(ifs)'!C:C,"N/A",0)</f>
        <v>Surgical</v>
      </c>
      <c r="K34">
        <f>VLOOKUP(C34,'product_masterlist(ifs)'!A:I,7,FALSE)</f>
        <v>15</v>
      </c>
    </row>
    <row r="35" spans="1:11" x14ac:dyDescent="0.35">
      <c r="A35" t="s">
        <v>81</v>
      </c>
      <c r="B35" s="1">
        <v>45966</v>
      </c>
      <c r="C35" t="s">
        <v>42</v>
      </c>
      <c r="D35">
        <v>7</v>
      </c>
      <c r="E35" t="s">
        <v>20</v>
      </c>
      <c r="F35" t="s">
        <v>18</v>
      </c>
      <c r="G35">
        <v>175</v>
      </c>
      <c r="H35">
        <v>21</v>
      </c>
      <c r="I35" t="s">
        <v>14</v>
      </c>
      <c r="J35" t="str">
        <f>_xlfn.XLOOKUP(C35,'product_masterlist(ifs)'!A:A,'product_masterlist(ifs)'!C:C,"N/A",0)</f>
        <v>Contact Lenses</v>
      </c>
      <c r="K35">
        <f>VLOOKUP(C35,'product_masterlist(ifs)'!A:I,7,FALSE)</f>
        <v>120</v>
      </c>
    </row>
    <row r="36" spans="1:11" x14ac:dyDescent="0.35">
      <c r="A36" t="s">
        <v>82</v>
      </c>
      <c r="B36" t="s">
        <v>83</v>
      </c>
      <c r="C36" t="s">
        <v>42</v>
      </c>
      <c r="D36">
        <v>6</v>
      </c>
      <c r="E36" t="s">
        <v>12</v>
      </c>
      <c r="F36" t="s">
        <v>31</v>
      </c>
      <c r="G36">
        <v>150</v>
      </c>
      <c r="H36">
        <v>21</v>
      </c>
      <c r="I36" t="s">
        <v>14</v>
      </c>
      <c r="J36" t="str">
        <f>_xlfn.XLOOKUP(C36,'product_masterlist(ifs)'!A:A,'product_masterlist(ifs)'!C:C,"N/A",0)</f>
        <v>Contact Lenses</v>
      </c>
      <c r="K36">
        <f>VLOOKUP(C36,'product_masterlist(ifs)'!A:I,7,FALSE)</f>
        <v>120</v>
      </c>
    </row>
    <row r="37" spans="1:11" x14ac:dyDescent="0.35">
      <c r="A37" t="s">
        <v>84</v>
      </c>
      <c r="B37" s="1">
        <v>45843</v>
      </c>
      <c r="C37" t="s">
        <v>42</v>
      </c>
      <c r="D37">
        <v>21</v>
      </c>
      <c r="E37" t="s">
        <v>22</v>
      </c>
      <c r="F37" t="s">
        <v>23</v>
      </c>
      <c r="G37">
        <v>525</v>
      </c>
      <c r="H37">
        <v>21</v>
      </c>
      <c r="I37" t="s">
        <v>14</v>
      </c>
      <c r="J37" t="str">
        <f>_xlfn.XLOOKUP(C37,'product_masterlist(ifs)'!A:A,'product_masterlist(ifs)'!C:C,"N/A",0)</f>
        <v>Contact Lenses</v>
      </c>
      <c r="K37">
        <f>VLOOKUP(C37,'product_masterlist(ifs)'!A:I,7,FALSE)</f>
        <v>120</v>
      </c>
    </row>
    <row r="38" spans="1:11" x14ac:dyDescent="0.35">
      <c r="A38" t="s">
        <v>85</v>
      </c>
      <c r="B38" s="1">
        <v>45781</v>
      </c>
      <c r="C38" t="s">
        <v>26</v>
      </c>
      <c r="D38">
        <v>24</v>
      </c>
      <c r="E38" t="s">
        <v>37</v>
      </c>
      <c r="F38" t="s">
        <v>31</v>
      </c>
      <c r="G38">
        <v>300</v>
      </c>
      <c r="H38">
        <v>14</v>
      </c>
      <c r="I38" t="s">
        <v>28</v>
      </c>
      <c r="J38" t="str">
        <f>_xlfn.XLOOKUP(C38,'product_masterlist(ifs)'!A:A,'product_masterlist(ifs)'!C:C,"N/A",0)</f>
        <v>Contact Lenses</v>
      </c>
      <c r="K38">
        <f>VLOOKUP(C38,'product_masterlist(ifs)'!A:I,7,FALSE)</f>
        <v>450</v>
      </c>
    </row>
    <row r="39" spans="1:11" x14ac:dyDescent="0.35">
      <c r="A39" t="s">
        <v>86</v>
      </c>
      <c r="B39" t="s">
        <v>87</v>
      </c>
      <c r="C39" t="s">
        <v>11</v>
      </c>
      <c r="D39">
        <v>6</v>
      </c>
      <c r="E39" t="s">
        <v>37</v>
      </c>
      <c r="F39" t="s">
        <v>18</v>
      </c>
      <c r="G39">
        <v>510</v>
      </c>
      <c r="H39">
        <v>30</v>
      </c>
      <c r="I39" t="s">
        <v>14</v>
      </c>
      <c r="J39" t="str">
        <f>_xlfn.XLOOKUP(C39,'product_masterlist(ifs)'!A:A,'product_masterlist(ifs)'!C:C,"N/A",0)</f>
        <v>Surgical</v>
      </c>
      <c r="K39">
        <f>VLOOKUP(C39,'product_masterlist(ifs)'!A:I,7,FALSE)</f>
        <v>40</v>
      </c>
    </row>
    <row r="40" spans="1:11" x14ac:dyDescent="0.35">
      <c r="A40" t="s">
        <v>88</v>
      </c>
      <c r="B40" t="s">
        <v>89</v>
      </c>
      <c r="C40" t="s">
        <v>90</v>
      </c>
      <c r="D40">
        <v>9</v>
      </c>
      <c r="E40" t="s">
        <v>20</v>
      </c>
      <c r="F40" t="s">
        <v>31</v>
      </c>
      <c r="G40" t="s">
        <v>91</v>
      </c>
      <c r="H40">
        <v>30</v>
      </c>
      <c r="I40" t="s">
        <v>14</v>
      </c>
      <c r="J40" t="str">
        <f>_xlfn.XLOOKUP(C40,'product_masterlist(ifs)'!A:A,'product_masterlist(ifs)'!C:C,"N/A",0)</f>
        <v>Frames</v>
      </c>
      <c r="K40">
        <f>VLOOKUP(C40,'product_masterlist(ifs)'!A:I,7,FALSE)</f>
        <v>180</v>
      </c>
    </row>
    <row r="41" spans="1:11" x14ac:dyDescent="0.35">
      <c r="A41" t="s">
        <v>92</v>
      </c>
      <c r="B41" s="1">
        <v>45658</v>
      </c>
      <c r="C41" t="s">
        <v>53</v>
      </c>
      <c r="D41">
        <v>15</v>
      </c>
      <c r="E41" t="s">
        <v>20</v>
      </c>
      <c r="F41" t="s">
        <v>13</v>
      </c>
      <c r="G41" t="s">
        <v>93</v>
      </c>
      <c r="H41">
        <v>7</v>
      </c>
      <c r="I41" t="s">
        <v>28</v>
      </c>
      <c r="J41" t="str">
        <f>_xlfn.XLOOKUP(C41,'product_masterlist(ifs)'!A:A,'product_masterlist(ifs)'!C:C,"N/A",0)</f>
        <v>Solutions</v>
      </c>
      <c r="K41">
        <f>VLOOKUP(C41,'product_masterlist(ifs)'!A:I,7,FALSE)</f>
        <v>800</v>
      </c>
    </row>
    <row r="42" spans="1:11" x14ac:dyDescent="0.35">
      <c r="A42" t="s">
        <v>94</v>
      </c>
      <c r="B42" s="1">
        <v>45717</v>
      </c>
      <c r="C42" t="s">
        <v>53</v>
      </c>
      <c r="D42">
        <v>10</v>
      </c>
      <c r="E42" t="s">
        <v>37</v>
      </c>
      <c r="F42" t="s">
        <v>18</v>
      </c>
      <c r="G42" t="s">
        <v>95</v>
      </c>
      <c r="H42">
        <v>7</v>
      </c>
      <c r="I42" t="s">
        <v>28</v>
      </c>
      <c r="J42" t="str">
        <f>_xlfn.XLOOKUP(C42,'product_masterlist(ifs)'!A:A,'product_masterlist(ifs)'!C:C,"N/A",0)</f>
        <v>Solutions</v>
      </c>
      <c r="K42">
        <f>VLOOKUP(C42,'product_masterlist(ifs)'!A:I,7,FALSE)</f>
        <v>800</v>
      </c>
    </row>
    <row r="43" spans="1:11" x14ac:dyDescent="0.35">
      <c r="A43" t="s">
        <v>96</v>
      </c>
      <c r="B43" t="s">
        <v>97</v>
      </c>
      <c r="C43" t="s">
        <v>26</v>
      </c>
      <c r="D43">
        <v>6</v>
      </c>
      <c r="E43" t="s">
        <v>12</v>
      </c>
      <c r="F43" t="s">
        <v>18</v>
      </c>
      <c r="G43">
        <v>75</v>
      </c>
      <c r="H43">
        <v>14</v>
      </c>
      <c r="I43" t="s">
        <v>28</v>
      </c>
      <c r="J43" t="str">
        <f>_xlfn.XLOOKUP(C43,'product_masterlist(ifs)'!A:A,'product_masterlist(ifs)'!C:C,"N/A",0)</f>
        <v>Contact Lenses</v>
      </c>
      <c r="K43">
        <f>VLOOKUP(C43,'product_masterlist(ifs)'!A:I,7,FALSE)</f>
        <v>450</v>
      </c>
    </row>
    <row r="44" spans="1:11" x14ac:dyDescent="0.35">
      <c r="A44" t="s">
        <v>98</v>
      </c>
      <c r="B44" t="s">
        <v>60</v>
      </c>
      <c r="C44" t="s">
        <v>42</v>
      </c>
      <c r="D44">
        <v>22</v>
      </c>
      <c r="E44" t="s">
        <v>22</v>
      </c>
      <c r="F44" t="s">
        <v>13</v>
      </c>
      <c r="G44">
        <v>550</v>
      </c>
      <c r="H44">
        <v>21</v>
      </c>
      <c r="I44" t="s">
        <v>14</v>
      </c>
      <c r="J44" t="str">
        <f>_xlfn.XLOOKUP(C44,'product_masterlist(ifs)'!A:A,'product_masterlist(ifs)'!C:C,"N/A",0)</f>
        <v>Contact Lenses</v>
      </c>
      <c r="K44">
        <f>VLOOKUP(C44,'product_masterlist(ifs)'!A:I,7,FALSE)</f>
        <v>120</v>
      </c>
    </row>
    <row r="45" spans="1:11" x14ac:dyDescent="0.35">
      <c r="A45" t="s">
        <v>99</v>
      </c>
      <c r="B45" t="s">
        <v>100</v>
      </c>
      <c r="C45" t="s">
        <v>26</v>
      </c>
      <c r="D45">
        <v>1</v>
      </c>
      <c r="E45" t="s">
        <v>37</v>
      </c>
      <c r="F45" t="s">
        <v>18</v>
      </c>
      <c r="G45" t="s">
        <v>101</v>
      </c>
      <c r="H45">
        <v>14</v>
      </c>
      <c r="I45" t="s">
        <v>28</v>
      </c>
      <c r="J45" t="str">
        <f>_xlfn.XLOOKUP(C45,'product_masterlist(ifs)'!A:A,'product_masterlist(ifs)'!C:C,"N/A",0)</f>
        <v>Contact Lenses</v>
      </c>
      <c r="K45">
        <f>VLOOKUP(C45,'product_masterlist(ifs)'!A:I,7,FALSE)</f>
        <v>450</v>
      </c>
    </row>
    <row r="46" spans="1:11" x14ac:dyDescent="0.35">
      <c r="A46" t="s">
        <v>102</v>
      </c>
      <c r="B46" t="s">
        <v>103</v>
      </c>
      <c r="C46" t="s">
        <v>33</v>
      </c>
      <c r="D46">
        <v>8</v>
      </c>
      <c r="E46" t="s">
        <v>12</v>
      </c>
      <c r="F46" t="s">
        <v>31</v>
      </c>
      <c r="G46">
        <v>1200</v>
      </c>
      <c r="H46">
        <v>45</v>
      </c>
      <c r="I46" t="s">
        <v>34</v>
      </c>
      <c r="J46" t="str">
        <f>_xlfn.XLOOKUP(C46,'product_masterlist(ifs)'!A:A,'product_masterlist(ifs)'!C:C,"N/A",0)</f>
        <v>Surgical</v>
      </c>
      <c r="K46">
        <f>VLOOKUP(C46,'product_masterlist(ifs)'!A:I,7,FALSE)</f>
        <v>15</v>
      </c>
    </row>
    <row r="47" spans="1:11" x14ac:dyDescent="0.35">
      <c r="A47" t="s">
        <v>104</v>
      </c>
      <c r="B47" t="s">
        <v>105</v>
      </c>
      <c r="C47" t="s">
        <v>42</v>
      </c>
      <c r="D47">
        <v>12</v>
      </c>
      <c r="E47" t="s">
        <v>22</v>
      </c>
      <c r="F47" t="s">
        <v>31</v>
      </c>
      <c r="G47">
        <v>300</v>
      </c>
      <c r="H47">
        <v>21</v>
      </c>
      <c r="I47" t="s">
        <v>14</v>
      </c>
      <c r="J47" t="str">
        <f>_xlfn.XLOOKUP(C47,'product_masterlist(ifs)'!A:A,'product_masterlist(ifs)'!C:C,"N/A",0)</f>
        <v>Contact Lenses</v>
      </c>
      <c r="K47">
        <f>VLOOKUP(C47,'product_masterlist(ifs)'!A:I,7,FALSE)</f>
        <v>120</v>
      </c>
    </row>
    <row r="48" spans="1:11" x14ac:dyDescent="0.35">
      <c r="A48" t="s">
        <v>106</v>
      </c>
      <c r="B48" s="1">
        <v>45789</v>
      </c>
      <c r="C48" t="s">
        <v>33</v>
      </c>
      <c r="D48">
        <v>18</v>
      </c>
      <c r="E48" t="s">
        <v>37</v>
      </c>
      <c r="F48" t="s">
        <v>23</v>
      </c>
      <c r="G48">
        <v>2700</v>
      </c>
      <c r="H48">
        <v>45</v>
      </c>
      <c r="I48" t="s">
        <v>34</v>
      </c>
      <c r="J48" t="str">
        <f>_xlfn.XLOOKUP(C48,'product_masterlist(ifs)'!A:A,'product_masterlist(ifs)'!C:C,"N/A",0)</f>
        <v>Surgical</v>
      </c>
      <c r="K48">
        <f>VLOOKUP(C48,'product_masterlist(ifs)'!A:I,7,FALSE)</f>
        <v>15</v>
      </c>
    </row>
    <row r="49" spans="1:11" x14ac:dyDescent="0.35">
      <c r="A49" t="s">
        <v>107</v>
      </c>
      <c r="B49" t="s">
        <v>108</v>
      </c>
      <c r="C49" t="s">
        <v>90</v>
      </c>
      <c r="D49">
        <v>1</v>
      </c>
      <c r="E49" t="s">
        <v>22</v>
      </c>
      <c r="F49" t="s">
        <v>23</v>
      </c>
      <c r="G49" t="s">
        <v>109</v>
      </c>
      <c r="H49">
        <v>30</v>
      </c>
      <c r="I49" t="s">
        <v>14</v>
      </c>
      <c r="J49" t="str">
        <f>_xlfn.XLOOKUP(C49,'product_masterlist(ifs)'!A:A,'product_masterlist(ifs)'!C:C,"N/A",0)</f>
        <v>Frames</v>
      </c>
      <c r="K49">
        <f>VLOOKUP(C49,'product_masterlist(ifs)'!A:I,7,FALSE)</f>
        <v>180</v>
      </c>
    </row>
    <row r="50" spans="1:11" x14ac:dyDescent="0.35">
      <c r="A50" t="s">
        <v>110</v>
      </c>
      <c r="B50" t="s">
        <v>111</v>
      </c>
      <c r="C50" t="s">
        <v>17</v>
      </c>
      <c r="D50">
        <v>5</v>
      </c>
      <c r="E50" t="s">
        <v>20</v>
      </c>
      <c r="F50" t="s">
        <v>31</v>
      </c>
      <c r="G50">
        <v>225</v>
      </c>
      <c r="H50">
        <v>30</v>
      </c>
      <c r="I50" t="s">
        <v>14</v>
      </c>
      <c r="J50" t="str">
        <f>_xlfn.XLOOKUP(C50,'product_masterlist(ifs)'!A:A,'product_masterlist(ifs)'!C:C,"N/A",0)</f>
        <v>Frames</v>
      </c>
      <c r="K50">
        <f>VLOOKUP(C50,'product_masterlist(ifs)'!A:I,7,FALSE)</f>
        <v>45</v>
      </c>
    </row>
    <row r="51" spans="1:11" x14ac:dyDescent="0.35">
      <c r="A51" t="s">
        <v>112</v>
      </c>
      <c r="B51" s="1">
        <v>45725</v>
      </c>
      <c r="C51" t="s">
        <v>11</v>
      </c>
      <c r="D51">
        <v>24</v>
      </c>
      <c r="E51" t="s">
        <v>20</v>
      </c>
      <c r="F51" t="s">
        <v>31</v>
      </c>
      <c r="G51">
        <v>2040</v>
      </c>
      <c r="H51">
        <v>30</v>
      </c>
      <c r="I51" t="s">
        <v>14</v>
      </c>
      <c r="J51" t="str">
        <f>_xlfn.XLOOKUP(C51,'product_masterlist(ifs)'!A:A,'product_masterlist(ifs)'!C:C,"N/A",0)</f>
        <v>Surgical</v>
      </c>
      <c r="K51">
        <f>VLOOKUP(C51,'product_masterlist(ifs)'!A:I,7,FALSE)</f>
        <v>40</v>
      </c>
    </row>
    <row r="52" spans="1:11" x14ac:dyDescent="0.35">
      <c r="A52" t="s">
        <v>113</v>
      </c>
      <c r="B52" s="1">
        <v>45870</v>
      </c>
      <c r="C52" t="s">
        <v>17</v>
      </c>
      <c r="D52">
        <v>12</v>
      </c>
      <c r="E52" t="s">
        <v>20</v>
      </c>
      <c r="F52" t="s">
        <v>13</v>
      </c>
      <c r="G52">
        <v>540</v>
      </c>
      <c r="H52">
        <v>30</v>
      </c>
      <c r="I52" t="s">
        <v>14</v>
      </c>
      <c r="J52" t="str">
        <f>_xlfn.XLOOKUP(C52,'product_masterlist(ifs)'!A:A,'product_masterlist(ifs)'!C:C,"N/A",0)</f>
        <v>Frames</v>
      </c>
      <c r="K52">
        <f>VLOOKUP(C52,'product_masterlist(ifs)'!A:I,7,FALSE)</f>
        <v>45</v>
      </c>
    </row>
    <row r="53" spans="1:11" x14ac:dyDescent="0.35">
      <c r="A53" t="s">
        <v>114</v>
      </c>
      <c r="B53" t="s">
        <v>115</v>
      </c>
      <c r="C53" t="s">
        <v>11</v>
      </c>
      <c r="D53">
        <v>23</v>
      </c>
      <c r="E53" t="s">
        <v>12</v>
      </c>
      <c r="F53" t="s">
        <v>23</v>
      </c>
      <c r="G53">
        <v>1955</v>
      </c>
      <c r="H53">
        <v>30</v>
      </c>
      <c r="I53" t="s">
        <v>14</v>
      </c>
      <c r="J53" t="str">
        <f>_xlfn.XLOOKUP(C53,'product_masterlist(ifs)'!A:A,'product_masterlist(ifs)'!C:C,"N/A",0)</f>
        <v>Surgical</v>
      </c>
      <c r="K53">
        <f>VLOOKUP(C53,'product_masterlist(ifs)'!A:I,7,FALSE)</f>
        <v>40</v>
      </c>
    </row>
    <row r="54" spans="1:11" x14ac:dyDescent="0.35">
      <c r="A54" t="s">
        <v>116</v>
      </c>
      <c r="B54" t="s">
        <v>117</v>
      </c>
      <c r="C54" t="s">
        <v>33</v>
      </c>
      <c r="D54">
        <v>4</v>
      </c>
      <c r="E54" t="s">
        <v>12</v>
      </c>
      <c r="F54" t="s">
        <v>23</v>
      </c>
      <c r="G54">
        <v>600</v>
      </c>
      <c r="H54">
        <v>45</v>
      </c>
      <c r="I54" t="s">
        <v>34</v>
      </c>
      <c r="J54" t="str">
        <f>_xlfn.XLOOKUP(C54,'product_masterlist(ifs)'!A:A,'product_masterlist(ifs)'!C:C,"N/A",0)</f>
        <v>Surgical</v>
      </c>
      <c r="K54">
        <f>VLOOKUP(C54,'product_masterlist(ifs)'!A:I,7,FALSE)</f>
        <v>15</v>
      </c>
    </row>
    <row r="55" spans="1:11" x14ac:dyDescent="0.35">
      <c r="A55" t="s">
        <v>118</v>
      </c>
      <c r="B55" t="s">
        <v>119</v>
      </c>
      <c r="C55" t="s">
        <v>90</v>
      </c>
      <c r="D55">
        <v>21</v>
      </c>
      <c r="E55" t="s">
        <v>12</v>
      </c>
      <c r="F55" t="s">
        <v>31</v>
      </c>
      <c r="G55" t="s">
        <v>120</v>
      </c>
      <c r="H55">
        <v>30</v>
      </c>
      <c r="I55" t="s">
        <v>14</v>
      </c>
      <c r="J55" t="str">
        <f>_xlfn.XLOOKUP(C55,'product_masterlist(ifs)'!A:A,'product_masterlist(ifs)'!C:C,"N/A",0)</f>
        <v>Frames</v>
      </c>
      <c r="K55">
        <f>VLOOKUP(C55,'product_masterlist(ifs)'!A:I,7,FALSE)</f>
        <v>180</v>
      </c>
    </row>
    <row r="56" spans="1:11" x14ac:dyDescent="0.35">
      <c r="A56" t="s">
        <v>121</v>
      </c>
      <c r="B56" t="s">
        <v>122</v>
      </c>
      <c r="C56" t="s">
        <v>90</v>
      </c>
      <c r="D56">
        <v>23</v>
      </c>
      <c r="E56" t="s">
        <v>12</v>
      </c>
      <c r="F56" t="s">
        <v>23</v>
      </c>
      <c r="G56" t="s">
        <v>123</v>
      </c>
      <c r="H56">
        <v>30</v>
      </c>
      <c r="I56" t="s">
        <v>14</v>
      </c>
      <c r="J56" t="str">
        <f>_xlfn.XLOOKUP(C56,'product_masterlist(ifs)'!A:A,'product_masterlist(ifs)'!C:C,"N/A",0)</f>
        <v>Frames</v>
      </c>
      <c r="K56">
        <f>VLOOKUP(C56,'product_masterlist(ifs)'!A:I,7,FALSE)</f>
        <v>180</v>
      </c>
    </row>
    <row r="57" spans="1:11" x14ac:dyDescent="0.35">
      <c r="A57" t="s">
        <v>124</v>
      </c>
      <c r="B57" t="s">
        <v>125</v>
      </c>
      <c r="C57" t="s">
        <v>26</v>
      </c>
      <c r="D57">
        <v>16</v>
      </c>
      <c r="E57" t="s">
        <v>20</v>
      </c>
      <c r="F57" t="s">
        <v>18</v>
      </c>
      <c r="G57">
        <v>200</v>
      </c>
      <c r="H57">
        <v>14</v>
      </c>
      <c r="I57" t="s">
        <v>28</v>
      </c>
      <c r="J57" t="str">
        <f>_xlfn.XLOOKUP(C57,'product_masterlist(ifs)'!A:A,'product_masterlist(ifs)'!C:C,"N/A",0)</f>
        <v>Contact Lenses</v>
      </c>
      <c r="K57">
        <f>VLOOKUP(C57,'product_masterlist(ifs)'!A:I,7,FALSE)</f>
        <v>450</v>
      </c>
    </row>
    <row r="58" spans="1:11" x14ac:dyDescent="0.35">
      <c r="A58" t="s">
        <v>126</v>
      </c>
      <c r="B58" t="s">
        <v>127</v>
      </c>
      <c r="C58" t="s">
        <v>33</v>
      </c>
      <c r="D58">
        <v>16</v>
      </c>
      <c r="E58" t="s">
        <v>20</v>
      </c>
      <c r="F58" t="s">
        <v>13</v>
      </c>
      <c r="G58">
        <v>2400</v>
      </c>
      <c r="H58">
        <v>45</v>
      </c>
      <c r="I58" t="s">
        <v>34</v>
      </c>
      <c r="J58" t="str">
        <f>_xlfn.XLOOKUP(C58,'product_masterlist(ifs)'!A:A,'product_masterlist(ifs)'!C:C,"N/A",0)</f>
        <v>Surgical</v>
      </c>
      <c r="K58">
        <f>VLOOKUP(C58,'product_masterlist(ifs)'!A:I,7,FALSE)</f>
        <v>15</v>
      </c>
    </row>
    <row r="59" spans="1:11" x14ac:dyDescent="0.35">
      <c r="A59" t="s">
        <v>128</v>
      </c>
      <c r="B59" t="s">
        <v>129</v>
      </c>
      <c r="C59" t="s">
        <v>90</v>
      </c>
      <c r="D59">
        <v>1</v>
      </c>
      <c r="E59" t="s">
        <v>37</v>
      </c>
      <c r="F59" t="s">
        <v>13</v>
      </c>
      <c r="G59" t="s">
        <v>109</v>
      </c>
      <c r="H59">
        <v>30</v>
      </c>
      <c r="I59" t="s">
        <v>14</v>
      </c>
      <c r="J59" t="str">
        <f>_xlfn.XLOOKUP(C59,'product_masterlist(ifs)'!A:A,'product_masterlist(ifs)'!C:C,"N/A",0)</f>
        <v>Frames</v>
      </c>
      <c r="K59">
        <f>VLOOKUP(C59,'product_masterlist(ifs)'!A:I,7,FALSE)</f>
        <v>180</v>
      </c>
    </row>
    <row r="60" spans="1:11" x14ac:dyDescent="0.35">
      <c r="A60" t="s">
        <v>130</v>
      </c>
      <c r="B60" t="s">
        <v>131</v>
      </c>
      <c r="C60" t="s">
        <v>42</v>
      </c>
      <c r="D60">
        <v>16</v>
      </c>
      <c r="E60" t="s">
        <v>12</v>
      </c>
      <c r="F60" t="s">
        <v>31</v>
      </c>
      <c r="G60">
        <v>400</v>
      </c>
      <c r="H60">
        <v>21</v>
      </c>
      <c r="I60" t="s">
        <v>14</v>
      </c>
      <c r="J60" t="str">
        <f>_xlfn.XLOOKUP(C60,'product_masterlist(ifs)'!A:A,'product_masterlist(ifs)'!C:C,"N/A",0)</f>
        <v>Contact Lenses</v>
      </c>
      <c r="K60">
        <f>VLOOKUP(C60,'product_masterlist(ifs)'!A:I,7,FALSE)</f>
        <v>120</v>
      </c>
    </row>
    <row r="61" spans="1:11" x14ac:dyDescent="0.35">
      <c r="A61" t="s">
        <v>132</v>
      </c>
      <c r="B61" s="1">
        <v>45871</v>
      </c>
      <c r="C61" t="s">
        <v>11</v>
      </c>
      <c r="D61">
        <v>15</v>
      </c>
      <c r="E61" t="s">
        <v>37</v>
      </c>
      <c r="F61" t="s">
        <v>31</v>
      </c>
      <c r="G61">
        <v>1275</v>
      </c>
      <c r="H61">
        <v>30</v>
      </c>
      <c r="I61" t="s">
        <v>14</v>
      </c>
      <c r="J61" t="str">
        <f>_xlfn.XLOOKUP(C61,'product_masterlist(ifs)'!A:A,'product_masterlist(ifs)'!C:C,"N/A",0)</f>
        <v>Surgical</v>
      </c>
      <c r="K61">
        <f>VLOOKUP(C61,'product_masterlist(ifs)'!A:I,7,FALSE)</f>
        <v>40</v>
      </c>
    </row>
    <row r="62" spans="1:11" x14ac:dyDescent="0.35">
      <c r="A62" t="s">
        <v>133</v>
      </c>
      <c r="B62" s="1">
        <v>45788</v>
      </c>
      <c r="C62" t="s">
        <v>90</v>
      </c>
      <c r="D62">
        <v>2</v>
      </c>
      <c r="E62" t="s">
        <v>22</v>
      </c>
      <c r="F62" t="s">
        <v>31</v>
      </c>
      <c r="G62">
        <v>97</v>
      </c>
      <c r="H62">
        <v>30</v>
      </c>
      <c r="I62" t="s">
        <v>14</v>
      </c>
      <c r="J62" t="str">
        <f>_xlfn.XLOOKUP(C62,'product_masterlist(ifs)'!A:A,'product_masterlist(ifs)'!C:C,"N/A",0)</f>
        <v>Frames</v>
      </c>
      <c r="K62">
        <f>VLOOKUP(C62,'product_masterlist(ifs)'!A:I,7,FALSE)</f>
        <v>180</v>
      </c>
    </row>
    <row r="63" spans="1:11" x14ac:dyDescent="0.35">
      <c r="A63" t="s">
        <v>134</v>
      </c>
      <c r="B63" t="s">
        <v>135</v>
      </c>
      <c r="C63" t="s">
        <v>33</v>
      </c>
      <c r="D63">
        <v>21</v>
      </c>
      <c r="E63" t="s">
        <v>12</v>
      </c>
      <c r="F63" t="s">
        <v>23</v>
      </c>
      <c r="G63">
        <v>3150</v>
      </c>
      <c r="H63">
        <v>45</v>
      </c>
      <c r="I63" t="s">
        <v>34</v>
      </c>
      <c r="J63" t="str">
        <f>_xlfn.XLOOKUP(C63,'product_masterlist(ifs)'!A:A,'product_masterlist(ifs)'!C:C,"N/A",0)</f>
        <v>Surgical</v>
      </c>
      <c r="K63">
        <f>VLOOKUP(C63,'product_masterlist(ifs)'!A:I,7,FALSE)</f>
        <v>15</v>
      </c>
    </row>
    <row r="64" spans="1:11" x14ac:dyDescent="0.35">
      <c r="A64" t="s">
        <v>136</v>
      </c>
      <c r="B64" s="1">
        <v>45812</v>
      </c>
      <c r="C64" t="s">
        <v>90</v>
      </c>
      <c r="D64">
        <v>20</v>
      </c>
      <c r="E64" t="s">
        <v>12</v>
      </c>
      <c r="F64" t="s">
        <v>13</v>
      </c>
      <c r="G64">
        <v>970</v>
      </c>
      <c r="H64">
        <v>30</v>
      </c>
      <c r="I64" t="s">
        <v>14</v>
      </c>
      <c r="J64" t="str">
        <f>_xlfn.XLOOKUP(C64,'product_masterlist(ifs)'!A:A,'product_masterlist(ifs)'!C:C,"N/A",0)</f>
        <v>Frames</v>
      </c>
      <c r="K64">
        <f>VLOOKUP(C64,'product_masterlist(ifs)'!A:I,7,FALSE)</f>
        <v>180</v>
      </c>
    </row>
    <row r="65" spans="1:11" x14ac:dyDescent="0.35">
      <c r="A65" t="s">
        <v>137</v>
      </c>
      <c r="B65" t="s">
        <v>138</v>
      </c>
      <c r="C65" t="s">
        <v>33</v>
      </c>
      <c r="D65">
        <v>17</v>
      </c>
      <c r="E65" t="s">
        <v>12</v>
      </c>
      <c r="F65" t="s">
        <v>23</v>
      </c>
      <c r="G65">
        <v>2550</v>
      </c>
      <c r="H65">
        <v>45</v>
      </c>
      <c r="I65" t="s">
        <v>34</v>
      </c>
      <c r="J65" t="str">
        <f>_xlfn.XLOOKUP(C65,'product_masterlist(ifs)'!A:A,'product_masterlist(ifs)'!C:C,"N/A",0)</f>
        <v>Surgical</v>
      </c>
      <c r="K65">
        <f>VLOOKUP(C65,'product_masterlist(ifs)'!A:I,7,FALSE)</f>
        <v>15</v>
      </c>
    </row>
    <row r="66" spans="1:11" x14ac:dyDescent="0.35">
      <c r="A66" t="s">
        <v>139</v>
      </c>
      <c r="B66" s="1">
        <v>45748</v>
      </c>
      <c r="C66" t="s">
        <v>42</v>
      </c>
      <c r="D66">
        <v>3</v>
      </c>
      <c r="E66" t="s">
        <v>20</v>
      </c>
      <c r="F66" t="s">
        <v>18</v>
      </c>
      <c r="G66">
        <v>75</v>
      </c>
      <c r="H66">
        <v>21</v>
      </c>
      <c r="I66" t="s">
        <v>14</v>
      </c>
      <c r="J66" t="str">
        <f>_xlfn.XLOOKUP(C66,'product_masterlist(ifs)'!A:A,'product_masterlist(ifs)'!C:C,"N/A",0)</f>
        <v>Contact Lenses</v>
      </c>
      <c r="K66">
        <f>VLOOKUP(C66,'product_masterlist(ifs)'!A:I,7,FALSE)</f>
        <v>120</v>
      </c>
    </row>
    <row r="67" spans="1:11" x14ac:dyDescent="0.35">
      <c r="A67" t="s">
        <v>140</v>
      </c>
      <c r="B67" t="s">
        <v>141</v>
      </c>
      <c r="C67" t="s">
        <v>53</v>
      </c>
      <c r="D67">
        <v>9</v>
      </c>
      <c r="E67" t="s">
        <v>37</v>
      </c>
      <c r="F67" t="s">
        <v>18</v>
      </c>
      <c r="G67" t="s">
        <v>75</v>
      </c>
      <c r="H67">
        <v>7</v>
      </c>
      <c r="I67" t="s">
        <v>28</v>
      </c>
      <c r="J67" t="str">
        <f>_xlfn.XLOOKUP(C67,'product_masterlist(ifs)'!A:A,'product_masterlist(ifs)'!C:C,"N/A",0)</f>
        <v>Solutions</v>
      </c>
      <c r="K67">
        <f>VLOOKUP(C67,'product_masterlist(ifs)'!A:I,7,FALSE)</f>
        <v>800</v>
      </c>
    </row>
    <row r="68" spans="1:11" x14ac:dyDescent="0.35">
      <c r="A68" t="s">
        <v>142</v>
      </c>
      <c r="B68" s="1">
        <v>45787</v>
      </c>
      <c r="C68" t="s">
        <v>53</v>
      </c>
      <c r="D68">
        <v>10</v>
      </c>
      <c r="E68" t="s">
        <v>22</v>
      </c>
      <c r="F68" t="s">
        <v>23</v>
      </c>
      <c r="G68" t="s">
        <v>95</v>
      </c>
      <c r="H68">
        <v>7</v>
      </c>
      <c r="I68" t="s">
        <v>28</v>
      </c>
      <c r="J68" t="str">
        <f>_xlfn.XLOOKUP(C68,'product_masterlist(ifs)'!A:A,'product_masterlist(ifs)'!C:C,"N/A",0)</f>
        <v>Solutions</v>
      </c>
      <c r="K68">
        <f>VLOOKUP(C68,'product_masterlist(ifs)'!A:I,7,FALSE)</f>
        <v>800</v>
      </c>
    </row>
    <row r="69" spans="1:11" x14ac:dyDescent="0.35">
      <c r="A69" t="s">
        <v>143</v>
      </c>
      <c r="B69" t="s">
        <v>144</v>
      </c>
      <c r="C69" t="s">
        <v>90</v>
      </c>
      <c r="D69">
        <v>18</v>
      </c>
      <c r="E69" t="s">
        <v>37</v>
      </c>
      <c r="F69" t="s">
        <v>31</v>
      </c>
      <c r="G69">
        <v>873</v>
      </c>
      <c r="H69">
        <v>30</v>
      </c>
      <c r="I69" t="s">
        <v>14</v>
      </c>
      <c r="J69" t="str">
        <f>_xlfn.XLOOKUP(C69,'product_masterlist(ifs)'!A:A,'product_masterlist(ifs)'!C:C,"N/A",0)</f>
        <v>Frames</v>
      </c>
      <c r="K69">
        <f>VLOOKUP(C69,'product_masterlist(ifs)'!A:I,7,FALSE)</f>
        <v>180</v>
      </c>
    </row>
    <row r="70" spans="1:11" x14ac:dyDescent="0.35">
      <c r="A70" t="s">
        <v>145</v>
      </c>
      <c r="B70" t="s">
        <v>146</v>
      </c>
      <c r="C70" t="s">
        <v>17</v>
      </c>
      <c r="D70">
        <v>22</v>
      </c>
      <c r="E70" t="s">
        <v>12</v>
      </c>
      <c r="F70" t="s">
        <v>13</v>
      </c>
      <c r="G70">
        <v>990</v>
      </c>
      <c r="H70">
        <v>30</v>
      </c>
      <c r="I70" t="s">
        <v>14</v>
      </c>
      <c r="J70" t="str">
        <f>_xlfn.XLOOKUP(C70,'product_masterlist(ifs)'!A:A,'product_masterlist(ifs)'!C:C,"N/A",0)</f>
        <v>Frames</v>
      </c>
      <c r="K70">
        <f>VLOOKUP(C70,'product_masterlist(ifs)'!A:I,7,FALSE)</f>
        <v>45</v>
      </c>
    </row>
    <row r="71" spans="1:11" x14ac:dyDescent="0.35">
      <c r="A71" t="s">
        <v>147</v>
      </c>
      <c r="B71" s="1">
        <v>45848</v>
      </c>
      <c r="C71" t="s">
        <v>33</v>
      </c>
      <c r="D71">
        <v>20</v>
      </c>
      <c r="E71" t="s">
        <v>20</v>
      </c>
      <c r="F71" t="s">
        <v>31</v>
      </c>
      <c r="G71">
        <v>3000</v>
      </c>
      <c r="H71">
        <v>45</v>
      </c>
      <c r="I71" t="s">
        <v>34</v>
      </c>
      <c r="J71" t="str">
        <f>_xlfn.XLOOKUP(C71,'product_masterlist(ifs)'!A:A,'product_masterlist(ifs)'!C:C,"N/A",0)</f>
        <v>Surgical</v>
      </c>
      <c r="K71">
        <f>VLOOKUP(C71,'product_masterlist(ifs)'!A:I,7,FALSE)</f>
        <v>15</v>
      </c>
    </row>
    <row r="72" spans="1:11" x14ac:dyDescent="0.35">
      <c r="A72" t="s">
        <v>148</v>
      </c>
      <c r="B72" t="s">
        <v>149</v>
      </c>
      <c r="C72" t="s">
        <v>33</v>
      </c>
      <c r="D72">
        <v>25</v>
      </c>
      <c r="E72" t="s">
        <v>37</v>
      </c>
      <c r="F72" t="s">
        <v>31</v>
      </c>
      <c r="G72">
        <v>3750</v>
      </c>
      <c r="H72">
        <v>45</v>
      </c>
      <c r="I72" t="s">
        <v>34</v>
      </c>
      <c r="J72" t="str">
        <f>_xlfn.XLOOKUP(C72,'product_masterlist(ifs)'!A:A,'product_masterlist(ifs)'!C:C,"N/A",0)</f>
        <v>Surgical</v>
      </c>
      <c r="K72">
        <f>VLOOKUP(C72,'product_masterlist(ifs)'!A:I,7,FALSE)</f>
        <v>15</v>
      </c>
    </row>
    <row r="73" spans="1:11" x14ac:dyDescent="0.35">
      <c r="A73" t="s">
        <v>150</v>
      </c>
      <c r="B73" t="s">
        <v>151</v>
      </c>
      <c r="C73" t="s">
        <v>26</v>
      </c>
      <c r="D73">
        <v>17</v>
      </c>
      <c r="E73" t="s">
        <v>12</v>
      </c>
      <c r="F73" t="s">
        <v>18</v>
      </c>
      <c r="G73" t="s">
        <v>152</v>
      </c>
      <c r="H73">
        <v>14</v>
      </c>
      <c r="I73" t="s">
        <v>28</v>
      </c>
      <c r="J73" t="str">
        <f>_xlfn.XLOOKUP(C73,'product_masterlist(ifs)'!A:A,'product_masterlist(ifs)'!C:C,"N/A",0)</f>
        <v>Contact Lenses</v>
      </c>
      <c r="K73">
        <f>VLOOKUP(C73,'product_masterlist(ifs)'!A:I,7,FALSE)</f>
        <v>450</v>
      </c>
    </row>
    <row r="74" spans="1:11" x14ac:dyDescent="0.35">
      <c r="A74" t="s">
        <v>153</v>
      </c>
      <c r="B74" t="s">
        <v>39</v>
      </c>
      <c r="C74" t="s">
        <v>33</v>
      </c>
      <c r="D74">
        <v>12</v>
      </c>
      <c r="E74" t="s">
        <v>22</v>
      </c>
      <c r="F74" t="s">
        <v>13</v>
      </c>
      <c r="G74">
        <v>1800</v>
      </c>
      <c r="H74">
        <v>45</v>
      </c>
      <c r="I74" t="s">
        <v>34</v>
      </c>
      <c r="J74" t="str">
        <f>_xlfn.XLOOKUP(C74,'product_masterlist(ifs)'!A:A,'product_masterlist(ifs)'!C:C,"N/A",0)</f>
        <v>Surgical</v>
      </c>
      <c r="K74">
        <f>VLOOKUP(C74,'product_masterlist(ifs)'!A:I,7,FALSE)</f>
        <v>15</v>
      </c>
    </row>
    <row r="75" spans="1:11" x14ac:dyDescent="0.35">
      <c r="A75" t="s">
        <v>154</v>
      </c>
      <c r="B75" s="1">
        <v>45788</v>
      </c>
      <c r="C75" t="s">
        <v>26</v>
      </c>
      <c r="D75">
        <v>5</v>
      </c>
      <c r="E75" t="s">
        <v>37</v>
      </c>
      <c r="F75" t="s">
        <v>31</v>
      </c>
      <c r="G75" t="s">
        <v>155</v>
      </c>
      <c r="H75">
        <v>14</v>
      </c>
      <c r="I75" t="s">
        <v>28</v>
      </c>
      <c r="J75" t="str">
        <f>_xlfn.XLOOKUP(C75,'product_masterlist(ifs)'!A:A,'product_masterlist(ifs)'!C:C,"N/A",0)</f>
        <v>Contact Lenses</v>
      </c>
      <c r="K75">
        <f>VLOOKUP(C75,'product_masterlist(ifs)'!A:I,7,FALSE)</f>
        <v>450</v>
      </c>
    </row>
    <row r="76" spans="1:11" x14ac:dyDescent="0.35">
      <c r="A76" t="s">
        <v>156</v>
      </c>
      <c r="B76" s="1">
        <v>45967</v>
      </c>
      <c r="C76" t="s">
        <v>17</v>
      </c>
      <c r="D76">
        <v>11</v>
      </c>
      <c r="E76" t="s">
        <v>20</v>
      </c>
      <c r="F76" t="s">
        <v>18</v>
      </c>
      <c r="G76">
        <v>495</v>
      </c>
      <c r="H76">
        <v>30</v>
      </c>
      <c r="I76" t="s">
        <v>14</v>
      </c>
      <c r="J76" t="str">
        <f>_xlfn.XLOOKUP(C76,'product_masterlist(ifs)'!A:A,'product_masterlist(ifs)'!C:C,"N/A",0)</f>
        <v>Frames</v>
      </c>
      <c r="K76">
        <f>VLOOKUP(C76,'product_masterlist(ifs)'!A:I,7,FALSE)</f>
        <v>45</v>
      </c>
    </row>
    <row r="77" spans="1:11" x14ac:dyDescent="0.35">
      <c r="A77" t="s">
        <v>157</v>
      </c>
      <c r="B77" s="1">
        <v>45880</v>
      </c>
      <c r="C77" t="s">
        <v>17</v>
      </c>
      <c r="D77">
        <v>17</v>
      </c>
      <c r="E77" t="s">
        <v>12</v>
      </c>
      <c r="F77" t="s">
        <v>13</v>
      </c>
      <c r="G77">
        <v>765</v>
      </c>
      <c r="H77">
        <v>30</v>
      </c>
      <c r="I77" t="s">
        <v>14</v>
      </c>
      <c r="J77" t="str">
        <f>_xlfn.XLOOKUP(C77,'product_masterlist(ifs)'!A:A,'product_masterlist(ifs)'!C:C,"N/A",0)</f>
        <v>Frames</v>
      </c>
      <c r="K77">
        <f>VLOOKUP(C77,'product_masterlist(ifs)'!A:I,7,FALSE)</f>
        <v>45</v>
      </c>
    </row>
    <row r="78" spans="1:11" x14ac:dyDescent="0.35">
      <c r="A78" t="s">
        <v>158</v>
      </c>
      <c r="B78" t="s">
        <v>159</v>
      </c>
      <c r="C78" t="s">
        <v>33</v>
      </c>
      <c r="D78">
        <v>20</v>
      </c>
      <c r="E78" t="s">
        <v>37</v>
      </c>
      <c r="F78" t="s">
        <v>23</v>
      </c>
      <c r="G78">
        <v>3000</v>
      </c>
      <c r="H78">
        <v>45</v>
      </c>
      <c r="I78" t="s">
        <v>34</v>
      </c>
      <c r="J78" t="str">
        <f>_xlfn.XLOOKUP(C78,'product_masterlist(ifs)'!A:A,'product_masterlist(ifs)'!C:C,"N/A",0)</f>
        <v>Surgical</v>
      </c>
      <c r="K78">
        <f>VLOOKUP(C78,'product_masterlist(ifs)'!A:I,7,FALSE)</f>
        <v>15</v>
      </c>
    </row>
    <row r="79" spans="1:11" x14ac:dyDescent="0.35">
      <c r="A79" t="s">
        <v>160</v>
      </c>
      <c r="B79" t="s">
        <v>161</v>
      </c>
      <c r="C79" t="s">
        <v>26</v>
      </c>
      <c r="D79">
        <v>23</v>
      </c>
      <c r="E79" t="s">
        <v>12</v>
      </c>
      <c r="F79" t="s">
        <v>23</v>
      </c>
      <c r="G79" t="s">
        <v>162</v>
      </c>
      <c r="H79">
        <v>14</v>
      </c>
      <c r="I79" t="s">
        <v>28</v>
      </c>
      <c r="J79" t="str">
        <f>_xlfn.XLOOKUP(C79,'product_masterlist(ifs)'!A:A,'product_masterlist(ifs)'!C:C,"N/A",0)</f>
        <v>Contact Lenses</v>
      </c>
      <c r="K79">
        <f>VLOOKUP(C79,'product_masterlist(ifs)'!A:I,7,FALSE)</f>
        <v>450</v>
      </c>
    </row>
    <row r="80" spans="1:11" x14ac:dyDescent="0.35">
      <c r="A80" t="s">
        <v>163</v>
      </c>
      <c r="B80" s="1">
        <v>45934</v>
      </c>
      <c r="C80" t="s">
        <v>33</v>
      </c>
      <c r="D80">
        <v>2</v>
      </c>
      <c r="E80" t="s">
        <v>20</v>
      </c>
      <c r="F80" t="s">
        <v>23</v>
      </c>
      <c r="G80">
        <v>300</v>
      </c>
      <c r="H80">
        <v>45</v>
      </c>
      <c r="I80" t="s">
        <v>34</v>
      </c>
      <c r="J80" t="str">
        <f>_xlfn.XLOOKUP(C80,'product_masterlist(ifs)'!A:A,'product_masterlist(ifs)'!C:C,"N/A",0)</f>
        <v>Surgical</v>
      </c>
      <c r="K80">
        <f>VLOOKUP(C80,'product_masterlist(ifs)'!A:I,7,FALSE)</f>
        <v>15</v>
      </c>
    </row>
    <row r="81" spans="1:11" x14ac:dyDescent="0.35">
      <c r="A81" t="s">
        <v>164</v>
      </c>
      <c r="B81" t="s">
        <v>165</v>
      </c>
      <c r="C81" t="s">
        <v>17</v>
      </c>
      <c r="D81">
        <v>17</v>
      </c>
      <c r="E81" t="s">
        <v>22</v>
      </c>
      <c r="F81" t="s">
        <v>13</v>
      </c>
      <c r="G81">
        <v>765</v>
      </c>
      <c r="H81">
        <v>30</v>
      </c>
      <c r="I81" t="s">
        <v>14</v>
      </c>
      <c r="J81" t="str">
        <f>_xlfn.XLOOKUP(C81,'product_masterlist(ifs)'!A:A,'product_masterlist(ifs)'!C:C,"N/A",0)</f>
        <v>Frames</v>
      </c>
      <c r="K81">
        <f>VLOOKUP(C81,'product_masterlist(ifs)'!A:I,7,FALSE)</f>
        <v>45</v>
      </c>
    </row>
    <row r="82" spans="1:11" x14ac:dyDescent="0.35">
      <c r="A82" t="s">
        <v>166</v>
      </c>
      <c r="B82" s="1">
        <v>45817</v>
      </c>
      <c r="C82" t="s">
        <v>11</v>
      </c>
      <c r="D82">
        <v>1</v>
      </c>
      <c r="E82" t="s">
        <v>22</v>
      </c>
      <c r="F82" t="s">
        <v>23</v>
      </c>
      <c r="G82">
        <v>85</v>
      </c>
      <c r="H82">
        <v>30</v>
      </c>
      <c r="I82" t="s">
        <v>14</v>
      </c>
      <c r="J82" t="str">
        <f>_xlfn.XLOOKUP(C82,'product_masterlist(ifs)'!A:A,'product_masterlist(ifs)'!C:C,"N/A",0)</f>
        <v>Surgical</v>
      </c>
      <c r="K82">
        <f>VLOOKUP(C82,'product_masterlist(ifs)'!A:I,7,FALSE)</f>
        <v>40</v>
      </c>
    </row>
    <row r="83" spans="1:11" x14ac:dyDescent="0.35">
      <c r="A83" t="s">
        <v>167</v>
      </c>
      <c r="B83" t="s">
        <v>168</v>
      </c>
      <c r="C83" t="s">
        <v>17</v>
      </c>
      <c r="D83">
        <v>10</v>
      </c>
      <c r="E83" t="s">
        <v>37</v>
      </c>
      <c r="F83" t="s">
        <v>18</v>
      </c>
      <c r="G83">
        <v>450</v>
      </c>
      <c r="H83">
        <v>30</v>
      </c>
      <c r="I83" t="s">
        <v>14</v>
      </c>
      <c r="J83" t="str">
        <f>_xlfn.XLOOKUP(C83,'product_masterlist(ifs)'!A:A,'product_masterlist(ifs)'!C:C,"N/A",0)</f>
        <v>Frames</v>
      </c>
      <c r="K83">
        <f>VLOOKUP(C83,'product_masterlist(ifs)'!A:I,7,FALSE)</f>
        <v>45</v>
      </c>
    </row>
    <row r="84" spans="1:11" x14ac:dyDescent="0.35">
      <c r="A84" t="s">
        <v>169</v>
      </c>
      <c r="B84" s="1">
        <v>45876</v>
      </c>
      <c r="C84" t="s">
        <v>26</v>
      </c>
      <c r="D84">
        <v>9</v>
      </c>
      <c r="E84" t="s">
        <v>22</v>
      </c>
      <c r="F84" t="s">
        <v>23</v>
      </c>
      <c r="G84" t="s">
        <v>170</v>
      </c>
      <c r="H84">
        <v>14</v>
      </c>
      <c r="I84" t="s">
        <v>28</v>
      </c>
      <c r="J84" t="str">
        <f>_xlfn.XLOOKUP(C84,'product_masterlist(ifs)'!A:A,'product_masterlist(ifs)'!C:C,"N/A",0)</f>
        <v>Contact Lenses</v>
      </c>
      <c r="K84">
        <f>VLOOKUP(C84,'product_masterlist(ifs)'!A:I,7,FALSE)</f>
        <v>450</v>
      </c>
    </row>
    <row r="85" spans="1:11" x14ac:dyDescent="0.35">
      <c r="A85" t="s">
        <v>171</v>
      </c>
      <c r="B85" s="1">
        <v>45696</v>
      </c>
      <c r="C85" t="s">
        <v>53</v>
      </c>
      <c r="D85">
        <v>20</v>
      </c>
      <c r="E85" t="s">
        <v>37</v>
      </c>
      <c r="F85" t="s">
        <v>13</v>
      </c>
      <c r="G85">
        <v>85</v>
      </c>
      <c r="H85">
        <v>7</v>
      </c>
      <c r="I85" t="s">
        <v>28</v>
      </c>
      <c r="J85" t="str">
        <f>_xlfn.XLOOKUP(C85,'product_masterlist(ifs)'!A:A,'product_masterlist(ifs)'!C:C,"N/A",0)</f>
        <v>Solutions</v>
      </c>
      <c r="K85">
        <f>VLOOKUP(C85,'product_masterlist(ifs)'!A:I,7,FALSE)</f>
        <v>800</v>
      </c>
    </row>
    <row r="86" spans="1:11" x14ac:dyDescent="0.35">
      <c r="A86" t="s">
        <v>172</v>
      </c>
      <c r="B86" t="s">
        <v>173</v>
      </c>
      <c r="C86" t="s">
        <v>90</v>
      </c>
      <c r="D86">
        <v>16</v>
      </c>
      <c r="E86" t="s">
        <v>37</v>
      </c>
      <c r="F86" t="s">
        <v>13</v>
      </c>
      <c r="G86">
        <v>776</v>
      </c>
      <c r="H86">
        <v>30</v>
      </c>
      <c r="I86" t="s">
        <v>14</v>
      </c>
      <c r="J86" t="str">
        <f>_xlfn.XLOOKUP(C86,'product_masterlist(ifs)'!A:A,'product_masterlist(ifs)'!C:C,"N/A",0)</f>
        <v>Frames</v>
      </c>
      <c r="K86">
        <f>VLOOKUP(C86,'product_masterlist(ifs)'!A:I,7,FALSE)</f>
        <v>180</v>
      </c>
    </row>
    <row r="87" spans="1:11" x14ac:dyDescent="0.35">
      <c r="A87" t="s">
        <v>174</v>
      </c>
      <c r="B87" t="s">
        <v>175</v>
      </c>
      <c r="C87" t="s">
        <v>53</v>
      </c>
      <c r="D87">
        <v>22</v>
      </c>
      <c r="E87" t="s">
        <v>22</v>
      </c>
      <c r="F87" t="s">
        <v>13</v>
      </c>
      <c r="G87" t="s">
        <v>176</v>
      </c>
      <c r="H87">
        <v>7</v>
      </c>
      <c r="I87" t="s">
        <v>28</v>
      </c>
      <c r="J87" t="str">
        <f>_xlfn.XLOOKUP(C87,'product_masterlist(ifs)'!A:A,'product_masterlist(ifs)'!C:C,"N/A",0)</f>
        <v>Solutions</v>
      </c>
      <c r="K87">
        <f>VLOOKUP(C87,'product_masterlist(ifs)'!A:I,7,FALSE)</f>
        <v>800</v>
      </c>
    </row>
    <row r="88" spans="1:11" x14ac:dyDescent="0.35">
      <c r="A88" t="s">
        <v>177</v>
      </c>
      <c r="B88" s="1">
        <v>45690</v>
      </c>
      <c r="C88" t="s">
        <v>42</v>
      </c>
      <c r="D88">
        <v>13</v>
      </c>
      <c r="E88" t="s">
        <v>37</v>
      </c>
      <c r="F88" t="s">
        <v>18</v>
      </c>
      <c r="G88">
        <v>325</v>
      </c>
      <c r="H88">
        <v>21</v>
      </c>
      <c r="I88" t="s">
        <v>14</v>
      </c>
      <c r="J88" t="str">
        <f>_xlfn.XLOOKUP(C88,'product_masterlist(ifs)'!A:A,'product_masterlist(ifs)'!C:C,"N/A",0)</f>
        <v>Contact Lenses</v>
      </c>
      <c r="K88">
        <f>VLOOKUP(C88,'product_masterlist(ifs)'!A:I,7,FALSE)</f>
        <v>120</v>
      </c>
    </row>
    <row r="89" spans="1:11" x14ac:dyDescent="0.35">
      <c r="A89" t="s">
        <v>178</v>
      </c>
      <c r="B89" s="1">
        <v>45970</v>
      </c>
      <c r="C89" t="s">
        <v>90</v>
      </c>
      <c r="D89">
        <v>18</v>
      </c>
      <c r="E89" t="s">
        <v>37</v>
      </c>
      <c r="F89" t="s">
        <v>13</v>
      </c>
      <c r="G89">
        <v>873</v>
      </c>
      <c r="H89">
        <v>30</v>
      </c>
      <c r="I89" t="s">
        <v>14</v>
      </c>
      <c r="J89" t="str">
        <f>_xlfn.XLOOKUP(C89,'product_masterlist(ifs)'!A:A,'product_masterlist(ifs)'!C:C,"N/A",0)</f>
        <v>Frames</v>
      </c>
      <c r="K89">
        <f>VLOOKUP(C89,'product_masterlist(ifs)'!A:I,7,FALSE)</f>
        <v>180</v>
      </c>
    </row>
    <row r="90" spans="1:11" x14ac:dyDescent="0.35">
      <c r="A90" t="s">
        <v>179</v>
      </c>
      <c r="B90" t="s">
        <v>180</v>
      </c>
      <c r="C90" t="s">
        <v>90</v>
      </c>
      <c r="D90">
        <v>7</v>
      </c>
      <c r="E90" t="s">
        <v>12</v>
      </c>
      <c r="F90" t="s">
        <v>13</v>
      </c>
      <c r="G90" t="s">
        <v>181</v>
      </c>
      <c r="H90">
        <v>30</v>
      </c>
      <c r="I90" t="s">
        <v>14</v>
      </c>
      <c r="J90" t="str">
        <f>_xlfn.XLOOKUP(C90,'product_masterlist(ifs)'!A:A,'product_masterlist(ifs)'!C:C,"N/A",0)</f>
        <v>Frames</v>
      </c>
      <c r="K90">
        <f>VLOOKUP(C90,'product_masterlist(ifs)'!A:I,7,FALSE)</f>
        <v>180</v>
      </c>
    </row>
    <row r="91" spans="1:11" x14ac:dyDescent="0.35">
      <c r="A91" t="s">
        <v>182</v>
      </c>
      <c r="B91" t="s">
        <v>183</v>
      </c>
      <c r="C91" t="s">
        <v>17</v>
      </c>
      <c r="D91">
        <v>1</v>
      </c>
      <c r="E91" t="s">
        <v>20</v>
      </c>
      <c r="F91" t="s">
        <v>23</v>
      </c>
      <c r="G91">
        <v>45</v>
      </c>
      <c r="H91">
        <v>30</v>
      </c>
      <c r="I91" t="s">
        <v>14</v>
      </c>
      <c r="J91" t="str">
        <f>_xlfn.XLOOKUP(C91,'product_masterlist(ifs)'!A:A,'product_masterlist(ifs)'!C:C,"N/A",0)</f>
        <v>Frames</v>
      </c>
      <c r="K91">
        <f>VLOOKUP(C91,'product_masterlist(ifs)'!A:I,7,FALSE)</f>
        <v>45</v>
      </c>
    </row>
    <row r="92" spans="1:11" x14ac:dyDescent="0.35">
      <c r="A92" t="s">
        <v>184</v>
      </c>
      <c r="B92" t="s">
        <v>108</v>
      </c>
      <c r="C92" t="s">
        <v>53</v>
      </c>
      <c r="D92">
        <v>10</v>
      </c>
      <c r="E92" t="s">
        <v>12</v>
      </c>
      <c r="F92" t="s">
        <v>23</v>
      </c>
      <c r="G92" t="s">
        <v>95</v>
      </c>
      <c r="H92">
        <v>7</v>
      </c>
      <c r="I92" t="s">
        <v>28</v>
      </c>
      <c r="J92" t="str">
        <f>_xlfn.XLOOKUP(C92,'product_masterlist(ifs)'!A:A,'product_masterlist(ifs)'!C:C,"N/A",0)</f>
        <v>Solutions</v>
      </c>
      <c r="K92">
        <f>VLOOKUP(C92,'product_masterlist(ifs)'!A:I,7,FALSE)</f>
        <v>800</v>
      </c>
    </row>
    <row r="93" spans="1:11" x14ac:dyDescent="0.35">
      <c r="A93" t="s">
        <v>185</v>
      </c>
      <c r="B93" t="s">
        <v>186</v>
      </c>
      <c r="C93" t="s">
        <v>42</v>
      </c>
      <c r="D93">
        <v>10</v>
      </c>
      <c r="E93" t="s">
        <v>22</v>
      </c>
      <c r="F93" t="s">
        <v>31</v>
      </c>
      <c r="G93">
        <v>250</v>
      </c>
      <c r="H93">
        <v>21</v>
      </c>
      <c r="I93" t="s">
        <v>14</v>
      </c>
      <c r="J93" t="str">
        <f>_xlfn.XLOOKUP(C93,'product_masterlist(ifs)'!A:A,'product_masterlist(ifs)'!C:C,"N/A",0)</f>
        <v>Contact Lenses</v>
      </c>
      <c r="K93">
        <f>VLOOKUP(C93,'product_masterlist(ifs)'!A:I,7,FALSE)</f>
        <v>120</v>
      </c>
    </row>
    <row r="94" spans="1:11" x14ac:dyDescent="0.35">
      <c r="A94" t="s">
        <v>187</v>
      </c>
      <c r="B94" s="1">
        <v>45697</v>
      </c>
      <c r="C94" t="s">
        <v>53</v>
      </c>
      <c r="D94">
        <v>13</v>
      </c>
      <c r="E94" t="s">
        <v>20</v>
      </c>
      <c r="F94" t="s">
        <v>13</v>
      </c>
      <c r="G94" t="s">
        <v>188</v>
      </c>
      <c r="H94">
        <v>7</v>
      </c>
      <c r="I94" t="s">
        <v>28</v>
      </c>
      <c r="J94" t="str">
        <f>_xlfn.XLOOKUP(C94,'product_masterlist(ifs)'!A:A,'product_masterlist(ifs)'!C:C,"N/A",0)</f>
        <v>Solutions</v>
      </c>
      <c r="K94">
        <f>VLOOKUP(C94,'product_masterlist(ifs)'!A:I,7,FALSE)</f>
        <v>800</v>
      </c>
    </row>
    <row r="95" spans="1:11" x14ac:dyDescent="0.35">
      <c r="A95" t="s">
        <v>189</v>
      </c>
      <c r="B95" s="1">
        <v>45782</v>
      </c>
      <c r="C95" t="s">
        <v>11</v>
      </c>
      <c r="D95">
        <v>2</v>
      </c>
      <c r="E95" t="s">
        <v>22</v>
      </c>
      <c r="F95" t="s">
        <v>18</v>
      </c>
      <c r="G95">
        <v>170</v>
      </c>
      <c r="H95">
        <v>30</v>
      </c>
      <c r="I95" t="s">
        <v>14</v>
      </c>
      <c r="J95" t="str">
        <f>_xlfn.XLOOKUP(C95,'product_masterlist(ifs)'!A:A,'product_masterlist(ifs)'!C:C,"N/A",0)</f>
        <v>Surgical</v>
      </c>
      <c r="K95">
        <f>VLOOKUP(C95,'product_masterlist(ifs)'!A:I,7,FALSE)</f>
        <v>40</v>
      </c>
    </row>
    <row r="96" spans="1:11" x14ac:dyDescent="0.35">
      <c r="A96" t="s">
        <v>190</v>
      </c>
      <c r="B96" s="1">
        <v>45662</v>
      </c>
      <c r="C96" t="s">
        <v>26</v>
      </c>
      <c r="D96">
        <v>4</v>
      </c>
      <c r="E96" t="s">
        <v>37</v>
      </c>
      <c r="F96" t="s">
        <v>18</v>
      </c>
      <c r="G96">
        <v>50</v>
      </c>
      <c r="H96">
        <v>14</v>
      </c>
      <c r="I96" t="s">
        <v>28</v>
      </c>
      <c r="J96" t="str">
        <f>_xlfn.XLOOKUP(C96,'product_masterlist(ifs)'!A:A,'product_masterlist(ifs)'!C:C,"N/A",0)</f>
        <v>Contact Lenses</v>
      </c>
      <c r="K96">
        <f>VLOOKUP(C96,'product_masterlist(ifs)'!A:I,7,FALSE)</f>
        <v>450</v>
      </c>
    </row>
    <row r="97" spans="1:11" x14ac:dyDescent="0.35">
      <c r="A97" t="s">
        <v>191</v>
      </c>
      <c r="B97" t="s">
        <v>192</v>
      </c>
      <c r="C97" t="s">
        <v>33</v>
      </c>
      <c r="D97">
        <v>17</v>
      </c>
      <c r="E97" t="s">
        <v>37</v>
      </c>
      <c r="F97" t="s">
        <v>23</v>
      </c>
      <c r="G97">
        <v>2550</v>
      </c>
      <c r="H97">
        <v>45</v>
      </c>
      <c r="I97" t="s">
        <v>34</v>
      </c>
      <c r="J97" t="str">
        <f>_xlfn.XLOOKUP(C97,'product_masterlist(ifs)'!A:A,'product_masterlist(ifs)'!C:C,"N/A",0)</f>
        <v>Surgical</v>
      </c>
      <c r="K97">
        <f>VLOOKUP(C97,'product_masterlist(ifs)'!A:I,7,FALSE)</f>
        <v>15</v>
      </c>
    </row>
    <row r="98" spans="1:11" x14ac:dyDescent="0.35">
      <c r="A98" t="s">
        <v>193</v>
      </c>
      <c r="B98" t="s">
        <v>194</v>
      </c>
      <c r="C98" t="s">
        <v>53</v>
      </c>
      <c r="D98">
        <v>19</v>
      </c>
      <c r="E98" t="s">
        <v>22</v>
      </c>
      <c r="F98" t="s">
        <v>23</v>
      </c>
      <c r="G98" t="s">
        <v>54</v>
      </c>
      <c r="H98">
        <v>7</v>
      </c>
      <c r="I98" t="s">
        <v>28</v>
      </c>
      <c r="J98" t="str">
        <f>_xlfn.XLOOKUP(C98,'product_masterlist(ifs)'!A:A,'product_masterlist(ifs)'!C:C,"N/A",0)</f>
        <v>Solutions</v>
      </c>
      <c r="K98">
        <f>VLOOKUP(C98,'product_masterlist(ifs)'!A:I,7,FALSE)</f>
        <v>800</v>
      </c>
    </row>
    <row r="99" spans="1:11" x14ac:dyDescent="0.35">
      <c r="A99" t="s">
        <v>195</v>
      </c>
      <c r="B99" t="s">
        <v>196</v>
      </c>
      <c r="C99" t="s">
        <v>53</v>
      </c>
      <c r="D99">
        <v>21</v>
      </c>
      <c r="E99" t="s">
        <v>12</v>
      </c>
      <c r="F99" t="s">
        <v>31</v>
      </c>
      <c r="G99" t="s">
        <v>197</v>
      </c>
      <c r="H99">
        <v>7</v>
      </c>
      <c r="I99" t="s">
        <v>28</v>
      </c>
      <c r="J99" t="str">
        <f>_xlfn.XLOOKUP(C99,'product_masterlist(ifs)'!A:A,'product_masterlist(ifs)'!C:C,"N/A",0)</f>
        <v>Solutions</v>
      </c>
      <c r="K99">
        <f>VLOOKUP(C99,'product_masterlist(ifs)'!A:I,7,FALSE)</f>
        <v>800</v>
      </c>
    </row>
    <row r="100" spans="1:11" x14ac:dyDescent="0.35">
      <c r="A100" t="s">
        <v>198</v>
      </c>
      <c r="B100" t="s">
        <v>199</v>
      </c>
      <c r="C100" t="s">
        <v>42</v>
      </c>
      <c r="D100">
        <v>13</v>
      </c>
      <c r="E100" t="s">
        <v>12</v>
      </c>
      <c r="F100" t="s">
        <v>23</v>
      </c>
      <c r="G100">
        <v>325</v>
      </c>
      <c r="H100">
        <v>21</v>
      </c>
      <c r="I100" t="s">
        <v>14</v>
      </c>
      <c r="J100" t="str">
        <f>_xlfn.XLOOKUP(C100,'product_masterlist(ifs)'!A:A,'product_masterlist(ifs)'!C:C,"N/A",0)</f>
        <v>Contact Lenses</v>
      </c>
      <c r="K100">
        <f>VLOOKUP(C100,'product_masterlist(ifs)'!A:I,7,FALSE)</f>
        <v>120</v>
      </c>
    </row>
    <row r="101" spans="1:11" x14ac:dyDescent="0.35">
      <c r="A101" t="s">
        <v>200</v>
      </c>
      <c r="B101" t="s">
        <v>87</v>
      </c>
      <c r="C101" t="s">
        <v>11</v>
      </c>
      <c r="D101">
        <v>16</v>
      </c>
      <c r="E101" t="s">
        <v>22</v>
      </c>
      <c r="F101" t="s">
        <v>23</v>
      </c>
      <c r="G101">
        <v>1360</v>
      </c>
      <c r="H101">
        <v>30</v>
      </c>
      <c r="I101" t="s">
        <v>14</v>
      </c>
      <c r="J101" t="str">
        <f>_xlfn.XLOOKUP(C101,'product_masterlist(ifs)'!A:A,'product_masterlist(ifs)'!C:C,"N/A",0)</f>
        <v>Surgical</v>
      </c>
      <c r="K101">
        <f>VLOOKUP(C101,'product_masterlist(ifs)'!A:I,7,FALSE)</f>
        <v>40</v>
      </c>
    </row>
    <row r="102" spans="1:11" x14ac:dyDescent="0.35">
      <c r="A102" t="s">
        <v>201</v>
      </c>
      <c r="B102" s="1">
        <v>45876</v>
      </c>
      <c r="C102" t="s">
        <v>42</v>
      </c>
      <c r="D102">
        <v>18</v>
      </c>
      <c r="E102" t="s">
        <v>20</v>
      </c>
      <c r="F102" t="s">
        <v>23</v>
      </c>
      <c r="G102">
        <v>450</v>
      </c>
      <c r="H102">
        <v>21</v>
      </c>
      <c r="I102" t="s">
        <v>14</v>
      </c>
      <c r="J102" t="str">
        <f>_xlfn.XLOOKUP(C102,'product_masterlist(ifs)'!A:A,'product_masterlist(ifs)'!C:C,"N/A",0)</f>
        <v>Contact Lenses</v>
      </c>
      <c r="K102">
        <f>VLOOKUP(C102,'product_masterlist(ifs)'!A:I,7,FALSE)</f>
        <v>120</v>
      </c>
    </row>
    <row r="103" spans="1:11" x14ac:dyDescent="0.35">
      <c r="A103" t="s">
        <v>202</v>
      </c>
      <c r="B103" t="s">
        <v>203</v>
      </c>
      <c r="C103" t="s">
        <v>42</v>
      </c>
      <c r="D103">
        <v>5</v>
      </c>
      <c r="E103" t="s">
        <v>37</v>
      </c>
      <c r="F103" t="s">
        <v>23</v>
      </c>
      <c r="G103">
        <v>125</v>
      </c>
      <c r="H103">
        <v>21</v>
      </c>
      <c r="I103" t="s">
        <v>14</v>
      </c>
      <c r="J103" t="str">
        <f>_xlfn.XLOOKUP(C103,'product_masterlist(ifs)'!A:A,'product_masterlist(ifs)'!C:C,"N/A",0)</f>
        <v>Contact Lenses</v>
      </c>
      <c r="K103">
        <f>VLOOKUP(C103,'product_masterlist(ifs)'!A:I,7,FALSE)</f>
        <v>120</v>
      </c>
    </row>
    <row r="104" spans="1:11" x14ac:dyDescent="0.35">
      <c r="A104" t="s">
        <v>204</v>
      </c>
      <c r="B104" t="s">
        <v>205</v>
      </c>
      <c r="C104" t="s">
        <v>11</v>
      </c>
      <c r="D104">
        <v>25</v>
      </c>
      <c r="E104" t="s">
        <v>20</v>
      </c>
      <c r="F104" t="s">
        <v>18</v>
      </c>
      <c r="G104">
        <v>2125</v>
      </c>
      <c r="H104">
        <v>30</v>
      </c>
      <c r="I104" t="s">
        <v>14</v>
      </c>
      <c r="J104" t="str">
        <f>_xlfn.XLOOKUP(C104,'product_masterlist(ifs)'!A:A,'product_masterlist(ifs)'!C:C,"N/A",0)</f>
        <v>Surgical</v>
      </c>
      <c r="K104">
        <f>VLOOKUP(C104,'product_masterlist(ifs)'!A:I,7,FALSE)</f>
        <v>40</v>
      </c>
    </row>
    <row r="105" spans="1:11" x14ac:dyDescent="0.35">
      <c r="A105" t="s">
        <v>206</v>
      </c>
      <c r="B105" s="1">
        <v>45753</v>
      </c>
      <c r="C105" t="s">
        <v>17</v>
      </c>
      <c r="D105">
        <v>13</v>
      </c>
      <c r="E105" t="s">
        <v>20</v>
      </c>
      <c r="F105" t="s">
        <v>23</v>
      </c>
      <c r="G105">
        <v>585</v>
      </c>
      <c r="H105">
        <v>30</v>
      </c>
      <c r="I105" t="s">
        <v>14</v>
      </c>
      <c r="J105" t="str">
        <f>_xlfn.XLOOKUP(C105,'product_masterlist(ifs)'!A:A,'product_masterlist(ifs)'!C:C,"N/A",0)</f>
        <v>Frames</v>
      </c>
      <c r="K105">
        <f>VLOOKUP(C105,'product_masterlist(ifs)'!A:I,7,FALSE)</f>
        <v>45</v>
      </c>
    </row>
    <row r="106" spans="1:11" x14ac:dyDescent="0.35">
      <c r="A106" t="s">
        <v>207</v>
      </c>
      <c r="B106" t="s">
        <v>208</v>
      </c>
      <c r="C106" t="s">
        <v>26</v>
      </c>
      <c r="D106">
        <v>10</v>
      </c>
      <c r="E106" t="s">
        <v>12</v>
      </c>
      <c r="F106" t="s">
        <v>31</v>
      </c>
      <c r="G106">
        <v>125</v>
      </c>
      <c r="H106">
        <v>14</v>
      </c>
      <c r="I106" t="s">
        <v>28</v>
      </c>
      <c r="J106" t="str">
        <f>_xlfn.XLOOKUP(C106,'product_masterlist(ifs)'!A:A,'product_masterlist(ifs)'!C:C,"N/A",0)</f>
        <v>Contact Lenses</v>
      </c>
      <c r="K106">
        <f>VLOOKUP(C106,'product_masterlist(ifs)'!A:I,7,FALSE)</f>
        <v>450</v>
      </c>
    </row>
    <row r="107" spans="1:11" x14ac:dyDescent="0.35">
      <c r="A107" t="s">
        <v>209</v>
      </c>
      <c r="B107" t="s">
        <v>210</v>
      </c>
      <c r="C107" t="s">
        <v>17</v>
      </c>
      <c r="D107">
        <v>18</v>
      </c>
      <c r="E107" t="s">
        <v>20</v>
      </c>
      <c r="F107" t="s">
        <v>31</v>
      </c>
      <c r="G107">
        <v>810</v>
      </c>
      <c r="H107">
        <v>30</v>
      </c>
      <c r="I107" t="s">
        <v>14</v>
      </c>
      <c r="J107" t="str">
        <f>_xlfn.XLOOKUP(C107,'product_masterlist(ifs)'!A:A,'product_masterlist(ifs)'!C:C,"N/A",0)</f>
        <v>Frames</v>
      </c>
      <c r="K107">
        <f>VLOOKUP(C107,'product_masterlist(ifs)'!A:I,7,FALSE)</f>
        <v>45</v>
      </c>
    </row>
    <row r="108" spans="1:11" x14ac:dyDescent="0.35">
      <c r="A108" t="s">
        <v>211</v>
      </c>
      <c r="B108" t="s">
        <v>212</v>
      </c>
      <c r="C108" t="s">
        <v>42</v>
      </c>
      <c r="D108">
        <v>3</v>
      </c>
      <c r="E108" t="s">
        <v>22</v>
      </c>
      <c r="F108" t="s">
        <v>18</v>
      </c>
      <c r="G108">
        <v>75</v>
      </c>
      <c r="H108">
        <v>21</v>
      </c>
      <c r="I108" t="s">
        <v>14</v>
      </c>
      <c r="J108" t="str">
        <f>_xlfn.XLOOKUP(C108,'product_masterlist(ifs)'!A:A,'product_masterlist(ifs)'!C:C,"N/A",0)</f>
        <v>Contact Lenses</v>
      </c>
      <c r="K108">
        <f>VLOOKUP(C108,'product_masterlist(ifs)'!A:I,7,FALSE)</f>
        <v>120</v>
      </c>
    </row>
    <row r="109" spans="1:11" x14ac:dyDescent="0.35">
      <c r="A109" t="s">
        <v>213</v>
      </c>
      <c r="B109" t="s">
        <v>214</v>
      </c>
      <c r="C109" t="s">
        <v>53</v>
      </c>
      <c r="D109">
        <v>24</v>
      </c>
      <c r="E109" t="s">
        <v>20</v>
      </c>
      <c r="F109" t="s">
        <v>23</v>
      </c>
      <c r="G109">
        <v>102</v>
      </c>
      <c r="H109">
        <v>7</v>
      </c>
      <c r="I109" t="s">
        <v>28</v>
      </c>
      <c r="J109" t="str">
        <f>_xlfn.XLOOKUP(C109,'product_masterlist(ifs)'!A:A,'product_masterlist(ifs)'!C:C,"N/A",0)</f>
        <v>Solutions</v>
      </c>
      <c r="K109">
        <f>VLOOKUP(C109,'product_masterlist(ifs)'!A:I,7,FALSE)</f>
        <v>800</v>
      </c>
    </row>
    <row r="110" spans="1:11" x14ac:dyDescent="0.35">
      <c r="A110" t="s">
        <v>215</v>
      </c>
      <c r="B110" s="1">
        <v>45749</v>
      </c>
      <c r="C110" t="s">
        <v>42</v>
      </c>
      <c r="D110">
        <v>8</v>
      </c>
      <c r="E110" t="s">
        <v>12</v>
      </c>
      <c r="F110" t="s">
        <v>31</v>
      </c>
      <c r="G110">
        <v>200</v>
      </c>
      <c r="H110">
        <v>21</v>
      </c>
      <c r="I110" t="s">
        <v>14</v>
      </c>
      <c r="J110" t="str">
        <f>_xlfn.XLOOKUP(C110,'product_masterlist(ifs)'!A:A,'product_masterlist(ifs)'!C:C,"N/A",0)</f>
        <v>Contact Lenses</v>
      </c>
      <c r="K110">
        <f>VLOOKUP(C110,'product_masterlist(ifs)'!A:I,7,FALSE)</f>
        <v>120</v>
      </c>
    </row>
    <row r="111" spans="1:11" x14ac:dyDescent="0.35">
      <c r="A111" t="s">
        <v>216</v>
      </c>
      <c r="B111" t="s">
        <v>217</v>
      </c>
      <c r="C111" t="s">
        <v>42</v>
      </c>
      <c r="D111">
        <v>4</v>
      </c>
      <c r="E111" t="s">
        <v>12</v>
      </c>
      <c r="F111" t="s">
        <v>23</v>
      </c>
      <c r="G111">
        <v>100</v>
      </c>
      <c r="H111">
        <v>21</v>
      </c>
      <c r="I111" t="s">
        <v>14</v>
      </c>
      <c r="J111" t="str">
        <f>_xlfn.XLOOKUP(C111,'product_masterlist(ifs)'!A:A,'product_masterlist(ifs)'!C:C,"N/A",0)</f>
        <v>Contact Lenses</v>
      </c>
      <c r="K111">
        <f>VLOOKUP(C111,'product_masterlist(ifs)'!A:I,7,FALSE)</f>
        <v>120</v>
      </c>
    </row>
    <row r="112" spans="1:11" x14ac:dyDescent="0.35">
      <c r="A112" t="s">
        <v>218</v>
      </c>
      <c r="B112" t="s">
        <v>103</v>
      </c>
      <c r="C112" t="s">
        <v>11</v>
      </c>
      <c r="D112">
        <v>7</v>
      </c>
      <c r="E112" t="s">
        <v>37</v>
      </c>
      <c r="F112" t="s">
        <v>13</v>
      </c>
      <c r="G112">
        <v>595</v>
      </c>
      <c r="H112">
        <v>30</v>
      </c>
      <c r="I112" t="s">
        <v>14</v>
      </c>
      <c r="J112" t="str">
        <f>_xlfn.XLOOKUP(C112,'product_masterlist(ifs)'!A:A,'product_masterlist(ifs)'!C:C,"N/A",0)</f>
        <v>Surgical</v>
      </c>
      <c r="K112">
        <f>VLOOKUP(C112,'product_masterlist(ifs)'!A:I,7,FALSE)</f>
        <v>40</v>
      </c>
    </row>
    <row r="113" spans="1:11" x14ac:dyDescent="0.35">
      <c r="A113" t="s">
        <v>219</v>
      </c>
      <c r="B113" s="1">
        <v>45910</v>
      </c>
      <c r="C113" t="s">
        <v>26</v>
      </c>
      <c r="D113">
        <v>16</v>
      </c>
      <c r="E113" t="s">
        <v>12</v>
      </c>
      <c r="F113" t="s">
        <v>18</v>
      </c>
      <c r="G113">
        <v>200</v>
      </c>
      <c r="H113">
        <v>14</v>
      </c>
      <c r="I113" t="s">
        <v>28</v>
      </c>
      <c r="J113" t="str">
        <f>_xlfn.XLOOKUP(C113,'product_masterlist(ifs)'!A:A,'product_masterlist(ifs)'!C:C,"N/A",0)</f>
        <v>Contact Lenses</v>
      </c>
      <c r="K113">
        <f>VLOOKUP(C113,'product_masterlist(ifs)'!A:I,7,FALSE)</f>
        <v>450</v>
      </c>
    </row>
    <row r="114" spans="1:11" x14ac:dyDescent="0.35">
      <c r="A114" t="s">
        <v>220</v>
      </c>
      <c r="B114" t="s">
        <v>221</v>
      </c>
      <c r="C114" t="s">
        <v>17</v>
      </c>
      <c r="D114">
        <v>14</v>
      </c>
      <c r="E114" t="s">
        <v>12</v>
      </c>
      <c r="F114" t="s">
        <v>18</v>
      </c>
      <c r="G114">
        <v>630</v>
      </c>
      <c r="H114">
        <v>30</v>
      </c>
      <c r="I114" t="s">
        <v>14</v>
      </c>
      <c r="J114" t="str">
        <f>_xlfn.XLOOKUP(C114,'product_masterlist(ifs)'!A:A,'product_masterlist(ifs)'!C:C,"N/A",0)</f>
        <v>Frames</v>
      </c>
      <c r="K114">
        <f>VLOOKUP(C114,'product_masterlist(ifs)'!A:I,7,FALSE)</f>
        <v>45</v>
      </c>
    </row>
    <row r="115" spans="1:11" x14ac:dyDescent="0.35">
      <c r="A115" t="s">
        <v>222</v>
      </c>
      <c r="B115" t="s">
        <v>39</v>
      </c>
      <c r="C115" t="s">
        <v>17</v>
      </c>
      <c r="D115">
        <v>18</v>
      </c>
      <c r="E115" t="s">
        <v>20</v>
      </c>
      <c r="F115" t="s">
        <v>18</v>
      </c>
      <c r="G115">
        <v>810</v>
      </c>
      <c r="H115">
        <v>30</v>
      </c>
      <c r="I115" t="s">
        <v>14</v>
      </c>
      <c r="J115" t="str">
        <f>_xlfn.XLOOKUP(C115,'product_masterlist(ifs)'!A:A,'product_masterlist(ifs)'!C:C,"N/A",0)</f>
        <v>Frames</v>
      </c>
      <c r="K115">
        <f>VLOOKUP(C115,'product_masterlist(ifs)'!A:I,7,FALSE)</f>
        <v>45</v>
      </c>
    </row>
    <row r="116" spans="1:11" x14ac:dyDescent="0.35">
      <c r="A116" t="s">
        <v>223</v>
      </c>
      <c r="B116" t="s">
        <v>224</v>
      </c>
      <c r="C116" t="s">
        <v>11</v>
      </c>
      <c r="D116">
        <v>21</v>
      </c>
      <c r="E116" t="s">
        <v>12</v>
      </c>
      <c r="F116" t="s">
        <v>13</v>
      </c>
      <c r="G116">
        <v>1785</v>
      </c>
      <c r="H116">
        <v>30</v>
      </c>
      <c r="I116" t="s">
        <v>14</v>
      </c>
      <c r="J116" t="str">
        <f>_xlfn.XLOOKUP(C116,'product_masterlist(ifs)'!A:A,'product_masterlist(ifs)'!C:C,"N/A",0)</f>
        <v>Surgical</v>
      </c>
      <c r="K116">
        <f>VLOOKUP(C116,'product_masterlist(ifs)'!A:I,7,FALSE)</f>
        <v>40</v>
      </c>
    </row>
    <row r="117" spans="1:11" x14ac:dyDescent="0.35">
      <c r="A117" t="s">
        <v>225</v>
      </c>
      <c r="B117" s="1">
        <v>45786</v>
      </c>
      <c r="C117" t="s">
        <v>17</v>
      </c>
      <c r="D117">
        <v>25</v>
      </c>
      <c r="E117" t="s">
        <v>37</v>
      </c>
      <c r="F117" t="s">
        <v>31</v>
      </c>
      <c r="G117">
        <v>1125</v>
      </c>
      <c r="H117">
        <v>30</v>
      </c>
      <c r="I117" t="s">
        <v>14</v>
      </c>
      <c r="J117" t="str">
        <f>_xlfn.XLOOKUP(C117,'product_masterlist(ifs)'!A:A,'product_masterlist(ifs)'!C:C,"N/A",0)</f>
        <v>Frames</v>
      </c>
      <c r="K117">
        <f>VLOOKUP(C117,'product_masterlist(ifs)'!A:I,7,FALSE)</f>
        <v>45</v>
      </c>
    </row>
    <row r="118" spans="1:11" x14ac:dyDescent="0.35">
      <c r="A118" t="s">
        <v>226</v>
      </c>
      <c r="B118" t="s">
        <v>227</v>
      </c>
      <c r="C118" t="s">
        <v>53</v>
      </c>
      <c r="D118">
        <v>14</v>
      </c>
      <c r="E118" t="s">
        <v>20</v>
      </c>
      <c r="F118" t="s">
        <v>23</v>
      </c>
      <c r="G118" t="s">
        <v>228</v>
      </c>
      <c r="H118">
        <v>7</v>
      </c>
      <c r="I118" t="s">
        <v>28</v>
      </c>
      <c r="J118" t="str">
        <f>_xlfn.XLOOKUP(C118,'product_masterlist(ifs)'!A:A,'product_masterlist(ifs)'!C:C,"N/A",0)</f>
        <v>Solutions</v>
      </c>
      <c r="K118">
        <f>VLOOKUP(C118,'product_masterlist(ifs)'!A:I,7,FALSE)</f>
        <v>800</v>
      </c>
    </row>
    <row r="119" spans="1:11" x14ac:dyDescent="0.35">
      <c r="A119" t="s">
        <v>229</v>
      </c>
      <c r="B119" s="1">
        <v>45719</v>
      </c>
      <c r="C119" t="s">
        <v>17</v>
      </c>
      <c r="D119">
        <v>15</v>
      </c>
      <c r="E119" t="s">
        <v>37</v>
      </c>
      <c r="F119" t="s">
        <v>31</v>
      </c>
      <c r="G119">
        <v>675</v>
      </c>
      <c r="H119">
        <v>30</v>
      </c>
      <c r="I119" t="s">
        <v>14</v>
      </c>
      <c r="J119" t="str">
        <f>_xlfn.XLOOKUP(C119,'product_masterlist(ifs)'!A:A,'product_masterlist(ifs)'!C:C,"N/A",0)</f>
        <v>Frames</v>
      </c>
      <c r="K119">
        <f>VLOOKUP(C119,'product_masterlist(ifs)'!A:I,7,FALSE)</f>
        <v>45</v>
      </c>
    </row>
    <row r="120" spans="1:11" x14ac:dyDescent="0.35">
      <c r="A120" t="s">
        <v>230</v>
      </c>
      <c r="B120" t="s">
        <v>231</v>
      </c>
      <c r="C120" t="s">
        <v>90</v>
      </c>
      <c r="D120">
        <v>14</v>
      </c>
      <c r="E120" t="s">
        <v>22</v>
      </c>
      <c r="F120" t="s">
        <v>23</v>
      </c>
      <c r="G120">
        <v>679</v>
      </c>
      <c r="H120">
        <v>30</v>
      </c>
      <c r="I120" t="s">
        <v>14</v>
      </c>
      <c r="J120" t="str">
        <f>_xlfn.XLOOKUP(C120,'product_masterlist(ifs)'!A:A,'product_masterlist(ifs)'!C:C,"N/A",0)</f>
        <v>Frames</v>
      </c>
      <c r="K120">
        <f>VLOOKUP(C120,'product_masterlist(ifs)'!A:I,7,FALSE)</f>
        <v>180</v>
      </c>
    </row>
    <row r="121" spans="1:11" x14ac:dyDescent="0.35">
      <c r="A121" t="s">
        <v>232</v>
      </c>
      <c r="B121" t="s">
        <v>233</v>
      </c>
      <c r="C121" t="s">
        <v>42</v>
      </c>
      <c r="D121">
        <v>6</v>
      </c>
      <c r="E121" t="s">
        <v>22</v>
      </c>
      <c r="F121" t="s">
        <v>18</v>
      </c>
      <c r="G121">
        <v>150</v>
      </c>
      <c r="H121">
        <v>21</v>
      </c>
      <c r="I121" t="s">
        <v>14</v>
      </c>
      <c r="J121" t="str">
        <f>_xlfn.XLOOKUP(C121,'product_masterlist(ifs)'!A:A,'product_masterlist(ifs)'!C:C,"N/A",0)</f>
        <v>Contact Lenses</v>
      </c>
      <c r="K121">
        <f>VLOOKUP(C121,'product_masterlist(ifs)'!A:I,7,FALSE)</f>
        <v>120</v>
      </c>
    </row>
    <row r="122" spans="1:11" x14ac:dyDescent="0.35">
      <c r="A122" t="s">
        <v>234</v>
      </c>
      <c r="B122" t="s">
        <v>235</v>
      </c>
      <c r="C122" t="s">
        <v>42</v>
      </c>
      <c r="D122">
        <v>7</v>
      </c>
      <c r="E122" t="s">
        <v>37</v>
      </c>
      <c r="F122" t="s">
        <v>18</v>
      </c>
      <c r="G122">
        <v>175</v>
      </c>
      <c r="H122">
        <v>21</v>
      </c>
      <c r="I122" t="s">
        <v>14</v>
      </c>
      <c r="J122" t="str">
        <f>_xlfn.XLOOKUP(C122,'product_masterlist(ifs)'!A:A,'product_masterlist(ifs)'!C:C,"N/A",0)</f>
        <v>Contact Lenses</v>
      </c>
      <c r="K122">
        <f>VLOOKUP(C122,'product_masterlist(ifs)'!A:I,7,FALSE)</f>
        <v>120</v>
      </c>
    </row>
    <row r="123" spans="1:11" x14ac:dyDescent="0.35">
      <c r="A123" t="s">
        <v>236</v>
      </c>
      <c r="B123" t="s">
        <v>237</v>
      </c>
      <c r="C123" t="s">
        <v>90</v>
      </c>
      <c r="D123">
        <v>11</v>
      </c>
      <c r="E123" t="s">
        <v>12</v>
      </c>
      <c r="F123" t="s">
        <v>18</v>
      </c>
      <c r="G123" t="s">
        <v>238</v>
      </c>
      <c r="H123">
        <v>30</v>
      </c>
      <c r="I123" t="s">
        <v>14</v>
      </c>
      <c r="J123" t="str">
        <f>_xlfn.XLOOKUP(C123,'product_masterlist(ifs)'!A:A,'product_masterlist(ifs)'!C:C,"N/A",0)</f>
        <v>Frames</v>
      </c>
      <c r="K123">
        <f>VLOOKUP(C123,'product_masterlist(ifs)'!A:I,7,FALSE)</f>
        <v>180</v>
      </c>
    </row>
    <row r="124" spans="1:11" x14ac:dyDescent="0.35">
      <c r="A124" t="s">
        <v>239</v>
      </c>
      <c r="B124" s="1">
        <v>45787</v>
      </c>
      <c r="C124" t="s">
        <v>53</v>
      </c>
      <c r="D124">
        <v>11</v>
      </c>
      <c r="E124" t="s">
        <v>37</v>
      </c>
      <c r="F124" t="s">
        <v>31</v>
      </c>
      <c r="G124" t="s">
        <v>240</v>
      </c>
      <c r="H124">
        <v>7</v>
      </c>
      <c r="I124" t="s">
        <v>28</v>
      </c>
      <c r="J124" t="str">
        <f>_xlfn.XLOOKUP(C124,'product_masterlist(ifs)'!A:A,'product_masterlist(ifs)'!C:C,"N/A",0)</f>
        <v>Solutions</v>
      </c>
      <c r="K124">
        <f>VLOOKUP(C124,'product_masterlist(ifs)'!A:I,7,FALSE)</f>
        <v>800</v>
      </c>
    </row>
    <row r="125" spans="1:11" x14ac:dyDescent="0.35">
      <c r="A125" t="s">
        <v>241</v>
      </c>
      <c r="B125" t="s">
        <v>242</v>
      </c>
      <c r="C125" t="s">
        <v>33</v>
      </c>
      <c r="D125">
        <v>19</v>
      </c>
      <c r="E125" t="s">
        <v>37</v>
      </c>
      <c r="F125" t="s">
        <v>18</v>
      </c>
      <c r="G125">
        <v>2850</v>
      </c>
      <c r="H125">
        <v>45</v>
      </c>
      <c r="I125" t="s">
        <v>34</v>
      </c>
      <c r="J125" t="str">
        <f>_xlfn.XLOOKUP(C125,'product_masterlist(ifs)'!A:A,'product_masterlist(ifs)'!C:C,"N/A",0)</f>
        <v>Surgical</v>
      </c>
      <c r="K125">
        <f>VLOOKUP(C125,'product_masterlist(ifs)'!A:I,7,FALSE)</f>
        <v>15</v>
      </c>
    </row>
    <row r="126" spans="1:11" x14ac:dyDescent="0.35">
      <c r="A126" t="s">
        <v>243</v>
      </c>
      <c r="B126" s="1">
        <v>45728</v>
      </c>
      <c r="C126" t="s">
        <v>17</v>
      </c>
      <c r="D126">
        <v>12</v>
      </c>
      <c r="E126" t="s">
        <v>20</v>
      </c>
      <c r="F126" t="s">
        <v>13</v>
      </c>
      <c r="G126">
        <v>540</v>
      </c>
      <c r="H126">
        <v>30</v>
      </c>
      <c r="I126" t="s">
        <v>14</v>
      </c>
      <c r="J126" t="str">
        <f>_xlfn.XLOOKUP(C126,'product_masterlist(ifs)'!A:A,'product_masterlist(ifs)'!C:C,"N/A",0)</f>
        <v>Frames</v>
      </c>
      <c r="K126">
        <f>VLOOKUP(C126,'product_masterlist(ifs)'!A:I,7,FALSE)</f>
        <v>45</v>
      </c>
    </row>
    <row r="127" spans="1:11" x14ac:dyDescent="0.35">
      <c r="A127" t="s">
        <v>244</v>
      </c>
      <c r="B127" t="s">
        <v>138</v>
      </c>
      <c r="C127" t="s">
        <v>33</v>
      </c>
      <c r="D127">
        <v>7</v>
      </c>
      <c r="E127" t="s">
        <v>37</v>
      </c>
      <c r="F127" t="s">
        <v>23</v>
      </c>
      <c r="G127">
        <v>1050</v>
      </c>
      <c r="H127">
        <v>45</v>
      </c>
      <c r="I127" t="s">
        <v>34</v>
      </c>
      <c r="J127" t="str">
        <f>_xlfn.XLOOKUP(C127,'product_masterlist(ifs)'!A:A,'product_masterlist(ifs)'!C:C,"N/A",0)</f>
        <v>Surgical</v>
      </c>
      <c r="K127">
        <f>VLOOKUP(C127,'product_masterlist(ifs)'!A:I,7,FALSE)</f>
        <v>15</v>
      </c>
    </row>
    <row r="128" spans="1:11" x14ac:dyDescent="0.35">
      <c r="A128" t="s">
        <v>245</v>
      </c>
      <c r="B128" t="s">
        <v>246</v>
      </c>
      <c r="C128" t="s">
        <v>17</v>
      </c>
      <c r="D128">
        <v>21</v>
      </c>
      <c r="E128" t="s">
        <v>22</v>
      </c>
      <c r="F128" t="s">
        <v>13</v>
      </c>
      <c r="G128">
        <v>945</v>
      </c>
      <c r="H128">
        <v>30</v>
      </c>
      <c r="I128" t="s">
        <v>14</v>
      </c>
      <c r="J128" t="str">
        <f>_xlfn.XLOOKUP(C128,'product_masterlist(ifs)'!A:A,'product_masterlist(ifs)'!C:C,"N/A",0)</f>
        <v>Frames</v>
      </c>
      <c r="K128">
        <f>VLOOKUP(C128,'product_masterlist(ifs)'!A:I,7,FALSE)</f>
        <v>45</v>
      </c>
    </row>
    <row r="129" spans="1:11" x14ac:dyDescent="0.35">
      <c r="A129" t="s">
        <v>247</v>
      </c>
      <c r="B129" t="s">
        <v>248</v>
      </c>
      <c r="C129" t="s">
        <v>26</v>
      </c>
      <c r="D129">
        <v>9</v>
      </c>
      <c r="E129" t="s">
        <v>12</v>
      </c>
      <c r="F129" t="s">
        <v>23</v>
      </c>
      <c r="G129" t="s">
        <v>170</v>
      </c>
      <c r="H129">
        <v>14</v>
      </c>
      <c r="I129" t="s">
        <v>28</v>
      </c>
      <c r="J129" t="str">
        <f>_xlfn.XLOOKUP(C129,'product_masterlist(ifs)'!A:A,'product_masterlist(ifs)'!C:C,"N/A",0)</f>
        <v>Contact Lenses</v>
      </c>
      <c r="K129">
        <f>VLOOKUP(C129,'product_masterlist(ifs)'!A:I,7,FALSE)</f>
        <v>450</v>
      </c>
    </row>
    <row r="130" spans="1:11" x14ac:dyDescent="0.35">
      <c r="A130" t="s">
        <v>249</v>
      </c>
      <c r="B130" s="1">
        <v>45933</v>
      </c>
      <c r="C130" t="s">
        <v>90</v>
      </c>
      <c r="D130">
        <v>15</v>
      </c>
      <c r="E130" t="s">
        <v>12</v>
      </c>
      <c r="F130" t="s">
        <v>31</v>
      </c>
      <c r="G130" t="s">
        <v>250</v>
      </c>
      <c r="H130">
        <v>30</v>
      </c>
      <c r="I130" t="s">
        <v>14</v>
      </c>
      <c r="J130" t="str">
        <f>_xlfn.XLOOKUP(C130,'product_masterlist(ifs)'!A:A,'product_masterlist(ifs)'!C:C,"N/A",0)</f>
        <v>Frames</v>
      </c>
      <c r="K130">
        <f>VLOOKUP(C130,'product_masterlist(ifs)'!A:I,7,FALSE)</f>
        <v>180</v>
      </c>
    </row>
    <row r="131" spans="1:11" x14ac:dyDescent="0.35">
      <c r="A131" t="s">
        <v>251</v>
      </c>
      <c r="B131" t="s">
        <v>10</v>
      </c>
      <c r="C131" t="s">
        <v>11</v>
      </c>
      <c r="D131">
        <v>2</v>
      </c>
      <c r="E131" t="s">
        <v>37</v>
      </c>
      <c r="F131" t="s">
        <v>13</v>
      </c>
      <c r="G131">
        <v>170</v>
      </c>
      <c r="H131">
        <v>30</v>
      </c>
      <c r="I131" t="s">
        <v>14</v>
      </c>
      <c r="J131" t="str">
        <f>_xlfn.XLOOKUP(C131,'product_masterlist(ifs)'!A:A,'product_masterlist(ifs)'!C:C,"N/A",0)</f>
        <v>Surgical</v>
      </c>
      <c r="K131">
        <f>VLOOKUP(C131,'product_masterlist(ifs)'!A:I,7,FALSE)</f>
        <v>40</v>
      </c>
    </row>
    <row r="132" spans="1:11" x14ac:dyDescent="0.35">
      <c r="A132" t="s">
        <v>252</v>
      </c>
      <c r="B132" t="s">
        <v>125</v>
      </c>
      <c r="C132" t="s">
        <v>33</v>
      </c>
      <c r="D132">
        <v>20</v>
      </c>
      <c r="E132" t="s">
        <v>37</v>
      </c>
      <c r="F132" t="s">
        <v>23</v>
      </c>
      <c r="G132">
        <v>3000</v>
      </c>
      <c r="H132">
        <v>45</v>
      </c>
      <c r="I132" t="s">
        <v>34</v>
      </c>
      <c r="J132" t="str">
        <f>_xlfn.XLOOKUP(C132,'product_masterlist(ifs)'!A:A,'product_masterlist(ifs)'!C:C,"N/A",0)</f>
        <v>Surgical</v>
      </c>
      <c r="K132">
        <f>VLOOKUP(C132,'product_masterlist(ifs)'!A:I,7,FALSE)</f>
        <v>15</v>
      </c>
    </row>
    <row r="133" spans="1:11" x14ac:dyDescent="0.35">
      <c r="A133" t="s">
        <v>253</v>
      </c>
      <c r="B133" s="1">
        <v>45963</v>
      </c>
      <c r="C133" t="s">
        <v>33</v>
      </c>
      <c r="D133">
        <v>14</v>
      </c>
      <c r="E133" t="s">
        <v>37</v>
      </c>
      <c r="F133" t="s">
        <v>31</v>
      </c>
      <c r="G133">
        <v>2100</v>
      </c>
      <c r="H133">
        <v>45</v>
      </c>
      <c r="I133" t="s">
        <v>34</v>
      </c>
      <c r="J133" t="str">
        <f>_xlfn.XLOOKUP(C133,'product_masterlist(ifs)'!A:A,'product_masterlist(ifs)'!C:C,"N/A",0)</f>
        <v>Surgical</v>
      </c>
      <c r="K133">
        <f>VLOOKUP(C133,'product_masterlist(ifs)'!A:I,7,FALSE)</f>
        <v>15</v>
      </c>
    </row>
    <row r="134" spans="1:11" x14ac:dyDescent="0.35">
      <c r="A134" t="s">
        <v>254</v>
      </c>
      <c r="B134" t="s">
        <v>255</v>
      </c>
      <c r="C134" t="s">
        <v>42</v>
      </c>
      <c r="D134">
        <v>1</v>
      </c>
      <c r="E134" t="s">
        <v>20</v>
      </c>
      <c r="F134" t="s">
        <v>31</v>
      </c>
      <c r="G134">
        <v>25</v>
      </c>
      <c r="H134">
        <v>21</v>
      </c>
      <c r="I134" t="s">
        <v>14</v>
      </c>
      <c r="J134" t="str">
        <f>_xlfn.XLOOKUP(C134,'product_masterlist(ifs)'!A:A,'product_masterlist(ifs)'!C:C,"N/A",0)</f>
        <v>Contact Lenses</v>
      </c>
      <c r="K134">
        <f>VLOOKUP(C134,'product_masterlist(ifs)'!A:I,7,FALSE)</f>
        <v>120</v>
      </c>
    </row>
    <row r="135" spans="1:11" x14ac:dyDescent="0.35">
      <c r="A135" t="s">
        <v>256</v>
      </c>
      <c r="B135" t="s">
        <v>36</v>
      </c>
      <c r="C135" t="s">
        <v>26</v>
      </c>
      <c r="D135">
        <v>3</v>
      </c>
      <c r="E135" t="s">
        <v>37</v>
      </c>
      <c r="F135" t="s">
        <v>18</v>
      </c>
      <c r="G135" t="s">
        <v>40</v>
      </c>
      <c r="H135">
        <v>14</v>
      </c>
      <c r="I135" t="s">
        <v>28</v>
      </c>
      <c r="J135" t="str">
        <f>_xlfn.XLOOKUP(C135,'product_masterlist(ifs)'!A:A,'product_masterlist(ifs)'!C:C,"N/A",0)</f>
        <v>Contact Lenses</v>
      </c>
      <c r="K135">
        <f>VLOOKUP(C135,'product_masterlist(ifs)'!A:I,7,FALSE)</f>
        <v>450</v>
      </c>
    </row>
    <row r="136" spans="1:11" x14ac:dyDescent="0.35">
      <c r="A136" t="s">
        <v>257</v>
      </c>
      <c r="B136" t="s">
        <v>258</v>
      </c>
      <c r="C136" t="s">
        <v>33</v>
      </c>
      <c r="D136">
        <v>13</v>
      </c>
      <c r="E136" t="s">
        <v>22</v>
      </c>
      <c r="F136" t="s">
        <v>13</v>
      </c>
      <c r="G136">
        <v>1950</v>
      </c>
      <c r="H136">
        <v>45</v>
      </c>
      <c r="I136" t="s">
        <v>34</v>
      </c>
      <c r="J136" t="str">
        <f>_xlfn.XLOOKUP(C136,'product_masterlist(ifs)'!A:A,'product_masterlist(ifs)'!C:C,"N/A",0)</f>
        <v>Surgical</v>
      </c>
      <c r="K136">
        <f>VLOOKUP(C136,'product_masterlist(ifs)'!A:I,7,FALSE)</f>
        <v>15</v>
      </c>
    </row>
    <row r="137" spans="1:11" x14ac:dyDescent="0.35">
      <c r="A137" t="s">
        <v>259</v>
      </c>
      <c r="B137" t="s">
        <v>260</v>
      </c>
      <c r="C137" t="s">
        <v>17</v>
      </c>
      <c r="D137">
        <v>22</v>
      </c>
      <c r="E137" t="s">
        <v>12</v>
      </c>
      <c r="F137" t="s">
        <v>31</v>
      </c>
      <c r="G137">
        <v>990</v>
      </c>
      <c r="H137">
        <v>30</v>
      </c>
      <c r="I137" t="s">
        <v>14</v>
      </c>
      <c r="J137" t="str">
        <f>_xlfn.XLOOKUP(C137,'product_masterlist(ifs)'!A:A,'product_masterlist(ifs)'!C:C,"N/A",0)</f>
        <v>Frames</v>
      </c>
      <c r="K137">
        <f>VLOOKUP(C137,'product_masterlist(ifs)'!A:I,7,FALSE)</f>
        <v>45</v>
      </c>
    </row>
    <row r="138" spans="1:11" x14ac:dyDescent="0.35">
      <c r="A138" t="s">
        <v>261</v>
      </c>
      <c r="B138" s="1">
        <v>45658</v>
      </c>
      <c r="C138" t="s">
        <v>90</v>
      </c>
      <c r="D138">
        <v>13</v>
      </c>
      <c r="E138" t="s">
        <v>20</v>
      </c>
      <c r="F138" t="s">
        <v>13</v>
      </c>
      <c r="G138" t="s">
        <v>262</v>
      </c>
      <c r="H138">
        <v>30</v>
      </c>
      <c r="I138" t="s">
        <v>14</v>
      </c>
      <c r="J138" t="str">
        <f>_xlfn.XLOOKUP(C138,'product_masterlist(ifs)'!A:A,'product_masterlist(ifs)'!C:C,"N/A",0)</f>
        <v>Frames</v>
      </c>
      <c r="K138">
        <f>VLOOKUP(C138,'product_masterlist(ifs)'!A:I,7,FALSE)</f>
        <v>180</v>
      </c>
    </row>
    <row r="139" spans="1:11" x14ac:dyDescent="0.35">
      <c r="A139" t="s">
        <v>263</v>
      </c>
      <c r="B139" s="1">
        <v>45996</v>
      </c>
      <c r="C139" t="s">
        <v>42</v>
      </c>
      <c r="D139">
        <v>4</v>
      </c>
      <c r="E139" t="s">
        <v>37</v>
      </c>
      <c r="F139" t="s">
        <v>23</v>
      </c>
      <c r="G139">
        <v>100</v>
      </c>
      <c r="H139">
        <v>21</v>
      </c>
      <c r="I139" t="s">
        <v>14</v>
      </c>
      <c r="J139" t="str">
        <f>_xlfn.XLOOKUP(C139,'product_masterlist(ifs)'!A:A,'product_masterlist(ifs)'!C:C,"N/A",0)</f>
        <v>Contact Lenses</v>
      </c>
      <c r="K139">
        <f>VLOOKUP(C139,'product_masterlist(ifs)'!A:I,7,FALSE)</f>
        <v>120</v>
      </c>
    </row>
    <row r="140" spans="1:11" x14ac:dyDescent="0.35">
      <c r="A140" t="s">
        <v>264</v>
      </c>
      <c r="B140" s="1">
        <v>45782</v>
      </c>
      <c r="C140" t="s">
        <v>17</v>
      </c>
      <c r="D140">
        <v>16</v>
      </c>
      <c r="E140" t="s">
        <v>12</v>
      </c>
      <c r="F140" t="s">
        <v>31</v>
      </c>
      <c r="G140">
        <v>720</v>
      </c>
      <c r="H140">
        <v>30</v>
      </c>
      <c r="I140" t="s">
        <v>14</v>
      </c>
      <c r="J140" t="str">
        <f>_xlfn.XLOOKUP(C140,'product_masterlist(ifs)'!A:A,'product_masterlist(ifs)'!C:C,"N/A",0)</f>
        <v>Frames</v>
      </c>
      <c r="K140">
        <f>VLOOKUP(C140,'product_masterlist(ifs)'!A:I,7,FALSE)</f>
        <v>45</v>
      </c>
    </row>
    <row r="141" spans="1:11" x14ac:dyDescent="0.35">
      <c r="A141" t="s">
        <v>265</v>
      </c>
      <c r="B141" s="1">
        <v>45784</v>
      </c>
      <c r="C141" t="s">
        <v>11</v>
      </c>
      <c r="D141">
        <v>2</v>
      </c>
      <c r="E141" t="s">
        <v>12</v>
      </c>
      <c r="F141" t="s">
        <v>31</v>
      </c>
      <c r="G141">
        <v>170</v>
      </c>
      <c r="H141">
        <v>30</v>
      </c>
      <c r="I141" t="s">
        <v>14</v>
      </c>
      <c r="J141" t="str">
        <f>_xlfn.XLOOKUP(C141,'product_masterlist(ifs)'!A:A,'product_masterlist(ifs)'!C:C,"N/A",0)</f>
        <v>Surgical</v>
      </c>
      <c r="K141">
        <f>VLOOKUP(C141,'product_masterlist(ifs)'!A:I,7,FALSE)</f>
        <v>40</v>
      </c>
    </row>
    <row r="142" spans="1:11" x14ac:dyDescent="0.35">
      <c r="A142" t="s">
        <v>266</v>
      </c>
      <c r="B142" s="1">
        <v>45754</v>
      </c>
      <c r="C142" t="s">
        <v>17</v>
      </c>
      <c r="D142">
        <v>21</v>
      </c>
      <c r="E142" t="s">
        <v>22</v>
      </c>
      <c r="F142" t="s">
        <v>23</v>
      </c>
      <c r="G142">
        <v>945</v>
      </c>
      <c r="H142">
        <v>30</v>
      </c>
      <c r="I142" t="s">
        <v>14</v>
      </c>
      <c r="J142" t="str">
        <f>_xlfn.XLOOKUP(C142,'product_masterlist(ifs)'!A:A,'product_masterlist(ifs)'!C:C,"N/A",0)</f>
        <v>Frames</v>
      </c>
      <c r="K142">
        <f>VLOOKUP(C142,'product_masterlist(ifs)'!A:I,7,FALSE)</f>
        <v>45</v>
      </c>
    </row>
    <row r="143" spans="1:11" x14ac:dyDescent="0.35">
      <c r="A143" t="s">
        <v>267</v>
      </c>
      <c r="B143" t="s">
        <v>217</v>
      </c>
      <c r="C143" t="s">
        <v>26</v>
      </c>
      <c r="D143">
        <v>2</v>
      </c>
      <c r="E143" t="s">
        <v>37</v>
      </c>
      <c r="F143" t="s">
        <v>13</v>
      </c>
      <c r="G143">
        <v>25</v>
      </c>
      <c r="H143">
        <v>14</v>
      </c>
      <c r="I143" t="s">
        <v>28</v>
      </c>
      <c r="J143" t="str">
        <f>_xlfn.XLOOKUP(C143,'product_masterlist(ifs)'!A:A,'product_masterlist(ifs)'!C:C,"N/A",0)</f>
        <v>Contact Lenses</v>
      </c>
      <c r="K143">
        <f>VLOOKUP(C143,'product_masterlist(ifs)'!A:I,7,FALSE)</f>
        <v>450</v>
      </c>
    </row>
    <row r="144" spans="1:11" x14ac:dyDescent="0.35">
      <c r="A144" t="s">
        <v>268</v>
      </c>
      <c r="B144" s="1">
        <v>45818</v>
      </c>
      <c r="C144" t="s">
        <v>42</v>
      </c>
      <c r="D144">
        <v>16</v>
      </c>
      <c r="E144" t="s">
        <v>22</v>
      </c>
      <c r="F144" t="s">
        <v>23</v>
      </c>
      <c r="G144">
        <v>400</v>
      </c>
      <c r="H144">
        <v>21</v>
      </c>
      <c r="I144" t="s">
        <v>14</v>
      </c>
      <c r="J144" t="str">
        <f>_xlfn.XLOOKUP(C144,'product_masterlist(ifs)'!A:A,'product_masterlist(ifs)'!C:C,"N/A",0)</f>
        <v>Contact Lenses</v>
      </c>
      <c r="K144">
        <f>VLOOKUP(C144,'product_masterlist(ifs)'!A:I,7,FALSE)</f>
        <v>120</v>
      </c>
    </row>
    <row r="145" spans="1:11" x14ac:dyDescent="0.35">
      <c r="A145" t="s">
        <v>269</v>
      </c>
      <c r="B145" t="s">
        <v>246</v>
      </c>
      <c r="C145" t="s">
        <v>33</v>
      </c>
      <c r="D145">
        <v>3</v>
      </c>
      <c r="E145" t="s">
        <v>22</v>
      </c>
      <c r="F145" t="s">
        <v>23</v>
      </c>
      <c r="G145">
        <v>450</v>
      </c>
      <c r="H145">
        <v>45</v>
      </c>
      <c r="I145" t="s">
        <v>34</v>
      </c>
      <c r="J145" t="str">
        <f>_xlfn.XLOOKUP(C145,'product_masterlist(ifs)'!A:A,'product_masterlist(ifs)'!C:C,"N/A",0)</f>
        <v>Surgical</v>
      </c>
      <c r="K145">
        <f>VLOOKUP(C145,'product_masterlist(ifs)'!A:I,7,FALSE)</f>
        <v>15</v>
      </c>
    </row>
    <row r="146" spans="1:11" x14ac:dyDescent="0.35">
      <c r="A146" t="s">
        <v>270</v>
      </c>
      <c r="B146" t="s">
        <v>271</v>
      </c>
      <c r="C146" t="s">
        <v>42</v>
      </c>
      <c r="D146">
        <v>2</v>
      </c>
      <c r="E146" t="s">
        <v>12</v>
      </c>
      <c r="F146" t="s">
        <v>31</v>
      </c>
      <c r="G146">
        <v>50</v>
      </c>
      <c r="H146">
        <v>21</v>
      </c>
      <c r="I146" t="s">
        <v>14</v>
      </c>
      <c r="J146" t="str">
        <f>_xlfn.XLOOKUP(C146,'product_masterlist(ifs)'!A:A,'product_masterlist(ifs)'!C:C,"N/A",0)</f>
        <v>Contact Lenses</v>
      </c>
      <c r="K146">
        <f>VLOOKUP(C146,'product_masterlist(ifs)'!A:I,7,FALSE)</f>
        <v>120</v>
      </c>
    </row>
    <row r="147" spans="1:11" x14ac:dyDescent="0.35">
      <c r="A147" t="s">
        <v>272</v>
      </c>
      <c r="B147" s="1">
        <v>45907</v>
      </c>
      <c r="C147" t="s">
        <v>17</v>
      </c>
      <c r="D147">
        <v>13</v>
      </c>
      <c r="E147" t="s">
        <v>22</v>
      </c>
      <c r="F147" t="s">
        <v>31</v>
      </c>
      <c r="G147">
        <v>585</v>
      </c>
      <c r="H147">
        <v>30</v>
      </c>
      <c r="I147" t="s">
        <v>14</v>
      </c>
      <c r="J147" t="str">
        <f>_xlfn.XLOOKUP(C147,'product_masterlist(ifs)'!A:A,'product_masterlist(ifs)'!C:C,"N/A",0)</f>
        <v>Frames</v>
      </c>
      <c r="K147">
        <f>VLOOKUP(C147,'product_masterlist(ifs)'!A:I,7,FALSE)</f>
        <v>45</v>
      </c>
    </row>
    <row r="148" spans="1:11" x14ac:dyDescent="0.35">
      <c r="A148" t="s">
        <v>273</v>
      </c>
      <c r="B148" s="1">
        <v>45879</v>
      </c>
      <c r="C148" t="s">
        <v>33</v>
      </c>
      <c r="D148">
        <v>25</v>
      </c>
      <c r="E148" t="s">
        <v>37</v>
      </c>
      <c r="F148" t="s">
        <v>23</v>
      </c>
      <c r="G148">
        <v>3750</v>
      </c>
      <c r="H148">
        <v>45</v>
      </c>
      <c r="I148" t="s">
        <v>34</v>
      </c>
      <c r="J148" t="str">
        <f>_xlfn.XLOOKUP(C148,'product_masterlist(ifs)'!A:A,'product_masterlist(ifs)'!C:C,"N/A",0)</f>
        <v>Surgical</v>
      </c>
      <c r="K148">
        <f>VLOOKUP(C148,'product_masterlist(ifs)'!A:I,7,FALSE)</f>
        <v>15</v>
      </c>
    </row>
    <row r="149" spans="1:11" x14ac:dyDescent="0.35">
      <c r="A149" t="s">
        <v>274</v>
      </c>
      <c r="B149" s="1">
        <v>45998</v>
      </c>
      <c r="C149" t="s">
        <v>33</v>
      </c>
      <c r="D149">
        <v>24</v>
      </c>
      <c r="E149" t="s">
        <v>37</v>
      </c>
      <c r="F149" t="s">
        <v>18</v>
      </c>
      <c r="G149">
        <v>3600</v>
      </c>
      <c r="H149">
        <v>45</v>
      </c>
      <c r="I149" t="s">
        <v>34</v>
      </c>
      <c r="J149" t="str">
        <f>_xlfn.XLOOKUP(C149,'product_masterlist(ifs)'!A:A,'product_masterlist(ifs)'!C:C,"N/A",0)</f>
        <v>Surgical</v>
      </c>
      <c r="K149">
        <f>VLOOKUP(C149,'product_masterlist(ifs)'!A:I,7,FALSE)</f>
        <v>15</v>
      </c>
    </row>
    <row r="150" spans="1:11" x14ac:dyDescent="0.35">
      <c r="A150" t="s">
        <v>275</v>
      </c>
      <c r="B150" s="1">
        <v>45967</v>
      </c>
      <c r="C150" t="s">
        <v>90</v>
      </c>
      <c r="D150">
        <v>18</v>
      </c>
      <c r="E150" t="s">
        <v>12</v>
      </c>
      <c r="F150" t="s">
        <v>23</v>
      </c>
      <c r="G150">
        <v>873</v>
      </c>
      <c r="H150">
        <v>30</v>
      </c>
      <c r="I150" t="s">
        <v>14</v>
      </c>
      <c r="J150" t="str">
        <f>_xlfn.XLOOKUP(C150,'product_masterlist(ifs)'!A:A,'product_masterlist(ifs)'!C:C,"N/A",0)</f>
        <v>Frames</v>
      </c>
      <c r="K150">
        <f>VLOOKUP(C150,'product_masterlist(ifs)'!A:I,7,FALSE)</f>
        <v>180</v>
      </c>
    </row>
    <row r="151" spans="1:11" x14ac:dyDescent="0.35">
      <c r="A151" t="s">
        <v>276</v>
      </c>
      <c r="B151" t="s">
        <v>277</v>
      </c>
      <c r="C151" t="s">
        <v>53</v>
      </c>
      <c r="D151">
        <v>3</v>
      </c>
      <c r="E151" t="s">
        <v>22</v>
      </c>
      <c r="F151" t="s">
        <v>31</v>
      </c>
      <c r="G151" t="s">
        <v>278</v>
      </c>
      <c r="H151">
        <v>7</v>
      </c>
      <c r="I151" t="s">
        <v>28</v>
      </c>
      <c r="J151" t="str">
        <f>_xlfn.XLOOKUP(C151,'product_masterlist(ifs)'!A:A,'product_masterlist(ifs)'!C:C,"N/A",0)</f>
        <v>Solutions</v>
      </c>
      <c r="K151">
        <f>VLOOKUP(C151,'product_masterlist(ifs)'!A:I,7,FALSE)</f>
        <v>800</v>
      </c>
    </row>
    <row r="152" spans="1:11" x14ac:dyDescent="0.35">
      <c r="A152" t="s">
        <v>279</v>
      </c>
      <c r="B152" t="s">
        <v>208</v>
      </c>
      <c r="C152" t="s">
        <v>33</v>
      </c>
      <c r="D152">
        <v>4</v>
      </c>
      <c r="E152" t="s">
        <v>12</v>
      </c>
      <c r="F152" t="s">
        <v>23</v>
      </c>
      <c r="G152">
        <v>600</v>
      </c>
      <c r="H152">
        <v>45</v>
      </c>
      <c r="I152" t="s">
        <v>34</v>
      </c>
      <c r="J152" t="str">
        <f>_xlfn.XLOOKUP(C152,'product_masterlist(ifs)'!A:A,'product_masterlist(ifs)'!C:C,"N/A",0)</f>
        <v>Surgical</v>
      </c>
      <c r="K152">
        <f>VLOOKUP(C152,'product_masterlist(ifs)'!A:I,7,FALSE)</f>
        <v>15</v>
      </c>
    </row>
    <row r="153" spans="1:11" x14ac:dyDescent="0.35">
      <c r="A153" t="s">
        <v>280</v>
      </c>
      <c r="B153" t="s">
        <v>281</v>
      </c>
      <c r="C153" t="s">
        <v>53</v>
      </c>
      <c r="D153">
        <v>12</v>
      </c>
      <c r="E153" t="s">
        <v>20</v>
      </c>
      <c r="F153" t="s">
        <v>31</v>
      </c>
      <c r="G153">
        <v>51</v>
      </c>
      <c r="H153">
        <v>7</v>
      </c>
      <c r="I153" t="s">
        <v>28</v>
      </c>
      <c r="J153" t="str">
        <f>_xlfn.XLOOKUP(C153,'product_masterlist(ifs)'!A:A,'product_masterlist(ifs)'!C:C,"N/A",0)</f>
        <v>Solutions</v>
      </c>
      <c r="K153">
        <f>VLOOKUP(C153,'product_masterlist(ifs)'!A:I,7,FALSE)</f>
        <v>800</v>
      </c>
    </row>
    <row r="154" spans="1:11" x14ac:dyDescent="0.35">
      <c r="A154" t="s">
        <v>282</v>
      </c>
      <c r="B154" t="s">
        <v>212</v>
      </c>
      <c r="C154" t="s">
        <v>26</v>
      </c>
      <c r="D154">
        <v>16</v>
      </c>
      <c r="E154" t="s">
        <v>37</v>
      </c>
      <c r="F154" t="s">
        <v>23</v>
      </c>
      <c r="G154">
        <v>200</v>
      </c>
      <c r="H154">
        <v>14</v>
      </c>
      <c r="I154" t="s">
        <v>28</v>
      </c>
      <c r="J154" t="str">
        <f>_xlfn.XLOOKUP(C154,'product_masterlist(ifs)'!A:A,'product_masterlist(ifs)'!C:C,"N/A",0)</f>
        <v>Contact Lenses</v>
      </c>
      <c r="K154">
        <f>VLOOKUP(C154,'product_masterlist(ifs)'!A:I,7,FALSE)</f>
        <v>450</v>
      </c>
    </row>
    <row r="155" spans="1:11" x14ac:dyDescent="0.35">
      <c r="A155" t="s">
        <v>283</v>
      </c>
      <c r="B155" t="s">
        <v>210</v>
      </c>
      <c r="C155" t="s">
        <v>53</v>
      </c>
      <c r="D155">
        <v>4</v>
      </c>
      <c r="E155" t="s">
        <v>12</v>
      </c>
      <c r="F155" t="s">
        <v>13</v>
      </c>
      <c r="G155">
        <v>17</v>
      </c>
      <c r="H155">
        <v>7</v>
      </c>
      <c r="I155" t="s">
        <v>28</v>
      </c>
      <c r="J155" t="str">
        <f>_xlfn.XLOOKUP(C155,'product_masterlist(ifs)'!A:A,'product_masterlist(ifs)'!C:C,"N/A",0)</f>
        <v>Solutions</v>
      </c>
      <c r="K155">
        <f>VLOOKUP(C155,'product_masterlist(ifs)'!A:I,7,FALSE)</f>
        <v>800</v>
      </c>
    </row>
    <row r="156" spans="1:11" x14ac:dyDescent="0.35">
      <c r="A156" t="s">
        <v>284</v>
      </c>
      <c r="B156" s="1">
        <v>45967</v>
      </c>
      <c r="C156" t="s">
        <v>26</v>
      </c>
      <c r="D156">
        <v>25</v>
      </c>
      <c r="E156" t="s">
        <v>20</v>
      </c>
      <c r="F156" t="s">
        <v>23</v>
      </c>
      <c r="G156" t="s">
        <v>285</v>
      </c>
      <c r="H156">
        <v>14</v>
      </c>
      <c r="I156" t="s">
        <v>28</v>
      </c>
      <c r="J156" t="str">
        <f>_xlfn.XLOOKUP(C156,'product_masterlist(ifs)'!A:A,'product_masterlist(ifs)'!C:C,"N/A",0)</f>
        <v>Contact Lenses</v>
      </c>
      <c r="K156">
        <f>VLOOKUP(C156,'product_masterlist(ifs)'!A:I,7,FALSE)</f>
        <v>450</v>
      </c>
    </row>
    <row r="157" spans="1:11" x14ac:dyDescent="0.35">
      <c r="A157" t="s">
        <v>286</v>
      </c>
      <c r="B157" s="1">
        <v>45973</v>
      </c>
      <c r="C157" t="s">
        <v>11</v>
      </c>
      <c r="D157">
        <v>19</v>
      </c>
      <c r="E157" t="s">
        <v>37</v>
      </c>
      <c r="F157" t="s">
        <v>31</v>
      </c>
      <c r="G157">
        <v>1615</v>
      </c>
      <c r="H157">
        <v>30</v>
      </c>
      <c r="I157" t="s">
        <v>14</v>
      </c>
      <c r="J157" t="str">
        <f>_xlfn.XLOOKUP(C157,'product_masterlist(ifs)'!A:A,'product_masterlist(ifs)'!C:C,"N/A",0)</f>
        <v>Surgical</v>
      </c>
      <c r="K157">
        <f>VLOOKUP(C157,'product_masterlist(ifs)'!A:I,7,FALSE)</f>
        <v>40</v>
      </c>
    </row>
    <row r="158" spans="1:11" x14ac:dyDescent="0.35">
      <c r="A158" t="s">
        <v>287</v>
      </c>
      <c r="B158" s="1">
        <v>45901</v>
      </c>
      <c r="C158" t="s">
        <v>11</v>
      </c>
      <c r="D158">
        <v>22</v>
      </c>
      <c r="E158" t="s">
        <v>20</v>
      </c>
      <c r="F158" t="s">
        <v>23</v>
      </c>
      <c r="G158">
        <v>1870</v>
      </c>
      <c r="H158">
        <v>30</v>
      </c>
      <c r="I158" t="s">
        <v>14</v>
      </c>
      <c r="J158" t="str">
        <f>_xlfn.XLOOKUP(C158,'product_masterlist(ifs)'!A:A,'product_masterlist(ifs)'!C:C,"N/A",0)</f>
        <v>Surgical</v>
      </c>
      <c r="K158">
        <f>VLOOKUP(C158,'product_masterlist(ifs)'!A:I,7,FALSE)</f>
        <v>40</v>
      </c>
    </row>
    <row r="159" spans="1:11" x14ac:dyDescent="0.35">
      <c r="A159" t="s">
        <v>288</v>
      </c>
      <c r="B159" t="s">
        <v>289</v>
      </c>
      <c r="C159" t="s">
        <v>90</v>
      </c>
      <c r="D159">
        <v>9</v>
      </c>
      <c r="E159" t="s">
        <v>20</v>
      </c>
      <c r="F159" t="s">
        <v>18</v>
      </c>
      <c r="G159" t="s">
        <v>91</v>
      </c>
      <c r="H159">
        <v>30</v>
      </c>
      <c r="I159" t="s">
        <v>14</v>
      </c>
      <c r="J159" t="str">
        <f>_xlfn.XLOOKUP(C159,'product_masterlist(ifs)'!A:A,'product_masterlist(ifs)'!C:C,"N/A",0)</f>
        <v>Frames</v>
      </c>
      <c r="K159">
        <f>VLOOKUP(C159,'product_masterlist(ifs)'!A:I,7,FALSE)</f>
        <v>180</v>
      </c>
    </row>
    <row r="160" spans="1:11" x14ac:dyDescent="0.35">
      <c r="A160" t="s">
        <v>290</v>
      </c>
      <c r="B160" t="s">
        <v>183</v>
      </c>
      <c r="C160" t="s">
        <v>53</v>
      </c>
      <c r="D160">
        <v>2</v>
      </c>
      <c r="E160" t="s">
        <v>20</v>
      </c>
      <c r="F160" t="s">
        <v>18</v>
      </c>
      <c r="G160" t="s">
        <v>291</v>
      </c>
      <c r="H160">
        <v>7</v>
      </c>
      <c r="I160" t="s">
        <v>28</v>
      </c>
      <c r="J160" t="str">
        <f>_xlfn.XLOOKUP(C160,'product_masterlist(ifs)'!A:A,'product_masterlist(ifs)'!C:C,"N/A",0)</f>
        <v>Solutions</v>
      </c>
      <c r="K160">
        <f>VLOOKUP(C160,'product_masterlist(ifs)'!A:I,7,FALSE)</f>
        <v>800</v>
      </c>
    </row>
    <row r="161" spans="1:11" x14ac:dyDescent="0.35">
      <c r="A161" t="s">
        <v>292</v>
      </c>
      <c r="B161" t="s">
        <v>293</v>
      </c>
      <c r="C161" t="s">
        <v>53</v>
      </c>
      <c r="D161">
        <v>11</v>
      </c>
      <c r="E161" t="s">
        <v>20</v>
      </c>
      <c r="F161" t="s">
        <v>13</v>
      </c>
      <c r="G161" t="s">
        <v>240</v>
      </c>
      <c r="H161">
        <v>7</v>
      </c>
      <c r="I161" t="s">
        <v>28</v>
      </c>
      <c r="J161" t="str">
        <f>_xlfn.XLOOKUP(C161,'product_masterlist(ifs)'!A:A,'product_masterlist(ifs)'!C:C,"N/A",0)</f>
        <v>Solutions</v>
      </c>
      <c r="K161">
        <f>VLOOKUP(C161,'product_masterlist(ifs)'!A:I,7,FALSE)</f>
        <v>800</v>
      </c>
    </row>
    <row r="162" spans="1:11" x14ac:dyDescent="0.35">
      <c r="A162" t="s">
        <v>294</v>
      </c>
      <c r="B162" t="s">
        <v>80</v>
      </c>
      <c r="C162" t="s">
        <v>11</v>
      </c>
      <c r="D162">
        <v>17</v>
      </c>
      <c r="E162" t="s">
        <v>22</v>
      </c>
      <c r="F162" t="s">
        <v>18</v>
      </c>
      <c r="G162">
        <v>1445</v>
      </c>
      <c r="H162">
        <v>30</v>
      </c>
      <c r="I162" t="s">
        <v>14</v>
      </c>
      <c r="J162" t="str">
        <f>_xlfn.XLOOKUP(C162,'product_masterlist(ifs)'!A:A,'product_masterlist(ifs)'!C:C,"N/A",0)</f>
        <v>Surgical</v>
      </c>
      <c r="K162">
        <f>VLOOKUP(C162,'product_masterlist(ifs)'!A:I,7,FALSE)</f>
        <v>40</v>
      </c>
    </row>
    <row r="163" spans="1:11" x14ac:dyDescent="0.35">
      <c r="A163" t="s">
        <v>295</v>
      </c>
      <c r="B163" t="s">
        <v>296</v>
      </c>
      <c r="C163" t="s">
        <v>90</v>
      </c>
      <c r="D163">
        <v>12</v>
      </c>
      <c r="E163" t="s">
        <v>37</v>
      </c>
      <c r="F163" t="s">
        <v>13</v>
      </c>
      <c r="G163">
        <v>582</v>
      </c>
      <c r="H163">
        <v>30</v>
      </c>
      <c r="I163" t="s">
        <v>14</v>
      </c>
      <c r="J163" t="str">
        <f>_xlfn.XLOOKUP(C163,'product_masterlist(ifs)'!A:A,'product_masterlist(ifs)'!C:C,"N/A",0)</f>
        <v>Frames</v>
      </c>
      <c r="K163">
        <f>VLOOKUP(C163,'product_masterlist(ifs)'!A:I,7,FALSE)</f>
        <v>180</v>
      </c>
    </row>
    <row r="164" spans="1:11" x14ac:dyDescent="0.35">
      <c r="A164" t="s">
        <v>297</v>
      </c>
      <c r="B164" t="s">
        <v>298</v>
      </c>
      <c r="C164" t="s">
        <v>42</v>
      </c>
      <c r="D164">
        <v>17</v>
      </c>
      <c r="E164" t="s">
        <v>12</v>
      </c>
      <c r="F164" t="s">
        <v>13</v>
      </c>
      <c r="G164">
        <v>425</v>
      </c>
      <c r="H164">
        <v>21</v>
      </c>
      <c r="I164" t="s">
        <v>14</v>
      </c>
      <c r="J164" t="str">
        <f>_xlfn.XLOOKUP(C164,'product_masterlist(ifs)'!A:A,'product_masterlist(ifs)'!C:C,"N/A",0)</f>
        <v>Contact Lenses</v>
      </c>
      <c r="K164">
        <f>VLOOKUP(C164,'product_masterlist(ifs)'!A:I,7,FALSE)</f>
        <v>120</v>
      </c>
    </row>
    <row r="165" spans="1:11" x14ac:dyDescent="0.35">
      <c r="A165" t="s">
        <v>299</v>
      </c>
      <c r="B165" t="s">
        <v>300</v>
      </c>
      <c r="C165" t="s">
        <v>90</v>
      </c>
      <c r="D165">
        <v>13</v>
      </c>
      <c r="E165" t="s">
        <v>37</v>
      </c>
      <c r="F165" t="s">
        <v>23</v>
      </c>
      <c r="G165" t="s">
        <v>262</v>
      </c>
      <c r="H165">
        <v>30</v>
      </c>
      <c r="I165" t="s">
        <v>14</v>
      </c>
      <c r="J165" t="str">
        <f>_xlfn.XLOOKUP(C165,'product_masterlist(ifs)'!A:A,'product_masterlist(ifs)'!C:C,"N/A",0)</f>
        <v>Frames</v>
      </c>
      <c r="K165">
        <f>VLOOKUP(C165,'product_masterlist(ifs)'!A:I,7,FALSE)</f>
        <v>180</v>
      </c>
    </row>
    <row r="166" spans="1:11" x14ac:dyDescent="0.35">
      <c r="A166" t="s">
        <v>301</v>
      </c>
      <c r="B166" t="s">
        <v>302</v>
      </c>
      <c r="C166" t="s">
        <v>11</v>
      </c>
      <c r="D166">
        <v>22</v>
      </c>
      <c r="E166" t="s">
        <v>20</v>
      </c>
      <c r="F166" t="s">
        <v>18</v>
      </c>
      <c r="G166">
        <v>1870</v>
      </c>
      <c r="H166">
        <v>30</v>
      </c>
      <c r="I166" t="s">
        <v>14</v>
      </c>
      <c r="J166" t="str">
        <f>_xlfn.XLOOKUP(C166,'product_masterlist(ifs)'!A:A,'product_masterlist(ifs)'!C:C,"N/A",0)</f>
        <v>Surgical</v>
      </c>
      <c r="K166">
        <f>VLOOKUP(C166,'product_masterlist(ifs)'!A:I,7,FALSE)</f>
        <v>40</v>
      </c>
    </row>
    <row r="167" spans="1:11" x14ac:dyDescent="0.35">
      <c r="A167" t="s">
        <v>303</v>
      </c>
      <c r="B167" t="s">
        <v>298</v>
      </c>
      <c r="C167" t="s">
        <v>53</v>
      </c>
      <c r="D167">
        <v>25</v>
      </c>
      <c r="E167" t="s">
        <v>20</v>
      </c>
      <c r="F167" t="s">
        <v>31</v>
      </c>
      <c r="G167" t="s">
        <v>304</v>
      </c>
      <c r="H167">
        <v>7</v>
      </c>
      <c r="I167" t="s">
        <v>28</v>
      </c>
      <c r="J167" t="str">
        <f>_xlfn.XLOOKUP(C167,'product_masterlist(ifs)'!A:A,'product_masterlist(ifs)'!C:C,"N/A",0)</f>
        <v>Solutions</v>
      </c>
      <c r="K167">
        <f>VLOOKUP(C167,'product_masterlist(ifs)'!A:I,7,FALSE)</f>
        <v>800</v>
      </c>
    </row>
    <row r="168" spans="1:11" x14ac:dyDescent="0.35">
      <c r="A168" t="s">
        <v>305</v>
      </c>
      <c r="B168" s="1">
        <v>45880</v>
      </c>
      <c r="C168" t="s">
        <v>53</v>
      </c>
      <c r="D168">
        <v>8</v>
      </c>
      <c r="E168" t="s">
        <v>20</v>
      </c>
      <c r="F168" t="s">
        <v>23</v>
      </c>
      <c r="G168">
        <v>34</v>
      </c>
      <c r="H168">
        <v>7</v>
      </c>
      <c r="I168" t="s">
        <v>28</v>
      </c>
      <c r="J168" t="str">
        <f>_xlfn.XLOOKUP(C168,'product_masterlist(ifs)'!A:A,'product_masterlist(ifs)'!C:C,"N/A",0)</f>
        <v>Solutions</v>
      </c>
      <c r="K168">
        <f>VLOOKUP(C168,'product_masterlist(ifs)'!A:I,7,FALSE)</f>
        <v>800</v>
      </c>
    </row>
    <row r="169" spans="1:11" x14ac:dyDescent="0.35">
      <c r="A169" t="s">
        <v>306</v>
      </c>
      <c r="B169" t="s">
        <v>52</v>
      </c>
      <c r="C169" t="s">
        <v>42</v>
      </c>
      <c r="D169">
        <v>11</v>
      </c>
      <c r="E169" t="s">
        <v>22</v>
      </c>
      <c r="F169" t="s">
        <v>13</v>
      </c>
      <c r="G169">
        <v>275</v>
      </c>
      <c r="H169">
        <v>21</v>
      </c>
      <c r="I169" t="s">
        <v>14</v>
      </c>
      <c r="J169" t="str">
        <f>_xlfn.XLOOKUP(C169,'product_masterlist(ifs)'!A:A,'product_masterlist(ifs)'!C:C,"N/A",0)</f>
        <v>Contact Lenses</v>
      </c>
      <c r="K169">
        <f>VLOOKUP(C169,'product_masterlist(ifs)'!A:I,7,FALSE)</f>
        <v>120</v>
      </c>
    </row>
    <row r="170" spans="1:11" x14ac:dyDescent="0.35">
      <c r="A170" t="s">
        <v>307</v>
      </c>
      <c r="B170" s="1">
        <v>45937</v>
      </c>
      <c r="C170" t="s">
        <v>90</v>
      </c>
      <c r="D170">
        <v>25</v>
      </c>
      <c r="E170" t="s">
        <v>22</v>
      </c>
      <c r="F170" t="s">
        <v>23</v>
      </c>
      <c r="G170" t="s">
        <v>308</v>
      </c>
      <c r="H170">
        <v>30</v>
      </c>
      <c r="I170" t="s">
        <v>14</v>
      </c>
      <c r="J170" t="str">
        <f>_xlfn.XLOOKUP(C170,'product_masterlist(ifs)'!A:A,'product_masterlist(ifs)'!C:C,"N/A",0)</f>
        <v>Frames</v>
      </c>
      <c r="K170">
        <f>VLOOKUP(C170,'product_masterlist(ifs)'!A:I,7,FALSE)</f>
        <v>180</v>
      </c>
    </row>
    <row r="171" spans="1:11" x14ac:dyDescent="0.35">
      <c r="A171" t="s">
        <v>309</v>
      </c>
      <c r="B171" t="s">
        <v>310</v>
      </c>
      <c r="C171" t="s">
        <v>53</v>
      </c>
      <c r="D171">
        <v>8</v>
      </c>
      <c r="E171" t="s">
        <v>20</v>
      </c>
      <c r="F171" t="s">
        <v>13</v>
      </c>
      <c r="G171">
        <v>34</v>
      </c>
      <c r="H171">
        <v>7</v>
      </c>
      <c r="I171" t="s">
        <v>28</v>
      </c>
      <c r="J171" t="str">
        <f>_xlfn.XLOOKUP(C171,'product_masterlist(ifs)'!A:A,'product_masterlist(ifs)'!C:C,"N/A",0)</f>
        <v>Solutions</v>
      </c>
      <c r="K171">
        <f>VLOOKUP(C171,'product_masterlist(ifs)'!A:I,7,FALSE)</f>
        <v>800</v>
      </c>
    </row>
    <row r="172" spans="1:11" x14ac:dyDescent="0.35">
      <c r="A172" t="s">
        <v>311</v>
      </c>
      <c r="B172" t="s">
        <v>312</v>
      </c>
      <c r="C172" t="s">
        <v>33</v>
      </c>
      <c r="D172">
        <v>22</v>
      </c>
      <c r="E172" t="s">
        <v>22</v>
      </c>
      <c r="F172" t="s">
        <v>23</v>
      </c>
      <c r="G172">
        <v>3300</v>
      </c>
      <c r="H172">
        <v>45</v>
      </c>
      <c r="I172" t="s">
        <v>34</v>
      </c>
      <c r="J172" t="str">
        <f>_xlfn.XLOOKUP(C172,'product_masterlist(ifs)'!A:A,'product_masterlist(ifs)'!C:C,"N/A",0)</f>
        <v>Surgical</v>
      </c>
      <c r="K172">
        <f>VLOOKUP(C172,'product_masterlist(ifs)'!A:I,7,FALSE)</f>
        <v>15</v>
      </c>
    </row>
    <row r="173" spans="1:11" x14ac:dyDescent="0.35">
      <c r="A173" t="s">
        <v>313</v>
      </c>
      <c r="B173" s="1">
        <v>45813</v>
      </c>
      <c r="C173" t="s">
        <v>11</v>
      </c>
      <c r="D173">
        <v>16</v>
      </c>
      <c r="E173" t="s">
        <v>20</v>
      </c>
      <c r="F173" t="s">
        <v>31</v>
      </c>
      <c r="G173">
        <v>1360</v>
      </c>
      <c r="H173">
        <v>30</v>
      </c>
      <c r="I173" t="s">
        <v>14</v>
      </c>
      <c r="J173" t="str">
        <f>_xlfn.XLOOKUP(C173,'product_masterlist(ifs)'!A:A,'product_masterlist(ifs)'!C:C,"N/A",0)</f>
        <v>Surgical</v>
      </c>
      <c r="K173">
        <f>VLOOKUP(C173,'product_masterlist(ifs)'!A:I,7,FALSE)</f>
        <v>40</v>
      </c>
    </row>
    <row r="174" spans="1:11" x14ac:dyDescent="0.35">
      <c r="A174" t="s">
        <v>314</v>
      </c>
      <c r="B174" t="s">
        <v>315</v>
      </c>
      <c r="C174" t="s">
        <v>33</v>
      </c>
      <c r="D174">
        <v>20</v>
      </c>
      <c r="E174" t="s">
        <v>20</v>
      </c>
      <c r="F174" t="s">
        <v>18</v>
      </c>
      <c r="G174">
        <v>3000</v>
      </c>
      <c r="H174">
        <v>45</v>
      </c>
      <c r="I174" t="s">
        <v>34</v>
      </c>
      <c r="J174" t="str">
        <f>_xlfn.XLOOKUP(C174,'product_masterlist(ifs)'!A:A,'product_masterlist(ifs)'!C:C,"N/A",0)</f>
        <v>Surgical</v>
      </c>
      <c r="K174">
        <f>VLOOKUP(C174,'product_masterlist(ifs)'!A:I,7,FALSE)</f>
        <v>15</v>
      </c>
    </row>
    <row r="175" spans="1:11" x14ac:dyDescent="0.35">
      <c r="A175" t="s">
        <v>316</v>
      </c>
      <c r="B175" t="s">
        <v>317</v>
      </c>
      <c r="C175" t="s">
        <v>26</v>
      </c>
      <c r="D175">
        <v>11</v>
      </c>
      <c r="E175" t="s">
        <v>22</v>
      </c>
      <c r="F175" t="s">
        <v>23</v>
      </c>
      <c r="G175" t="s">
        <v>47</v>
      </c>
      <c r="H175">
        <v>14</v>
      </c>
      <c r="I175" t="s">
        <v>28</v>
      </c>
      <c r="J175" t="str">
        <f>_xlfn.XLOOKUP(C175,'product_masterlist(ifs)'!A:A,'product_masterlist(ifs)'!C:C,"N/A",0)</f>
        <v>Contact Lenses</v>
      </c>
      <c r="K175">
        <f>VLOOKUP(C175,'product_masterlist(ifs)'!A:I,7,FALSE)</f>
        <v>450</v>
      </c>
    </row>
    <row r="176" spans="1:11" x14ac:dyDescent="0.35">
      <c r="A176" t="s">
        <v>318</v>
      </c>
      <c r="B176" t="s">
        <v>319</v>
      </c>
      <c r="C176" t="s">
        <v>53</v>
      </c>
      <c r="D176">
        <v>7</v>
      </c>
      <c r="E176" t="s">
        <v>12</v>
      </c>
      <c r="F176" t="s">
        <v>13</v>
      </c>
      <c r="G176" t="s">
        <v>320</v>
      </c>
      <c r="H176">
        <v>7</v>
      </c>
      <c r="I176" t="s">
        <v>28</v>
      </c>
      <c r="J176" t="str">
        <f>_xlfn.XLOOKUP(C176,'product_masterlist(ifs)'!A:A,'product_masterlist(ifs)'!C:C,"N/A",0)</f>
        <v>Solutions</v>
      </c>
      <c r="K176">
        <f>VLOOKUP(C176,'product_masterlist(ifs)'!A:I,7,FALSE)</f>
        <v>800</v>
      </c>
    </row>
    <row r="177" spans="1:11" x14ac:dyDescent="0.35">
      <c r="A177" t="s">
        <v>321</v>
      </c>
      <c r="B177" s="1">
        <v>45693</v>
      </c>
      <c r="C177" t="s">
        <v>42</v>
      </c>
      <c r="D177">
        <v>25</v>
      </c>
      <c r="E177" t="s">
        <v>20</v>
      </c>
      <c r="F177" t="s">
        <v>13</v>
      </c>
      <c r="G177">
        <v>625</v>
      </c>
      <c r="H177">
        <v>21</v>
      </c>
      <c r="I177" t="s">
        <v>14</v>
      </c>
      <c r="J177" t="str">
        <f>_xlfn.XLOOKUP(C177,'product_masterlist(ifs)'!A:A,'product_masterlist(ifs)'!C:C,"N/A",0)</f>
        <v>Contact Lenses</v>
      </c>
      <c r="K177">
        <f>VLOOKUP(C177,'product_masterlist(ifs)'!A:I,7,FALSE)</f>
        <v>120</v>
      </c>
    </row>
    <row r="178" spans="1:11" x14ac:dyDescent="0.35">
      <c r="A178" t="s">
        <v>322</v>
      </c>
      <c r="B178" t="s">
        <v>323</v>
      </c>
      <c r="C178" t="s">
        <v>53</v>
      </c>
      <c r="D178">
        <v>13</v>
      </c>
      <c r="E178" t="s">
        <v>12</v>
      </c>
      <c r="F178" t="s">
        <v>18</v>
      </c>
      <c r="G178" t="s">
        <v>188</v>
      </c>
      <c r="H178">
        <v>7</v>
      </c>
      <c r="I178" t="s">
        <v>28</v>
      </c>
      <c r="J178" t="str">
        <f>_xlfn.XLOOKUP(C178,'product_masterlist(ifs)'!A:A,'product_masterlist(ifs)'!C:C,"N/A",0)</f>
        <v>Solutions</v>
      </c>
      <c r="K178">
        <f>VLOOKUP(C178,'product_masterlist(ifs)'!A:I,7,FALSE)</f>
        <v>800</v>
      </c>
    </row>
    <row r="179" spans="1:11" x14ac:dyDescent="0.35">
      <c r="A179" t="s">
        <v>324</v>
      </c>
      <c r="B179" s="1">
        <v>45841</v>
      </c>
      <c r="C179" t="s">
        <v>11</v>
      </c>
      <c r="D179">
        <v>18</v>
      </c>
      <c r="E179" t="s">
        <v>12</v>
      </c>
      <c r="F179" t="s">
        <v>31</v>
      </c>
      <c r="G179">
        <v>1530</v>
      </c>
      <c r="H179">
        <v>30</v>
      </c>
      <c r="I179" t="s">
        <v>14</v>
      </c>
      <c r="J179" t="str">
        <f>_xlfn.XLOOKUP(C179,'product_masterlist(ifs)'!A:A,'product_masterlist(ifs)'!C:C,"N/A",0)</f>
        <v>Surgical</v>
      </c>
      <c r="K179">
        <f>VLOOKUP(C179,'product_masterlist(ifs)'!A:I,7,FALSE)</f>
        <v>40</v>
      </c>
    </row>
    <row r="180" spans="1:11" x14ac:dyDescent="0.35">
      <c r="A180" t="s">
        <v>325</v>
      </c>
      <c r="B180" s="1">
        <v>45721</v>
      </c>
      <c r="C180" t="s">
        <v>42</v>
      </c>
      <c r="D180">
        <v>3</v>
      </c>
      <c r="E180" t="s">
        <v>37</v>
      </c>
      <c r="F180" t="s">
        <v>23</v>
      </c>
      <c r="G180">
        <v>75</v>
      </c>
      <c r="H180">
        <v>21</v>
      </c>
      <c r="I180" t="s">
        <v>14</v>
      </c>
      <c r="J180" t="str">
        <f>_xlfn.XLOOKUP(C180,'product_masterlist(ifs)'!A:A,'product_masterlist(ifs)'!C:C,"N/A",0)</f>
        <v>Contact Lenses</v>
      </c>
      <c r="K180">
        <f>VLOOKUP(C180,'product_masterlist(ifs)'!A:I,7,FALSE)</f>
        <v>120</v>
      </c>
    </row>
    <row r="181" spans="1:11" x14ac:dyDescent="0.35">
      <c r="A181" t="s">
        <v>326</v>
      </c>
      <c r="B181" s="1">
        <v>45720</v>
      </c>
      <c r="C181" t="s">
        <v>26</v>
      </c>
      <c r="D181">
        <v>4</v>
      </c>
      <c r="E181" t="s">
        <v>37</v>
      </c>
      <c r="F181" t="s">
        <v>23</v>
      </c>
      <c r="G181">
        <v>50</v>
      </c>
      <c r="H181">
        <v>14</v>
      </c>
      <c r="I181" t="s">
        <v>28</v>
      </c>
      <c r="J181" t="str">
        <f>_xlfn.XLOOKUP(C181,'product_masterlist(ifs)'!A:A,'product_masterlist(ifs)'!C:C,"N/A",0)</f>
        <v>Contact Lenses</v>
      </c>
      <c r="K181">
        <f>VLOOKUP(C181,'product_masterlist(ifs)'!A:I,7,FALSE)</f>
        <v>450</v>
      </c>
    </row>
    <row r="182" spans="1:11" x14ac:dyDescent="0.35">
      <c r="A182" t="s">
        <v>327</v>
      </c>
      <c r="B182" s="1">
        <v>45719</v>
      </c>
      <c r="C182" t="s">
        <v>42</v>
      </c>
      <c r="D182">
        <v>3</v>
      </c>
      <c r="E182" t="s">
        <v>22</v>
      </c>
      <c r="F182" t="s">
        <v>13</v>
      </c>
      <c r="G182">
        <v>75</v>
      </c>
      <c r="H182">
        <v>21</v>
      </c>
      <c r="I182" t="s">
        <v>14</v>
      </c>
      <c r="J182" t="str">
        <f>_xlfn.XLOOKUP(C182,'product_masterlist(ifs)'!A:A,'product_masterlist(ifs)'!C:C,"N/A",0)</f>
        <v>Contact Lenses</v>
      </c>
      <c r="K182">
        <f>VLOOKUP(C182,'product_masterlist(ifs)'!A:I,7,FALSE)</f>
        <v>120</v>
      </c>
    </row>
    <row r="183" spans="1:11" x14ac:dyDescent="0.35">
      <c r="A183" t="s">
        <v>328</v>
      </c>
      <c r="B183" t="s">
        <v>196</v>
      </c>
      <c r="C183" t="s">
        <v>53</v>
      </c>
      <c r="D183">
        <v>14</v>
      </c>
      <c r="E183" t="s">
        <v>20</v>
      </c>
      <c r="F183" t="s">
        <v>13</v>
      </c>
      <c r="G183" t="s">
        <v>228</v>
      </c>
      <c r="H183">
        <v>7</v>
      </c>
      <c r="I183" t="s">
        <v>28</v>
      </c>
      <c r="J183" t="str">
        <f>_xlfn.XLOOKUP(C183,'product_masterlist(ifs)'!A:A,'product_masterlist(ifs)'!C:C,"N/A",0)</f>
        <v>Solutions</v>
      </c>
      <c r="K183">
        <f>VLOOKUP(C183,'product_masterlist(ifs)'!A:I,7,FALSE)</f>
        <v>800</v>
      </c>
    </row>
    <row r="184" spans="1:11" x14ac:dyDescent="0.35">
      <c r="A184" t="s">
        <v>329</v>
      </c>
      <c r="B184" t="s">
        <v>330</v>
      </c>
      <c r="C184" t="s">
        <v>90</v>
      </c>
      <c r="D184">
        <v>7</v>
      </c>
      <c r="E184" t="s">
        <v>37</v>
      </c>
      <c r="F184" t="s">
        <v>13</v>
      </c>
      <c r="G184" t="s">
        <v>181</v>
      </c>
      <c r="H184">
        <v>30</v>
      </c>
      <c r="I184" t="s">
        <v>14</v>
      </c>
      <c r="J184" t="str">
        <f>_xlfn.XLOOKUP(C184,'product_masterlist(ifs)'!A:A,'product_masterlist(ifs)'!C:C,"N/A",0)</f>
        <v>Frames</v>
      </c>
      <c r="K184">
        <f>VLOOKUP(C184,'product_masterlist(ifs)'!A:I,7,FALSE)</f>
        <v>180</v>
      </c>
    </row>
    <row r="185" spans="1:11" x14ac:dyDescent="0.35">
      <c r="A185" t="s">
        <v>331</v>
      </c>
      <c r="B185" t="s">
        <v>205</v>
      </c>
      <c r="C185" t="s">
        <v>90</v>
      </c>
      <c r="D185">
        <v>5</v>
      </c>
      <c r="E185" t="s">
        <v>37</v>
      </c>
      <c r="F185" t="s">
        <v>13</v>
      </c>
      <c r="G185" t="s">
        <v>332</v>
      </c>
      <c r="H185">
        <v>30</v>
      </c>
      <c r="I185" t="s">
        <v>14</v>
      </c>
      <c r="J185" t="str">
        <f>_xlfn.XLOOKUP(C185,'product_masterlist(ifs)'!A:A,'product_masterlist(ifs)'!C:C,"N/A",0)</f>
        <v>Frames</v>
      </c>
      <c r="K185">
        <f>VLOOKUP(C185,'product_masterlist(ifs)'!A:I,7,FALSE)</f>
        <v>180</v>
      </c>
    </row>
    <row r="186" spans="1:11" x14ac:dyDescent="0.35">
      <c r="A186" t="s">
        <v>333</v>
      </c>
      <c r="B186" s="1">
        <v>45880</v>
      </c>
      <c r="C186" t="s">
        <v>26</v>
      </c>
      <c r="D186">
        <v>3</v>
      </c>
      <c r="E186" t="s">
        <v>37</v>
      </c>
      <c r="F186" t="s">
        <v>31</v>
      </c>
      <c r="G186" t="s">
        <v>40</v>
      </c>
      <c r="H186">
        <v>14</v>
      </c>
      <c r="I186" t="s">
        <v>28</v>
      </c>
      <c r="J186" t="str">
        <f>_xlfn.XLOOKUP(C186,'product_masterlist(ifs)'!A:A,'product_masterlist(ifs)'!C:C,"N/A",0)</f>
        <v>Contact Lenses</v>
      </c>
      <c r="K186">
        <f>VLOOKUP(C186,'product_masterlist(ifs)'!A:I,7,FALSE)</f>
        <v>450</v>
      </c>
    </row>
    <row r="187" spans="1:11" x14ac:dyDescent="0.35">
      <c r="A187" t="s">
        <v>334</v>
      </c>
      <c r="B187" s="1">
        <v>45902</v>
      </c>
      <c r="C187" t="s">
        <v>42</v>
      </c>
      <c r="D187">
        <v>9</v>
      </c>
      <c r="E187" t="s">
        <v>20</v>
      </c>
      <c r="F187" t="s">
        <v>23</v>
      </c>
      <c r="G187">
        <v>225</v>
      </c>
      <c r="H187">
        <v>21</v>
      </c>
      <c r="I187" t="s">
        <v>14</v>
      </c>
      <c r="J187" t="str">
        <f>_xlfn.XLOOKUP(C187,'product_masterlist(ifs)'!A:A,'product_masterlist(ifs)'!C:C,"N/A",0)</f>
        <v>Contact Lenses</v>
      </c>
      <c r="K187">
        <f>VLOOKUP(C187,'product_masterlist(ifs)'!A:I,7,FALSE)</f>
        <v>120</v>
      </c>
    </row>
    <row r="188" spans="1:11" x14ac:dyDescent="0.35">
      <c r="A188" t="s">
        <v>335</v>
      </c>
      <c r="B188" s="1">
        <v>45939</v>
      </c>
      <c r="C188" t="s">
        <v>53</v>
      </c>
      <c r="D188">
        <v>18</v>
      </c>
      <c r="E188" t="s">
        <v>37</v>
      </c>
      <c r="F188" t="s">
        <v>18</v>
      </c>
      <c r="G188" t="s">
        <v>336</v>
      </c>
      <c r="H188">
        <v>7</v>
      </c>
      <c r="I188" t="s">
        <v>28</v>
      </c>
      <c r="J188" t="str">
        <f>_xlfn.XLOOKUP(C188,'product_masterlist(ifs)'!A:A,'product_masterlist(ifs)'!C:C,"N/A",0)</f>
        <v>Solutions</v>
      </c>
      <c r="K188">
        <f>VLOOKUP(C188,'product_masterlist(ifs)'!A:I,7,FALSE)</f>
        <v>800</v>
      </c>
    </row>
    <row r="189" spans="1:11" x14ac:dyDescent="0.35">
      <c r="A189" t="s">
        <v>337</v>
      </c>
      <c r="B189" t="s">
        <v>338</v>
      </c>
      <c r="C189" t="s">
        <v>33</v>
      </c>
      <c r="D189">
        <v>19</v>
      </c>
      <c r="E189" t="s">
        <v>37</v>
      </c>
      <c r="F189" t="s">
        <v>13</v>
      </c>
      <c r="G189">
        <v>2850</v>
      </c>
      <c r="H189">
        <v>45</v>
      </c>
      <c r="I189" t="s">
        <v>34</v>
      </c>
      <c r="J189" t="str">
        <f>_xlfn.XLOOKUP(C189,'product_masterlist(ifs)'!A:A,'product_masterlist(ifs)'!C:C,"N/A",0)</f>
        <v>Surgical</v>
      </c>
      <c r="K189">
        <f>VLOOKUP(C189,'product_masterlist(ifs)'!A:I,7,FALSE)</f>
        <v>15</v>
      </c>
    </row>
    <row r="190" spans="1:11" x14ac:dyDescent="0.35">
      <c r="A190" t="s">
        <v>339</v>
      </c>
      <c r="B190" s="1">
        <v>45814</v>
      </c>
      <c r="C190" t="s">
        <v>53</v>
      </c>
      <c r="D190">
        <v>20</v>
      </c>
      <c r="E190" t="s">
        <v>22</v>
      </c>
      <c r="F190" t="s">
        <v>31</v>
      </c>
      <c r="G190">
        <v>85</v>
      </c>
      <c r="H190">
        <v>7</v>
      </c>
      <c r="I190" t="s">
        <v>28</v>
      </c>
      <c r="J190" t="str">
        <f>_xlfn.XLOOKUP(C190,'product_masterlist(ifs)'!A:A,'product_masterlist(ifs)'!C:C,"N/A",0)</f>
        <v>Solutions</v>
      </c>
      <c r="K190">
        <f>VLOOKUP(C190,'product_masterlist(ifs)'!A:I,7,FALSE)</f>
        <v>800</v>
      </c>
    </row>
    <row r="191" spans="1:11" x14ac:dyDescent="0.35">
      <c r="A191" t="s">
        <v>340</v>
      </c>
      <c r="B191" s="1">
        <v>45934</v>
      </c>
      <c r="C191" t="s">
        <v>11</v>
      </c>
      <c r="D191">
        <v>25</v>
      </c>
      <c r="E191" t="s">
        <v>12</v>
      </c>
      <c r="F191" t="s">
        <v>23</v>
      </c>
      <c r="G191">
        <v>2125</v>
      </c>
      <c r="H191">
        <v>30</v>
      </c>
      <c r="I191" t="s">
        <v>14</v>
      </c>
      <c r="J191" t="str">
        <f>_xlfn.XLOOKUP(C191,'product_masterlist(ifs)'!A:A,'product_masterlist(ifs)'!C:C,"N/A",0)</f>
        <v>Surgical</v>
      </c>
      <c r="K191">
        <f>VLOOKUP(C191,'product_masterlist(ifs)'!A:I,7,FALSE)</f>
        <v>40</v>
      </c>
    </row>
    <row r="192" spans="1:11" x14ac:dyDescent="0.35">
      <c r="A192" t="s">
        <v>341</v>
      </c>
      <c r="B192" s="1">
        <v>45787</v>
      </c>
      <c r="C192" t="s">
        <v>26</v>
      </c>
      <c r="D192">
        <v>18</v>
      </c>
      <c r="E192" t="s">
        <v>12</v>
      </c>
      <c r="F192" t="s">
        <v>18</v>
      </c>
      <c r="G192">
        <v>225</v>
      </c>
      <c r="H192">
        <v>14</v>
      </c>
      <c r="I192" t="s">
        <v>28</v>
      </c>
      <c r="J192" t="str">
        <f>_xlfn.XLOOKUP(C192,'product_masterlist(ifs)'!A:A,'product_masterlist(ifs)'!C:C,"N/A",0)</f>
        <v>Contact Lenses</v>
      </c>
      <c r="K192">
        <f>VLOOKUP(C192,'product_masterlist(ifs)'!A:I,7,FALSE)</f>
        <v>450</v>
      </c>
    </row>
    <row r="193" spans="1:11" x14ac:dyDescent="0.35">
      <c r="A193" t="s">
        <v>342</v>
      </c>
      <c r="B193" t="s">
        <v>125</v>
      </c>
      <c r="C193" t="s">
        <v>26</v>
      </c>
      <c r="D193">
        <v>7</v>
      </c>
      <c r="E193" t="s">
        <v>37</v>
      </c>
      <c r="F193" t="s">
        <v>31</v>
      </c>
      <c r="G193" t="s">
        <v>27</v>
      </c>
      <c r="H193">
        <v>14</v>
      </c>
      <c r="I193" t="s">
        <v>28</v>
      </c>
      <c r="J193" t="str">
        <f>_xlfn.XLOOKUP(C193,'product_masterlist(ifs)'!A:A,'product_masterlist(ifs)'!C:C,"N/A",0)</f>
        <v>Contact Lenses</v>
      </c>
      <c r="K193">
        <f>VLOOKUP(C193,'product_masterlist(ifs)'!A:I,7,FALSE)</f>
        <v>450</v>
      </c>
    </row>
    <row r="194" spans="1:11" x14ac:dyDescent="0.35">
      <c r="A194" t="s">
        <v>343</v>
      </c>
      <c r="B194" s="1">
        <v>45721</v>
      </c>
      <c r="C194" t="s">
        <v>90</v>
      </c>
      <c r="D194">
        <v>23</v>
      </c>
      <c r="E194" t="s">
        <v>12</v>
      </c>
      <c r="F194" t="s">
        <v>23</v>
      </c>
      <c r="G194" t="s">
        <v>123</v>
      </c>
      <c r="H194">
        <v>30</v>
      </c>
      <c r="I194" t="s">
        <v>14</v>
      </c>
      <c r="J194" t="str">
        <f>_xlfn.XLOOKUP(C194,'product_masterlist(ifs)'!A:A,'product_masterlist(ifs)'!C:C,"N/A",0)</f>
        <v>Frames</v>
      </c>
      <c r="K194">
        <f>VLOOKUP(C194,'product_masterlist(ifs)'!A:I,7,FALSE)</f>
        <v>180</v>
      </c>
    </row>
    <row r="195" spans="1:11" x14ac:dyDescent="0.35">
      <c r="A195" t="s">
        <v>344</v>
      </c>
      <c r="B195" t="s">
        <v>345</v>
      </c>
      <c r="C195" t="s">
        <v>17</v>
      </c>
      <c r="D195">
        <v>22</v>
      </c>
      <c r="E195" t="s">
        <v>22</v>
      </c>
      <c r="F195" t="s">
        <v>18</v>
      </c>
      <c r="G195">
        <v>990</v>
      </c>
      <c r="H195">
        <v>30</v>
      </c>
      <c r="I195" t="s">
        <v>14</v>
      </c>
      <c r="J195" t="str">
        <f>_xlfn.XLOOKUP(C195,'product_masterlist(ifs)'!A:A,'product_masterlist(ifs)'!C:C,"N/A",0)</f>
        <v>Frames</v>
      </c>
      <c r="K195">
        <f>VLOOKUP(C195,'product_masterlist(ifs)'!A:I,7,FALSE)</f>
        <v>45</v>
      </c>
    </row>
    <row r="196" spans="1:11" x14ac:dyDescent="0.35">
      <c r="A196" t="s">
        <v>346</v>
      </c>
      <c r="B196" t="s">
        <v>180</v>
      </c>
      <c r="C196" t="s">
        <v>26</v>
      </c>
      <c r="D196">
        <v>11</v>
      </c>
      <c r="E196" t="s">
        <v>20</v>
      </c>
      <c r="F196" t="s">
        <v>23</v>
      </c>
      <c r="G196" t="s">
        <v>47</v>
      </c>
      <c r="H196">
        <v>14</v>
      </c>
      <c r="I196" t="s">
        <v>28</v>
      </c>
      <c r="J196" t="str">
        <f>_xlfn.XLOOKUP(C196,'product_masterlist(ifs)'!A:A,'product_masterlist(ifs)'!C:C,"N/A",0)</f>
        <v>Contact Lenses</v>
      </c>
      <c r="K196">
        <f>VLOOKUP(C196,'product_masterlist(ifs)'!A:I,7,FALSE)</f>
        <v>450</v>
      </c>
    </row>
    <row r="197" spans="1:11" x14ac:dyDescent="0.35">
      <c r="A197" t="s">
        <v>347</v>
      </c>
      <c r="B197" t="s">
        <v>194</v>
      </c>
      <c r="C197" t="s">
        <v>90</v>
      </c>
      <c r="D197">
        <v>22</v>
      </c>
      <c r="E197" t="s">
        <v>12</v>
      </c>
      <c r="F197" t="s">
        <v>31</v>
      </c>
      <c r="G197">
        <v>1067</v>
      </c>
      <c r="H197">
        <v>30</v>
      </c>
      <c r="I197" t="s">
        <v>14</v>
      </c>
      <c r="J197" t="str">
        <f>_xlfn.XLOOKUP(C197,'product_masterlist(ifs)'!A:A,'product_masterlist(ifs)'!C:C,"N/A",0)</f>
        <v>Frames</v>
      </c>
      <c r="K197">
        <f>VLOOKUP(C197,'product_masterlist(ifs)'!A:I,7,FALSE)</f>
        <v>180</v>
      </c>
    </row>
    <row r="198" spans="1:11" x14ac:dyDescent="0.35">
      <c r="A198" t="s">
        <v>348</v>
      </c>
      <c r="B198" s="1">
        <v>45871</v>
      </c>
      <c r="C198" t="s">
        <v>26</v>
      </c>
      <c r="D198">
        <v>6</v>
      </c>
      <c r="E198" t="s">
        <v>22</v>
      </c>
      <c r="F198" t="s">
        <v>23</v>
      </c>
      <c r="G198">
        <v>75</v>
      </c>
      <c r="H198">
        <v>14</v>
      </c>
      <c r="I198" t="s">
        <v>28</v>
      </c>
      <c r="J198" t="str">
        <f>_xlfn.XLOOKUP(C198,'product_masterlist(ifs)'!A:A,'product_masterlist(ifs)'!C:C,"N/A",0)</f>
        <v>Contact Lenses</v>
      </c>
      <c r="K198">
        <f>VLOOKUP(C198,'product_masterlist(ifs)'!A:I,7,FALSE)</f>
        <v>450</v>
      </c>
    </row>
    <row r="199" spans="1:11" x14ac:dyDescent="0.35">
      <c r="A199" t="s">
        <v>349</v>
      </c>
      <c r="B199" t="s">
        <v>350</v>
      </c>
      <c r="C199" t="s">
        <v>17</v>
      </c>
      <c r="D199">
        <v>16</v>
      </c>
      <c r="E199" t="s">
        <v>20</v>
      </c>
      <c r="F199" t="s">
        <v>23</v>
      </c>
      <c r="G199">
        <v>720</v>
      </c>
      <c r="H199">
        <v>30</v>
      </c>
      <c r="I199" t="s">
        <v>14</v>
      </c>
      <c r="J199" t="str">
        <f>_xlfn.XLOOKUP(C199,'product_masterlist(ifs)'!A:A,'product_masterlist(ifs)'!C:C,"N/A",0)</f>
        <v>Frames</v>
      </c>
      <c r="K199">
        <f>VLOOKUP(C199,'product_masterlist(ifs)'!A:I,7,FALSE)</f>
        <v>45</v>
      </c>
    </row>
    <row r="200" spans="1:11" x14ac:dyDescent="0.35">
      <c r="A200" t="s">
        <v>351</v>
      </c>
      <c r="B200" t="s">
        <v>352</v>
      </c>
      <c r="C200" t="s">
        <v>90</v>
      </c>
      <c r="D200">
        <v>11</v>
      </c>
      <c r="E200" t="s">
        <v>20</v>
      </c>
      <c r="F200" t="s">
        <v>31</v>
      </c>
      <c r="G200" t="s">
        <v>238</v>
      </c>
      <c r="H200">
        <v>30</v>
      </c>
      <c r="I200" t="s">
        <v>14</v>
      </c>
      <c r="J200" t="str">
        <f>_xlfn.XLOOKUP(C200,'product_masterlist(ifs)'!A:A,'product_masterlist(ifs)'!C:C,"N/A",0)</f>
        <v>Frames</v>
      </c>
      <c r="K200">
        <f>VLOOKUP(C200,'product_masterlist(ifs)'!A:I,7,FALSE)</f>
        <v>180</v>
      </c>
    </row>
    <row r="201" spans="1:11" x14ac:dyDescent="0.35">
      <c r="A201" t="s">
        <v>353</v>
      </c>
      <c r="B201" t="s">
        <v>354</v>
      </c>
      <c r="C201" t="s">
        <v>33</v>
      </c>
      <c r="D201">
        <v>15</v>
      </c>
      <c r="E201" t="s">
        <v>37</v>
      </c>
      <c r="F201" t="s">
        <v>13</v>
      </c>
      <c r="G201">
        <v>2250</v>
      </c>
      <c r="H201">
        <v>45</v>
      </c>
      <c r="I201" t="s">
        <v>34</v>
      </c>
      <c r="J201" t="str">
        <f>_xlfn.XLOOKUP(C201,'product_masterlist(ifs)'!A:A,'product_masterlist(ifs)'!C:C,"N/A",0)</f>
        <v>Surgical</v>
      </c>
      <c r="K201">
        <f>VLOOKUP(C201,'product_masterlist(ifs)'!A:I,7,FALSE)</f>
        <v>15</v>
      </c>
    </row>
    <row r="202" spans="1:11" x14ac:dyDescent="0.35">
      <c r="A202" t="s">
        <v>355</v>
      </c>
      <c r="B202" s="1">
        <v>45876</v>
      </c>
      <c r="C202" t="s">
        <v>11</v>
      </c>
      <c r="D202">
        <v>17</v>
      </c>
      <c r="E202" t="s">
        <v>12</v>
      </c>
      <c r="F202" t="s">
        <v>23</v>
      </c>
      <c r="G202">
        <v>1445</v>
      </c>
      <c r="H202">
        <v>30</v>
      </c>
      <c r="I202" t="s">
        <v>14</v>
      </c>
      <c r="J202" t="str">
        <f>_xlfn.XLOOKUP(C202,'product_masterlist(ifs)'!A:A,'product_masterlist(ifs)'!C:C,"N/A",0)</f>
        <v>Surgical</v>
      </c>
      <c r="K202">
        <f>VLOOKUP(C202,'product_masterlist(ifs)'!A:I,7,FALSE)</f>
        <v>40</v>
      </c>
    </row>
    <row r="203" spans="1:11" x14ac:dyDescent="0.35">
      <c r="A203" t="s">
        <v>356</v>
      </c>
      <c r="B203" t="s">
        <v>149</v>
      </c>
      <c r="C203" t="s">
        <v>26</v>
      </c>
      <c r="D203">
        <v>18</v>
      </c>
      <c r="E203" t="s">
        <v>12</v>
      </c>
      <c r="F203" t="s">
        <v>18</v>
      </c>
      <c r="G203">
        <v>225</v>
      </c>
      <c r="H203">
        <v>14</v>
      </c>
      <c r="I203" t="s">
        <v>28</v>
      </c>
      <c r="J203" t="str">
        <f>_xlfn.XLOOKUP(C203,'product_masterlist(ifs)'!A:A,'product_masterlist(ifs)'!C:C,"N/A",0)</f>
        <v>Contact Lenses</v>
      </c>
      <c r="K203">
        <f>VLOOKUP(C203,'product_masterlist(ifs)'!A:I,7,FALSE)</f>
        <v>450</v>
      </c>
    </row>
    <row r="204" spans="1:11" x14ac:dyDescent="0.35">
      <c r="A204" t="s">
        <v>357</v>
      </c>
      <c r="B204" s="1">
        <v>45878</v>
      </c>
      <c r="C204" t="s">
        <v>26</v>
      </c>
      <c r="D204">
        <v>7</v>
      </c>
      <c r="E204" t="s">
        <v>20</v>
      </c>
      <c r="F204" t="s">
        <v>31</v>
      </c>
      <c r="G204" t="s">
        <v>27</v>
      </c>
      <c r="H204">
        <v>14</v>
      </c>
      <c r="I204" t="s">
        <v>28</v>
      </c>
      <c r="J204" t="str">
        <f>_xlfn.XLOOKUP(C204,'product_masterlist(ifs)'!A:A,'product_masterlist(ifs)'!C:C,"N/A",0)</f>
        <v>Contact Lenses</v>
      </c>
      <c r="K204">
        <f>VLOOKUP(C204,'product_masterlist(ifs)'!A:I,7,FALSE)</f>
        <v>450</v>
      </c>
    </row>
    <row r="205" spans="1:11" x14ac:dyDescent="0.35">
      <c r="A205" t="s">
        <v>358</v>
      </c>
      <c r="B205" s="1">
        <v>45758</v>
      </c>
      <c r="C205" t="s">
        <v>17</v>
      </c>
      <c r="D205">
        <v>5</v>
      </c>
      <c r="E205" t="s">
        <v>12</v>
      </c>
      <c r="F205" t="s">
        <v>23</v>
      </c>
      <c r="G205">
        <v>225</v>
      </c>
      <c r="H205">
        <v>30</v>
      </c>
      <c r="I205" t="s">
        <v>14</v>
      </c>
      <c r="J205" t="str">
        <f>_xlfn.XLOOKUP(C205,'product_masterlist(ifs)'!A:A,'product_masterlist(ifs)'!C:C,"N/A",0)</f>
        <v>Frames</v>
      </c>
      <c r="K205">
        <f>VLOOKUP(C205,'product_masterlist(ifs)'!A:I,7,FALSE)</f>
        <v>45</v>
      </c>
    </row>
    <row r="206" spans="1:11" x14ac:dyDescent="0.35">
      <c r="A206" t="s">
        <v>359</v>
      </c>
      <c r="B206" s="1">
        <v>45962</v>
      </c>
      <c r="C206" t="s">
        <v>11</v>
      </c>
      <c r="D206">
        <v>24</v>
      </c>
      <c r="E206" t="s">
        <v>22</v>
      </c>
      <c r="F206" t="s">
        <v>18</v>
      </c>
      <c r="G206">
        <v>2040</v>
      </c>
      <c r="H206">
        <v>30</v>
      </c>
      <c r="I206" t="s">
        <v>14</v>
      </c>
      <c r="J206" t="str">
        <f>_xlfn.XLOOKUP(C206,'product_masterlist(ifs)'!A:A,'product_masterlist(ifs)'!C:C,"N/A",0)</f>
        <v>Surgical</v>
      </c>
      <c r="K206">
        <f>VLOOKUP(C206,'product_masterlist(ifs)'!A:I,7,FALSE)</f>
        <v>40</v>
      </c>
    </row>
    <row r="207" spans="1:11" x14ac:dyDescent="0.35">
      <c r="A207" t="s">
        <v>360</v>
      </c>
      <c r="B207" s="1">
        <v>45965</v>
      </c>
      <c r="C207" t="s">
        <v>53</v>
      </c>
      <c r="D207">
        <v>18</v>
      </c>
      <c r="E207" t="s">
        <v>37</v>
      </c>
      <c r="F207" t="s">
        <v>13</v>
      </c>
      <c r="G207" t="s">
        <v>336</v>
      </c>
      <c r="H207">
        <v>7</v>
      </c>
      <c r="I207" t="s">
        <v>28</v>
      </c>
      <c r="J207" t="str">
        <f>_xlfn.XLOOKUP(C207,'product_masterlist(ifs)'!A:A,'product_masterlist(ifs)'!C:C,"N/A",0)</f>
        <v>Solutions</v>
      </c>
      <c r="K207">
        <f>VLOOKUP(C207,'product_masterlist(ifs)'!A:I,7,FALSE)</f>
        <v>800</v>
      </c>
    </row>
    <row r="208" spans="1:11" x14ac:dyDescent="0.35">
      <c r="A208" t="s">
        <v>361</v>
      </c>
      <c r="B208" s="1">
        <v>45995</v>
      </c>
      <c r="C208" t="s">
        <v>90</v>
      </c>
      <c r="D208">
        <v>17</v>
      </c>
      <c r="E208" t="s">
        <v>22</v>
      </c>
      <c r="F208" t="s">
        <v>18</v>
      </c>
      <c r="G208" t="s">
        <v>362</v>
      </c>
      <c r="H208">
        <v>30</v>
      </c>
      <c r="I208" t="s">
        <v>14</v>
      </c>
      <c r="J208" t="str">
        <f>_xlfn.XLOOKUP(C208,'product_masterlist(ifs)'!A:A,'product_masterlist(ifs)'!C:C,"N/A",0)</f>
        <v>Frames</v>
      </c>
      <c r="K208">
        <f>VLOOKUP(C208,'product_masterlist(ifs)'!A:I,7,FALSE)</f>
        <v>180</v>
      </c>
    </row>
    <row r="209" spans="1:11" x14ac:dyDescent="0.35">
      <c r="A209" t="s">
        <v>363</v>
      </c>
      <c r="B209" t="s">
        <v>364</v>
      </c>
      <c r="C209" t="s">
        <v>42</v>
      </c>
      <c r="D209">
        <v>10</v>
      </c>
      <c r="E209" t="s">
        <v>37</v>
      </c>
      <c r="F209" t="s">
        <v>23</v>
      </c>
      <c r="G209">
        <v>250</v>
      </c>
      <c r="H209">
        <v>21</v>
      </c>
      <c r="I209" t="s">
        <v>14</v>
      </c>
      <c r="J209" t="str">
        <f>_xlfn.XLOOKUP(C209,'product_masterlist(ifs)'!A:A,'product_masterlist(ifs)'!C:C,"N/A",0)</f>
        <v>Contact Lenses</v>
      </c>
      <c r="K209">
        <f>VLOOKUP(C209,'product_masterlist(ifs)'!A:I,7,FALSE)</f>
        <v>120</v>
      </c>
    </row>
    <row r="210" spans="1:11" x14ac:dyDescent="0.35">
      <c r="A210" t="s">
        <v>365</v>
      </c>
      <c r="B210" s="1">
        <v>45725</v>
      </c>
      <c r="C210" t="s">
        <v>26</v>
      </c>
      <c r="D210">
        <v>21</v>
      </c>
      <c r="E210" t="s">
        <v>37</v>
      </c>
      <c r="F210" t="s">
        <v>13</v>
      </c>
      <c r="G210" t="s">
        <v>366</v>
      </c>
      <c r="H210">
        <v>14</v>
      </c>
      <c r="I210" t="s">
        <v>28</v>
      </c>
      <c r="J210" t="str">
        <f>_xlfn.XLOOKUP(C210,'product_masterlist(ifs)'!A:A,'product_masterlist(ifs)'!C:C,"N/A",0)</f>
        <v>Contact Lenses</v>
      </c>
      <c r="K210">
        <f>VLOOKUP(C210,'product_masterlist(ifs)'!A:I,7,FALSE)</f>
        <v>450</v>
      </c>
    </row>
    <row r="211" spans="1:11" x14ac:dyDescent="0.35">
      <c r="A211" t="s">
        <v>367</v>
      </c>
      <c r="B211" s="1">
        <v>45668</v>
      </c>
      <c r="C211" t="s">
        <v>53</v>
      </c>
      <c r="D211">
        <v>13</v>
      </c>
      <c r="E211" t="s">
        <v>20</v>
      </c>
      <c r="F211" t="s">
        <v>18</v>
      </c>
      <c r="G211" t="s">
        <v>188</v>
      </c>
      <c r="H211">
        <v>7</v>
      </c>
      <c r="I211" t="s">
        <v>28</v>
      </c>
      <c r="J211" t="str">
        <f>_xlfn.XLOOKUP(C211,'product_masterlist(ifs)'!A:A,'product_masterlist(ifs)'!C:C,"N/A",0)</f>
        <v>Solutions</v>
      </c>
      <c r="K211">
        <f>VLOOKUP(C211,'product_masterlist(ifs)'!A:I,7,FALSE)</f>
        <v>800</v>
      </c>
    </row>
    <row r="212" spans="1:11" x14ac:dyDescent="0.35">
      <c r="A212" t="s">
        <v>368</v>
      </c>
      <c r="B212" s="1">
        <v>46003</v>
      </c>
      <c r="C212" t="s">
        <v>53</v>
      </c>
      <c r="D212">
        <v>6</v>
      </c>
      <c r="E212" t="s">
        <v>22</v>
      </c>
      <c r="F212" t="s">
        <v>13</v>
      </c>
      <c r="G212" t="s">
        <v>369</v>
      </c>
      <c r="H212">
        <v>7</v>
      </c>
      <c r="I212" t="s">
        <v>28</v>
      </c>
      <c r="J212" t="str">
        <f>_xlfn.XLOOKUP(C212,'product_masterlist(ifs)'!A:A,'product_masterlist(ifs)'!C:C,"N/A",0)</f>
        <v>Solutions</v>
      </c>
      <c r="K212">
        <f>VLOOKUP(C212,'product_masterlist(ifs)'!A:I,7,FALSE)</f>
        <v>800</v>
      </c>
    </row>
    <row r="213" spans="1:11" x14ac:dyDescent="0.35">
      <c r="A213" t="s">
        <v>370</v>
      </c>
      <c r="B213" s="1">
        <v>45844</v>
      </c>
      <c r="C213" t="s">
        <v>53</v>
      </c>
      <c r="D213">
        <v>6</v>
      </c>
      <c r="E213" t="s">
        <v>12</v>
      </c>
      <c r="F213" t="s">
        <v>23</v>
      </c>
      <c r="G213" t="s">
        <v>369</v>
      </c>
      <c r="H213">
        <v>7</v>
      </c>
      <c r="I213" t="s">
        <v>28</v>
      </c>
      <c r="J213" t="str">
        <f>_xlfn.XLOOKUP(C213,'product_masterlist(ifs)'!A:A,'product_masterlist(ifs)'!C:C,"N/A",0)</f>
        <v>Solutions</v>
      </c>
      <c r="K213">
        <f>VLOOKUP(C213,'product_masterlist(ifs)'!A:I,7,FALSE)</f>
        <v>800</v>
      </c>
    </row>
    <row r="214" spans="1:11" x14ac:dyDescent="0.35">
      <c r="A214" t="s">
        <v>371</v>
      </c>
      <c r="B214" s="1">
        <v>45784</v>
      </c>
      <c r="C214" t="s">
        <v>53</v>
      </c>
      <c r="D214">
        <v>1</v>
      </c>
      <c r="E214" t="s">
        <v>22</v>
      </c>
      <c r="F214" t="s">
        <v>13</v>
      </c>
      <c r="G214" t="s">
        <v>372</v>
      </c>
      <c r="H214">
        <v>7</v>
      </c>
      <c r="I214" t="s">
        <v>28</v>
      </c>
      <c r="J214" t="str">
        <f>_xlfn.XLOOKUP(C214,'product_masterlist(ifs)'!A:A,'product_masterlist(ifs)'!C:C,"N/A",0)</f>
        <v>Solutions</v>
      </c>
      <c r="K214">
        <f>VLOOKUP(C214,'product_masterlist(ifs)'!A:I,7,FALSE)</f>
        <v>800</v>
      </c>
    </row>
    <row r="215" spans="1:11" x14ac:dyDescent="0.35">
      <c r="A215" t="s">
        <v>373</v>
      </c>
      <c r="B215" t="s">
        <v>103</v>
      </c>
      <c r="C215" t="s">
        <v>33</v>
      </c>
      <c r="D215">
        <v>12</v>
      </c>
      <c r="E215" t="s">
        <v>37</v>
      </c>
      <c r="F215" t="s">
        <v>13</v>
      </c>
      <c r="G215">
        <v>1800</v>
      </c>
      <c r="H215">
        <v>45</v>
      </c>
      <c r="I215" t="s">
        <v>34</v>
      </c>
      <c r="J215" t="str">
        <f>_xlfn.XLOOKUP(C215,'product_masterlist(ifs)'!A:A,'product_masterlist(ifs)'!C:C,"N/A",0)</f>
        <v>Surgical</v>
      </c>
      <c r="K215">
        <f>VLOOKUP(C215,'product_masterlist(ifs)'!A:I,7,FALSE)</f>
        <v>15</v>
      </c>
    </row>
    <row r="216" spans="1:11" x14ac:dyDescent="0.35">
      <c r="A216" t="s">
        <v>374</v>
      </c>
      <c r="B216" s="1">
        <v>45849</v>
      </c>
      <c r="C216" t="s">
        <v>90</v>
      </c>
      <c r="D216">
        <v>3</v>
      </c>
      <c r="E216" t="s">
        <v>12</v>
      </c>
      <c r="F216" t="s">
        <v>31</v>
      </c>
      <c r="G216" t="s">
        <v>375</v>
      </c>
      <c r="H216">
        <v>30</v>
      </c>
      <c r="I216" t="s">
        <v>14</v>
      </c>
      <c r="J216" t="str">
        <f>_xlfn.XLOOKUP(C216,'product_masterlist(ifs)'!A:A,'product_masterlist(ifs)'!C:C,"N/A",0)</f>
        <v>Frames</v>
      </c>
      <c r="K216">
        <f>VLOOKUP(C216,'product_masterlist(ifs)'!A:I,7,FALSE)</f>
        <v>180</v>
      </c>
    </row>
    <row r="217" spans="1:11" x14ac:dyDescent="0.35">
      <c r="A217" t="s">
        <v>376</v>
      </c>
      <c r="B217" s="1">
        <v>45902</v>
      </c>
      <c r="C217" t="s">
        <v>26</v>
      </c>
      <c r="D217">
        <v>9</v>
      </c>
      <c r="E217" t="s">
        <v>20</v>
      </c>
      <c r="F217" t="s">
        <v>23</v>
      </c>
      <c r="G217" t="s">
        <v>170</v>
      </c>
      <c r="H217">
        <v>14</v>
      </c>
      <c r="I217" t="s">
        <v>28</v>
      </c>
      <c r="J217" t="str">
        <f>_xlfn.XLOOKUP(C217,'product_masterlist(ifs)'!A:A,'product_masterlist(ifs)'!C:C,"N/A",0)</f>
        <v>Contact Lenses</v>
      </c>
      <c r="K217">
        <f>VLOOKUP(C217,'product_masterlist(ifs)'!A:I,7,FALSE)</f>
        <v>450</v>
      </c>
    </row>
    <row r="218" spans="1:11" x14ac:dyDescent="0.35">
      <c r="A218" t="s">
        <v>377</v>
      </c>
      <c r="B218" s="1">
        <v>46001</v>
      </c>
      <c r="C218" t="s">
        <v>17</v>
      </c>
      <c r="D218">
        <v>4</v>
      </c>
      <c r="E218" t="s">
        <v>20</v>
      </c>
      <c r="F218" t="s">
        <v>23</v>
      </c>
      <c r="G218">
        <v>180</v>
      </c>
      <c r="H218">
        <v>30</v>
      </c>
      <c r="I218" t="s">
        <v>14</v>
      </c>
      <c r="J218" t="str">
        <f>_xlfn.XLOOKUP(C218,'product_masterlist(ifs)'!A:A,'product_masterlist(ifs)'!C:C,"N/A",0)</f>
        <v>Frames</v>
      </c>
      <c r="K218">
        <f>VLOOKUP(C218,'product_masterlist(ifs)'!A:I,7,FALSE)</f>
        <v>45</v>
      </c>
    </row>
    <row r="219" spans="1:11" x14ac:dyDescent="0.35">
      <c r="A219" t="s">
        <v>378</v>
      </c>
      <c r="B219" t="s">
        <v>379</v>
      </c>
      <c r="C219" t="s">
        <v>42</v>
      </c>
      <c r="D219">
        <v>2</v>
      </c>
      <c r="E219" t="s">
        <v>12</v>
      </c>
      <c r="F219" t="s">
        <v>13</v>
      </c>
      <c r="G219">
        <v>50</v>
      </c>
      <c r="H219">
        <v>21</v>
      </c>
      <c r="I219" t="s">
        <v>14</v>
      </c>
      <c r="J219" t="str">
        <f>_xlfn.XLOOKUP(C219,'product_masterlist(ifs)'!A:A,'product_masterlist(ifs)'!C:C,"N/A",0)</f>
        <v>Contact Lenses</v>
      </c>
      <c r="K219">
        <f>VLOOKUP(C219,'product_masterlist(ifs)'!A:I,7,FALSE)</f>
        <v>120</v>
      </c>
    </row>
    <row r="220" spans="1:11" x14ac:dyDescent="0.35">
      <c r="A220" t="s">
        <v>380</v>
      </c>
      <c r="B220" t="s">
        <v>381</v>
      </c>
      <c r="C220" t="s">
        <v>42</v>
      </c>
      <c r="D220">
        <v>14</v>
      </c>
      <c r="E220" t="s">
        <v>22</v>
      </c>
      <c r="F220" t="s">
        <v>13</v>
      </c>
      <c r="G220">
        <v>350</v>
      </c>
      <c r="H220">
        <v>21</v>
      </c>
      <c r="I220" t="s">
        <v>14</v>
      </c>
      <c r="J220" t="str">
        <f>_xlfn.XLOOKUP(C220,'product_masterlist(ifs)'!A:A,'product_masterlist(ifs)'!C:C,"N/A",0)</f>
        <v>Contact Lenses</v>
      </c>
      <c r="K220">
        <f>VLOOKUP(C220,'product_masterlist(ifs)'!A:I,7,FALSE)</f>
        <v>120</v>
      </c>
    </row>
    <row r="221" spans="1:11" x14ac:dyDescent="0.35">
      <c r="A221" t="s">
        <v>382</v>
      </c>
      <c r="B221" t="s">
        <v>383</v>
      </c>
      <c r="C221" t="s">
        <v>33</v>
      </c>
      <c r="D221">
        <v>5</v>
      </c>
      <c r="E221" t="s">
        <v>20</v>
      </c>
      <c r="F221" t="s">
        <v>18</v>
      </c>
      <c r="G221">
        <v>750</v>
      </c>
      <c r="H221">
        <v>45</v>
      </c>
      <c r="I221" t="s">
        <v>34</v>
      </c>
      <c r="J221" t="str">
        <f>_xlfn.XLOOKUP(C221,'product_masterlist(ifs)'!A:A,'product_masterlist(ifs)'!C:C,"N/A",0)</f>
        <v>Surgical</v>
      </c>
      <c r="K221">
        <f>VLOOKUP(C221,'product_masterlist(ifs)'!A:I,7,FALSE)</f>
        <v>15</v>
      </c>
    </row>
    <row r="222" spans="1:11" x14ac:dyDescent="0.35">
      <c r="A222" t="s">
        <v>384</v>
      </c>
      <c r="B222" t="s">
        <v>296</v>
      </c>
      <c r="C222" t="s">
        <v>90</v>
      </c>
      <c r="D222">
        <v>22</v>
      </c>
      <c r="E222" t="s">
        <v>37</v>
      </c>
      <c r="F222" t="s">
        <v>18</v>
      </c>
      <c r="G222">
        <v>1067</v>
      </c>
      <c r="H222">
        <v>30</v>
      </c>
      <c r="I222" t="s">
        <v>14</v>
      </c>
      <c r="J222" t="str">
        <f>_xlfn.XLOOKUP(C222,'product_masterlist(ifs)'!A:A,'product_masterlist(ifs)'!C:C,"N/A",0)</f>
        <v>Frames</v>
      </c>
      <c r="K222">
        <f>VLOOKUP(C222,'product_masterlist(ifs)'!A:I,7,FALSE)</f>
        <v>180</v>
      </c>
    </row>
    <row r="223" spans="1:11" x14ac:dyDescent="0.35">
      <c r="A223" t="s">
        <v>385</v>
      </c>
      <c r="B223" s="1">
        <v>45719</v>
      </c>
      <c r="C223" t="s">
        <v>17</v>
      </c>
      <c r="D223">
        <v>24</v>
      </c>
      <c r="E223" t="s">
        <v>22</v>
      </c>
      <c r="F223" t="s">
        <v>13</v>
      </c>
      <c r="G223">
        <v>1080</v>
      </c>
      <c r="H223">
        <v>30</v>
      </c>
      <c r="I223" t="s">
        <v>14</v>
      </c>
      <c r="J223" t="str">
        <f>_xlfn.XLOOKUP(C223,'product_masterlist(ifs)'!A:A,'product_masterlist(ifs)'!C:C,"N/A",0)</f>
        <v>Frames</v>
      </c>
      <c r="K223">
        <f>VLOOKUP(C223,'product_masterlist(ifs)'!A:I,7,FALSE)</f>
        <v>45</v>
      </c>
    </row>
    <row r="224" spans="1:11" x14ac:dyDescent="0.35">
      <c r="A224" t="s">
        <v>386</v>
      </c>
      <c r="B224" t="s">
        <v>296</v>
      </c>
      <c r="C224" t="s">
        <v>90</v>
      </c>
      <c r="D224">
        <v>12</v>
      </c>
      <c r="E224" t="s">
        <v>20</v>
      </c>
      <c r="F224" t="s">
        <v>18</v>
      </c>
      <c r="G224">
        <v>582</v>
      </c>
      <c r="H224">
        <v>30</v>
      </c>
      <c r="I224" t="s">
        <v>14</v>
      </c>
      <c r="J224" t="str">
        <f>_xlfn.XLOOKUP(C224,'product_masterlist(ifs)'!A:A,'product_masterlist(ifs)'!C:C,"N/A",0)</f>
        <v>Frames</v>
      </c>
      <c r="K224">
        <f>VLOOKUP(C224,'product_masterlist(ifs)'!A:I,7,FALSE)</f>
        <v>180</v>
      </c>
    </row>
    <row r="225" spans="1:11" x14ac:dyDescent="0.35">
      <c r="A225" t="s">
        <v>387</v>
      </c>
      <c r="B225" s="1">
        <v>45785</v>
      </c>
      <c r="C225" t="s">
        <v>42</v>
      </c>
      <c r="D225">
        <v>2</v>
      </c>
      <c r="E225" t="s">
        <v>12</v>
      </c>
      <c r="F225" t="s">
        <v>31</v>
      </c>
      <c r="G225">
        <v>50</v>
      </c>
      <c r="H225">
        <v>21</v>
      </c>
      <c r="I225" t="s">
        <v>14</v>
      </c>
      <c r="J225" t="str">
        <f>_xlfn.XLOOKUP(C225,'product_masterlist(ifs)'!A:A,'product_masterlist(ifs)'!C:C,"N/A",0)</f>
        <v>Contact Lenses</v>
      </c>
      <c r="K225">
        <f>VLOOKUP(C225,'product_masterlist(ifs)'!A:I,7,FALSE)</f>
        <v>120</v>
      </c>
    </row>
    <row r="226" spans="1:11" x14ac:dyDescent="0.35">
      <c r="A226" t="s">
        <v>388</v>
      </c>
      <c r="B226" s="1">
        <v>45726</v>
      </c>
      <c r="C226" t="s">
        <v>26</v>
      </c>
      <c r="D226">
        <v>7</v>
      </c>
      <c r="E226" t="s">
        <v>22</v>
      </c>
      <c r="F226" t="s">
        <v>31</v>
      </c>
      <c r="G226" t="s">
        <v>27</v>
      </c>
      <c r="H226">
        <v>14</v>
      </c>
      <c r="I226" t="s">
        <v>28</v>
      </c>
      <c r="J226" t="str">
        <f>_xlfn.XLOOKUP(C226,'product_masterlist(ifs)'!A:A,'product_masterlist(ifs)'!C:C,"N/A",0)</f>
        <v>Contact Lenses</v>
      </c>
      <c r="K226">
        <f>VLOOKUP(C226,'product_masterlist(ifs)'!A:I,7,FALSE)</f>
        <v>450</v>
      </c>
    </row>
    <row r="227" spans="1:11" x14ac:dyDescent="0.35">
      <c r="A227" t="s">
        <v>389</v>
      </c>
      <c r="B227" s="1">
        <v>45901</v>
      </c>
      <c r="C227" t="s">
        <v>11</v>
      </c>
      <c r="D227">
        <v>1</v>
      </c>
      <c r="E227" t="s">
        <v>20</v>
      </c>
      <c r="F227" t="s">
        <v>18</v>
      </c>
      <c r="G227">
        <v>85</v>
      </c>
      <c r="H227">
        <v>30</v>
      </c>
      <c r="I227" t="s">
        <v>14</v>
      </c>
      <c r="J227" t="str">
        <f>_xlfn.XLOOKUP(C227,'product_masterlist(ifs)'!A:A,'product_masterlist(ifs)'!C:C,"N/A",0)</f>
        <v>Surgical</v>
      </c>
      <c r="K227">
        <f>VLOOKUP(C227,'product_masterlist(ifs)'!A:I,7,FALSE)</f>
        <v>40</v>
      </c>
    </row>
    <row r="228" spans="1:11" x14ac:dyDescent="0.35">
      <c r="A228" t="s">
        <v>390</v>
      </c>
      <c r="B228" s="1">
        <v>45938</v>
      </c>
      <c r="C228" t="s">
        <v>26</v>
      </c>
      <c r="D228">
        <v>16</v>
      </c>
      <c r="E228" t="s">
        <v>37</v>
      </c>
      <c r="F228" t="s">
        <v>13</v>
      </c>
      <c r="G228">
        <v>200</v>
      </c>
      <c r="H228">
        <v>14</v>
      </c>
      <c r="I228" t="s">
        <v>28</v>
      </c>
      <c r="J228" t="str">
        <f>_xlfn.XLOOKUP(C228,'product_masterlist(ifs)'!A:A,'product_masterlist(ifs)'!C:C,"N/A",0)</f>
        <v>Contact Lenses</v>
      </c>
      <c r="K228">
        <f>VLOOKUP(C228,'product_masterlist(ifs)'!A:I,7,FALSE)</f>
        <v>450</v>
      </c>
    </row>
    <row r="229" spans="1:11" x14ac:dyDescent="0.35">
      <c r="A229" t="s">
        <v>391</v>
      </c>
      <c r="B229" s="1">
        <v>45789</v>
      </c>
      <c r="C229" t="s">
        <v>26</v>
      </c>
      <c r="D229">
        <v>24</v>
      </c>
      <c r="E229" t="s">
        <v>12</v>
      </c>
      <c r="F229" t="s">
        <v>18</v>
      </c>
      <c r="G229">
        <v>300</v>
      </c>
      <c r="H229">
        <v>14</v>
      </c>
      <c r="I229" t="s">
        <v>28</v>
      </c>
      <c r="J229" t="str">
        <f>_xlfn.XLOOKUP(C229,'product_masterlist(ifs)'!A:A,'product_masterlist(ifs)'!C:C,"N/A",0)</f>
        <v>Contact Lenses</v>
      </c>
      <c r="K229">
        <f>VLOOKUP(C229,'product_masterlist(ifs)'!A:I,7,FALSE)</f>
        <v>450</v>
      </c>
    </row>
    <row r="230" spans="1:11" x14ac:dyDescent="0.35">
      <c r="A230" t="s">
        <v>392</v>
      </c>
      <c r="B230" t="s">
        <v>393</v>
      </c>
      <c r="C230" t="s">
        <v>11</v>
      </c>
      <c r="D230">
        <v>21</v>
      </c>
      <c r="E230" t="s">
        <v>12</v>
      </c>
      <c r="F230" t="s">
        <v>23</v>
      </c>
      <c r="G230">
        <v>1785</v>
      </c>
      <c r="H230">
        <v>30</v>
      </c>
      <c r="I230" t="s">
        <v>14</v>
      </c>
      <c r="J230" t="str">
        <f>_xlfn.XLOOKUP(C230,'product_masterlist(ifs)'!A:A,'product_masterlist(ifs)'!C:C,"N/A",0)</f>
        <v>Surgical</v>
      </c>
      <c r="K230">
        <f>VLOOKUP(C230,'product_masterlist(ifs)'!A:I,7,FALSE)</f>
        <v>40</v>
      </c>
    </row>
    <row r="231" spans="1:11" x14ac:dyDescent="0.35">
      <c r="A231" t="s">
        <v>394</v>
      </c>
      <c r="B231" t="s">
        <v>395</v>
      </c>
      <c r="C231" t="s">
        <v>90</v>
      </c>
      <c r="D231">
        <v>18</v>
      </c>
      <c r="E231" t="s">
        <v>37</v>
      </c>
      <c r="F231" t="s">
        <v>31</v>
      </c>
      <c r="G231">
        <v>873</v>
      </c>
      <c r="H231">
        <v>30</v>
      </c>
      <c r="I231" t="s">
        <v>14</v>
      </c>
      <c r="J231" t="str">
        <f>_xlfn.XLOOKUP(C231,'product_masterlist(ifs)'!A:A,'product_masterlist(ifs)'!C:C,"N/A",0)</f>
        <v>Frames</v>
      </c>
      <c r="K231">
        <f>VLOOKUP(C231,'product_masterlist(ifs)'!A:I,7,FALSE)</f>
        <v>180</v>
      </c>
    </row>
    <row r="232" spans="1:11" x14ac:dyDescent="0.35">
      <c r="A232" t="s">
        <v>396</v>
      </c>
      <c r="B232" s="1">
        <v>45911</v>
      </c>
      <c r="C232" t="s">
        <v>90</v>
      </c>
      <c r="D232">
        <v>11</v>
      </c>
      <c r="E232" t="s">
        <v>12</v>
      </c>
      <c r="F232" t="s">
        <v>23</v>
      </c>
      <c r="G232" t="s">
        <v>238</v>
      </c>
      <c r="H232">
        <v>30</v>
      </c>
      <c r="I232" t="s">
        <v>14</v>
      </c>
      <c r="J232" t="str">
        <f>_xlfn.XLOOKUP(C232,'product_masterlist(ifs)'!A:A,'product_masterlist(ifs)'!C:C,"N/A",0)</f>
        <v>Frames</v>
      </c>
      <c r="K232">
        <f>VLOOKUP(C232,'product_masterlist(ifs)'!A:I,7,FALSE)</f>
        <v>180</v>
      </c>
    </row>
    <row r="233" spans="1:11" x14ac:dyDescent="0.35">
      <c r="A233" t="s">
        <v>397</v>
      </c>
      <c r="B233" t="s">
        <v>398</v>
      </c>
      <c r="C233" t="s">
        <v>11</v>
      </c>
      <c r="D233">
        <v>3</v>
      </c>
      <c r="E233" t="s">
        <v>20</v>
      </c>
      <c r="F233" t="s">
        <v>31</v>
      </c>
      <c r="G233">
        <v>255</v>
      </c>
      <c r="H233">
        <v>30</v>
      </c>
      <c r="I233" t="s">
        <v>14</v>
      </c>
      <c r="J233" t="str">
        <f>_xlfn.XLOOKUP(C233,'product_masterlist(ifs)'!A:A,'product_masterlist(ifs)'!C:C,"N/A",0)</f>
        <v>Surgical</v>
      </c>
      <c r="K233">
        <f>VLOOKUP(C233,'product_masterlist(ifs)'!A:I,7,FALSE)</f>
        <v>40</v>
      </c>
    </row>
    <row r="234" spans="1:11" x14ac:dyDescent="0.35">
      <c r="A234" t="s">
        <v>399</v>
      </c>
      <c r="B234" t="s">
        <v>312</v>
      </c>
      <c r="C234" t="s">
        <v>33</v>
      </c>
      <c r="D234">
        <v>4</v>
      </c>
      <c r="E234" t="s">
        <v>37</v>
      </c>
      <c r="F234" t="s">
        <v>13</v>
      </c>
      <c r="G234">
        <v>600</v>
      </c>
      <c r="H234">
        <v>45</v>
      </c>
      <c r="I234" t="s">
        <v>34</v>
      </c>
      <c r="J234" t="str">
        <f>_xlfn.XLOOKUP(C234,'product_masterlist(ifs)'!A:A,'product_masterlist(ifs)'!C:C,"N/A",0)</f>
        <v>Surgical</v>
      </c>
      <c r="K234">
        <f>VLOOKUP(C234,'product_masterlist(ifs)'!A:I,7,FALSE)</f>
        <v>15</v>
      </c>
    </row>
    <row r="235" spans="1:11" x14ac:dyDescent="0.35">
      <c r="A235" t="s">
        <v>400</v>
      </c>
      <c r="B235" s="1">
        <v>45782</v>
      </c>
      <c r="C235" t="s">
        <v>17</v>
      </c>
      <c r="D235">
        <v>6</v>
      </c>
      <c r="E235" t="s">
        <v>22</v>
      </c>
      <c r="F235" t="s">
        <v>13</v>
      </c>
      <c r="G235">
        <v>270</v>
      </c>
      <c r="H235">
        <v>30</v>
      </c>
      <c r="I235" t="s">
        <v>14</v>
      </c>
      <c r="J235" t="str">
        <f>_xlfn.XLOOKUP(C235,'product_masterlist(ifs)'!A:A,'product_masterlist(ifs)'!C:C,"N/A",0)</f>
        <v>Frames</v>
      </c>
      <c r="K235">
        <f>VLOOKUP(C235,'product_masterlist(ifs)'!A:I,7,FALSE)</f>
        <v>45</v>
      </c>
    </row>
    <row r="236" spans="1:11" x14ac:dyDescent="0.35">
      <c r="A236" t="s">
        <v>401</v>
      </c>
      <c r="B236" s="1">
        <v>45691</v>
      </c>
      <c r="C236" t="s">
        <v>17</v>
      </c>
      <c r="D236">
        <v>15</v>
      </c>
      <c r="E236" t="s">
        <v>37</v>
      </c>
      <c r="F236" t="s">
        <v>18</v>
      </c>
      <c r="G236">
        <v>675</v>
      </c>
      <c r="H236">
        <v>30</v>
      </c>
      <c r="I236" t="s">
        <v>14</v>
      </c>
      <c r="J236" t="str">
        <f>_xlfn.XLOOKUP(C236,'product_masterlist(ifs)'!A:A,'product_masterlist(ifs)'!C:C,"N/A",0)</f>
        <v>Frames</v>
      </c>
      <c r="K236">
        <f>VLOOKUP(C236,'product_masterlist(ifs)'!A:I,7,FALSE)</f>
        <v>45</v>
      </c>
    </row>
    <row r="237" spans="1:11" x14ac:dyDescent="0.35">
      <c r="A237" t="s">
        <v>402</v>
      </c>
      <c r="B237" t="s">
        <v>403</v>
      </c>
      <c r="C237" t="s">
        <v>53</v>
      </c>
      <c r="D237">
        <v>20</v>
      </c>
      <c r="E237" t="s">
        <v>37</v>
      </c>
      <c r="F237" t="s">
        <v>31</v>
      </c>
      <c r="G237">
        <v>85</v>
      </c>
      <c r="H237">
        <v>7</v>
      </c>
      <c r="I237" t="s">
        <v>28</v>
      </c>
      <c r="J237" t="str">
        <f>_xlfn.XLOOKUP(C237,'product_masterlist(ifs)'!A:A,'product_masterlist(ifs)'!C:C,"N/A",0)</f>
        <v>Solutions</v>
      </c>
      <c r="K237">
        <f>VLOOKUP(C237,'product_masterlist(ifs)'!A:I,7,FALSE)</f>
        <v>800</v>
      </c>
    </row>
    <row r="238" spans="1:11" x14ac:dyDescent="0.35">
      <c r="A238" t="s">
        <v>404</v>
      </c>
      <c r="B238" t="s">
        <v>205</v>
      </c>
      <c r="C238" t="s">
        <v>90</v>
      </c>
      <c r="D238">
        <v>18</v>
      </c>
      <c r="E238" t="s">
        <v>20</v>
      </c>
      <c r="F238" t="s">
        <v>18</v>
      </c>
      <c r="G238">
        <v>873</v>
      </c>
      <c r="H238">
        <v>30</v>
      </c>
      <c r="I238" t="s">
        <v>14</v>
      </c>
      <c r="J238" t="str">
        <f>_xlfn.XLOOKUP(C238,'product_masterlist(ifs)'!A:A,'product_masterlist(ifs)'!C:C,"N/A",0)</f>
        <v>Frames</v>
      </c>
      <c r="K238">
        <f>VLOOKUP(C238,'product_masterlist(ifs)'!A:I,7,FALSE)</f>
        <v>180</v>
      </c>
    </row>
    <row r="239" spans="1:11" x14ac:dyDescent="0.35">
      <c r="A239" t="s">
        <v>405</v>
      </c>
      <c r="B239" t="s">
        <v>406</v>
      </c>
      <c r="C239" t="s">
        <v>90</v>
      </c>
      <c r="D239">
        <v>8</v>
      </c>
      <c r="E239" t="s">
        <v>20</v>
      </c>
      <c r="F239" t="s">
        <v>13</v>
      </c>
      <c r="G239">
        <v>388</v>
      </c>
      <c r="H239">
        <v>30</v>
      </c>
      <c r="I239" t="s">
        <v>14</v>
      </c>
      <c r="J239" t="str">
        <f>_xlfn.XLOOKUP(C239,'product_masterlist(ifs)'!A:A,'product_masterlist(ifs)'!C:C,"N/A",0)</f>
        <v>Frames</v>
      </c>
      <c r="K239">
        <f>VLOOKUP(C239,'product_masterlist(ifs)'!A:I,7,FALSE)</f>
        <v>180</v>
      </c>
    </row>
    <row r="240" spans="1:11" x14ac:dyDescent="0.35">
      <c r="A240" t="s">
        <v>407</v>
      </c>
      <c r="B240" t="s">
        <v>408</v>
      </c>
      <c r="C240" t="s">
        <v>53</v>
      </c>
      <c r="D240">
        <v>19</v>
      </c>
      <c r="E240" t="s">
        <v>20</v>
      </c>
      <c r="F240" t="s">
        <v>23</v>
      </c>
      <c r="G240" t="s">
        <v>54</v>
      </c>
      <c r="H240">
        <v>7</v>
      </c>
      <c r="I240" t="s">
        <v>28</v>
      </c>
      <c r="J240" t="str">
        <f>_xlfn.XLOOKUP(C240,'product_masterlist(ifs)'!A:A,'product_masterlist(ifs)'!C:C,"N/A",0)</f>
        <v>Solutions</v>
      </c>
      <c r="K240">
        <f>VLOOKUP(C240,'product_masterlist(ifs)'!A:I,7,FALSE)</f>
        <v>800</v>
      </c>
    </row>
    <row r="241" spans="1:11" x14ac:dyDescent="0.35">
      <c r="A241" t="s">
        <v>409</v>
      </c>
      <c r="B241" s="1">
        <v>45871</v>
      </c>
      <c r="C241" t="s">
        <v>33</v>
      </c>
      <c r="D241">
        <v>17</v>
      </c>
      <c r="E241" t="s">
        <v>20</v>
      </c>
      <c r="F241" t="s">
        <v>31</v>
      </c>
      <c r="G241">
        <v>2550</v>
      </c>
      <c r="H241">
        <v>45</v>
      </c>
      <c r="I241" t="s">
        <v>34</v>
      </c>
      <c r="J241" t="str">
        <f>_xlfn.XLOOKUP(C241,'product_masterlist(ifs)'!A:A,'product_masterlist(ifs)'!C:C,"N/A",0)</f>
        <v>Surgical</v>
      </c>
      <c r="K241">
        <f>VLOOKUP(C241,'product_masterlist(ifs)'!A:I,7,FALSE)</f>
        <v>15</v>
      </c>
    </row>
    <row r="242" spans="1:11" x14ac:dyDescent="0.35">
      <c r="A242" t="s">
        <v>410</v>
      </c>
      <c r="B242" s="1">
        <v>45968</v>
      </c>
      <c r="C242" t="s">
        <v>42</v>
      </c>
      <c r="D242">
        <v>18</v>
      </c>
      <c r="E242" t="s">
        <v>12</v>
      </c>
      <c r="F242" t="s">
        <v>13</v>
      </c>
      <c r="G242">
        <v>450</v>
      </c>
      <c r="H242">
        <v>21</v>
      </c>
      <c r="I242" t="s">
        <v>14</v>
      </c>
      <c r="J242" t="str">
        <f>_xlfn.XLOOKUP(C242,'product_masterlist(ifs)'!A:A,'product_masterlist(ifs)'!C:C,"N/A",0)</f>
        <v>Contact Lenses</v>
      </c>
      <c r="K242">
        <f>VLOOKUP(C242,'product_masterlist(ifs)'!A:I,7,FALSE)</f>
        <v>120</v>
      </c>
    </row>
    <row r="243" spans="1:11" x14ac:dyDescent="0.35">
      <c r="A243" t="s">
        <v>411</v>
      </c>
      <c r="B243" s="1">
        <v>45909</v>
      </c>
      <c r="C243" t="s">
        <v>26</v>
      </c>
      <c r="D243">
        <v>22</v>
      </c>
      <c r="E243" t="s">
        <v>37</v>
      </c>
      <c r="F243" t="s">
        <v>23</v>
      </c>
      <c r="G243">
        <v>275</v>
      </c>
      <c r="H243">
        <v>14</v>
      </c>
      <c r="I243" t="s">
        <v>28</v>
      </c>
      <c r="J243" t="str">
        <f>_xlfn.XLOOKUP(C243,'product_masterlist(ifs)'!A:A,'product_masterlist(ifs)'!C:C,"N/A",0)</f>
        <v>Contact Lenses</v>
      </c>
      <c r="K243">
        <f>VLOOKUP(C243,'product_masterlist(ifs)'!A:I,7,FALSE)</f>
        <v>450</v>
      </c>
    </row>
    <row r="244" spans="1:11" x14ac:dyDescent="0.35">
      <c r="A244" t="s">
        <v>412</v>
      </c>
      <c r="B244" s="1">
        <v>45692</v>
      </c>
      <c r="C244" t="s">
        <v>90</v>
      </c>
      <c r="D244">
        <v>25</v>
      </c>
      <c r="E244" t="s">
        <v>12</v>
      </c>
      <c r="F244" t="s">
        <v>13</v>
      </c>
      <c r="G244" t="s">
        <v>308</v>
      </c>
      <c r="H244">
        <v>30</v>
      </c>
      <c r="I244" t="s">
        <v>14</v>
      </c>
      <c r="J244" t="str">
        <f>_xlfn.XLOOKUP(C244,'product_masterlist(ifs)'!A:A,'product_masterlist(ifs)'!C:C,"N/A",0)</f>
        <v>Frames</v>
      </c>
      <c r="K244">
        <f>VLOOKUP(C244,'product_masterlist(ifs)'!A:I,7,FALSE)</f>
        <v>180</v>
      </c>
    </row>
    <row r="245" spans="1:11" x14ac:dyDescent="0.35">
      <c r="A245" t="s">
        <v>413</v>
      </c>
      <c r="B245" t="s">
        <v>414</v>
      </c>
      <c r="C245" t="s">
        <v>42</v>
      </c>
      <c r="D245">
        <v>17</v>
      </c>
      <c r="E245" t="s">
        <v>20</v>
      </c>
      <c r="F245" t="s">
        <v>13</v>
      </c>
      <c r="G245">
        <v>425</v>
      </c>
      <c r="H245">
        <v>21</v>
      </c>
      <c r="I245" t="s">
        <v>14</v>
      </c>
      <c r="J245" t="str">
        <f>_xlfn.XLOOKUP(C245,'product_masterlist(ifs)'!A:A,'product_masterlist(ifs)'!C:C,"N/A",0)</f>
        <v>Contact Lenses</v>
      </c>
      <c r="K245">
        <f>VLOOKUP(C245,'product_masterlist(ifs)'!A:I,7,FALSE)</f>
        <v>120</v>
      </c>
    </row>
    <row r="246" spans="1:11" x14ac:dyDescent="0.35">
      <c r="A246" t="s">
        <v>415</v>
      </c>
      <c r="B246" s="1">
        <v>45972</v>
      </c>
      <c r="C246" t="s">
        <v>26</v>
      </c>
      <c r="D246">
        <v>3</v>
      </c>
      <c r="E246" t="s">
        <v>12</v>
      </c>
      <c r="F246" t="s">
        <v>18</v>
      </c>
      <c r="G246" t="s">
        <v>40</v>
      </c>
      <c r="H246">
        <v>14</v>
      </c>
      <c r="I246" t="s">
        <v>28</v>
      </c>
      <c r="J246" t="str">
        <f>_xlfn.XLOOKUP(C246,'product_masterlist(ifs)'!A:A,'product_masterlist(ifs)'!C:C,"N/A",0)</f>
        <v>Contact Lenses</v>
      </c>
      <c r="K246">
        <f>VLOOKUP(C246,'product_masterlist(ifs)'!A:I,7,FALSE)</f>
        <v>450</v>
      </c>
    </row>
    <row r="247" spans="1:11" x14ac:dyDescent="0.35">
      <c r="A247" t="s">
        <v>416</v>
      </c>
      <c r="B247" t="s">
        <v>417</v>
      </c>
      <c r="C247" t="s">
        <v>90</v>
      </c>
      <c r="D247">
        <v>15</v>
      </c>
      <c r="E247" t="s">
        <v>22</v>
      </c>
      <c r="F247" t="s">
        <v>23</v>
      </c>
      <c r="G247" t="s">
        <v>250</v>
      </c>
      <c r="H247">
        <v>30</v>
      </c>
      <c r="I247" t="s">
        <v>14</v>
      </c>
      <c r="J247" t="str">
        <f>_xlfn.XLOOKUP(C247,'product_masterlist(ifs)'!A:A,'product_masterlist(ifs)'!C:C,"N/A",0)</f>
        <v>Frames</v>
      </c>
      <c r="K247">
        <f>VLOOKUP(C247,'product_masterlist(ifs)'!A:I,7,FALSE)</f>
        <v>180</v>
      </c>
    </row>
    <row r="248" spans="1:11" x14ac:dyDescent="0.35">
      <c r="A248" t="s">
        <v>418</v>
      </c>
      <c r="B248" t="s">
        <v>419</v>
      </c>
      <c r="C248" t="s">
        <v>11</v>
      </c>
      <c r="D248">
        <v>16</v>
      </c>
      <c r="E248" t="s">
        <v>22</v>
      </c>
      <c r="F248" t="s">
        <v>31</v>
      </c>
      <c r="G248">
        <v>1360</v>
      </c>
      <c r="H248">
        <v>30</v>
      </c>
      <c r="I248" t="s">
        <v>14</v>
      </c>
      <c r="J248" t="str">
        <f>_xlfn.XLOOKUP(C248,'product_masterlist(ifs)'!A:A,'product_masterlist(ifs)'!C:C,"N/A",0)</f>
        <v>Surgical</v>
      </c>
      <c r="K248">
        <f>VLOOKUP(C248,'product_masterlist(ifs)'!A:I,7,FALSE)</f>
        <v>40</v>
      </c>
    </row>
    <row r="249" spans="1:11" x14ac:dyDescent="0.35">
      <c r="A249" t="s">
        <v>420</v>
      </c>
      <c r="B249" s="1">
        <v>45664</v>
      </c>
      <c r="C249" t="s">
        <v>53</v>
      </c>
      <c r="D249">
        <v>22</v>
      </c>
      <c r="E249" t="s">
        <v>37</v>
      </c>
      <c r="F249" t="s">
        <v>18</v>
      </c>
      <c r="G249" t="s">
        <v>176</v>
      </c>
      <c r="H249">
        <v>7</v>
      </c>
      <c r="I249" t="s">
        <v>28</v>
      </c>
      <c r="J249" t="str">
        <f>_xlfn.XLOOKUP(C249,'product_masterlist(ifs)'!A:A,'product_masterlist(ifs)'!C:C,"N/A",0)</f>
        <v>Solutions</v>
      </c>
      <c r="K249">
        <f>VLOOKUP(C249,'product_masterlist(ifs)'!A:I,7,FALSE)</f>
        <v>800</v>
      </c>
    </row>
    <row r="250" spans="1:11" x14ac:dyDescent="0.35">
      <c r="A250" t="s">
        <v>421</v>
      </c>
      <c r="B250" t="s">
        <v>393</v>
      </c>
      <c r="C250" t="s">
        <v>42</v>
      </c>
      <c r="D250">
        <v>7</v>
      </c>
      <c r="E250" t="s">
        <v>20</v>
      </c>
      <c r="F250" t="s">
        <v>31</v>
      </c>
      <c r="G250">
        <v>175</v>
      </c>
      <c r="H250">
        <v>21</v>
      </c>
      <c r="I250" t="s">
        <v>14</v>
      </c>
      <c r="J250" t="str">
        <f>_xlfn.XLOOKUP(C250,'product_masterlist(ifs)'!A:A,'product_masterlist(ifs)'!C:C,"N/A",0)</f>
        <v>Contact Lenses</v>
      </c>
      <c r="K250">
        <f>VLOOKUP(C250,'product_masterlist(ifs)'!A:I,7,FALSE)</f>
        <v>120</v>
      </c>
    </row>
    <row r="251" spans="1:11" x14ac:dyDescent="0.35">
      <c r="A251" t="s">
        <v>422</v>
      </c>
      <c r="B251" s="1">
        <v>45934</v>
      </c>
      <c r="C251" t="s">
        <v>53</v>
      </c>
      <c r="D251">
        <v>3</v>
      </c>
      <c r="E251" t="s">
        <v>20</v>
      </c>
      <c r="F251" t="s">
        <v>13</v>
      </c>
      <c r="G251" t="s">
        <v>278</v>
      </c>
      <c r="H251">
        <v>7</v>
      </c>
      <c r="I251" t="s">
        <v>28</v>
      </c>
      <c r="J251" t="str">
        <f>_xlfn.XLOOKUP(C251,'product_masterlist(ifs)'!A:A,'product_masterlist(ifs)'!C:C,"N/A",0)</f>
        <v>Solutions</v>
      </c>
      <c r="K251">
        <f>VLOOKUP(C251,'product_masterlist(ifs)'!A:I,7,FALSE)</f>
        <v>800</v>
      </c>
    </row>
    <row r="252" spans="1:11" x14ac:dyDescent="0.35">
      <c r="A252" t="s">
        <v>423</v>
      </c>
      <c r="B252" s="1">
        <v>45717</v>
      </c>
      <c r="C252" t="s">
        <v>90</v>
      </c>
      <c r="D252">
        <v>6</v>
      </c>
      <c r="E252" t="s">
        <v>20</v>
      </c>
      <c r="F252" t="s">
        <v>31</v>
      </c>
      <c r="G252">
        <v>291</v>
      </c>
      <c r="H252">
        <v>30</v>
      </c>
      <c r="I252" t="s">
        <v>14</v>
      </c>
      <c r="J252" t="str">
        <f>_xlfn.XLOOKUP(C252,'product_masterlist(ifs)'!A:A,'product_masterlist(ifs)'!C:C,"N/A",0)</f>
        <v>Frames</v>
      </c>
      <c r="K252">
        <f>VLOOKUP(C252,'product_masterlist(ifs)'!A:I,7,FALSE)</f>
        <v>180</v>
      </c>
    </row>
    <row r="253" spans="1:11" x14ac:dyDescent="0.35">
      <c r="A253" t="s">
        <v>424</v>
      </c>
      <c r="B253" s="1">
        <v>45871</v>
      </c>
      <c r="C253" t="s">
        <v>53</v>
      </c>
      <c r="D253">
        <v>10</v>
      </c>
      <c r="E253" t="s">
        <v>20</v>
      </c>
      <c r="F253" t="s">
        <v>31</v>
      </c>
      <c r="G253" t="s">
        <v>95</v>
      </c>
      <c r="H253">
        <v>7</v>
      </c>
      <c r="I253" t="s">
        <v>28</v>
      </c>
      <c r="J253" t="str">
        <f>_xlfn.XLOOKUP(C253,'product_masterlist(ifs)'!A:A,'product_masterlist(ifs)'!C:C,"N/A",0)</f>
        <v>Solutions</v>
      </c>
      <c r="K253">
        <f>VLOOKUP(C253,'product_masterlist(ifs)'!A:I,7,FALSE)</f>
        <v>800</v>
      </c>
    </row>
    <row r="254" spans="1:11" x14ac:dyDescent="0.35">
      <c r="A254" t="s">
        <v>425</v>
      </c>
      <c r="B254" s="1">
        <v>45996</v>
      </c>
      <c r="C254" t="s">
        <v>11</v>
      </c>
      <c r="D254">
        <v>2</v>
      </c>
      <c r="E254" t="s">
        <v>22</v>
      </c>
      <c r="F254" t="s">
        <v>18</v>
      </c>
      <c r="G254">
        <v>170</v>
      </c>
      <c r="H254">
        <v>30</v>
      </c>
      <c r="I254" t="s">
        <v>14</v>
      </c>
      <c r="J254" t="str">
        <f>_xlfn.XLOOKUP(C254,'product_masterlist(ifs)'!A:A,'product_masterlist(ifs)'!C:C,"N/A",0)</f>
        <v>Surgical</v>
      </c>
      <c r="K254">
        <f>VLOOKUP(C254,'product_masterlist(ifs)'!A:I,7,FALSE)</f>
        <v>40</v>
      </c>
    </row>
    <row r="255" spans="1:11" x14ac:dyDescent="0.35">
      <c r="A255" t="s">
        <v>426</v>
      </c>
      <c r="B255" s="1">
        <v>45965</v>
      </c>
      <c r="C255" t="s">
        <v>17</v>
      </c>
      <c r="D255">
        <v>10</v>
      </c>
      <c r="E255" t="s">
        <v>37</v>
      </c>
      <c r="F255" t="s">
        <v>23</v>
      </c>
      <c r="G255">
        <v>450</v>
      </c>
      <c r="H255">
        <v>30</v>
      </c>
      <c r="I255" t="s">
        <v>14</v>
      </c>
      <c r="J255" t="str">
        <f>_xlfn.XLOOKUP(C255,'product_masterlist(ifs)'!A:A,'product_masterlist(ifs)'!C:C,"N/A",0)</f>
        <v>Frames</v>
      </c>
      <c r="K255">
        <f>VLOOKUP(C255,'product_masterlist(ifs)'!A:I,7,FALSE)</f>
        <v>45</v>
      </c>
    </row>
    <row r="256" spans="1:11" x14ac:dyDescent="0.35">
      <c r="A256" t="s">
        <v>427</v>
      </c>
      <c r="B256" s="1">
        <v>45666</v>
      </c>
      <c r="C256" t="s">
        <v>17</v>
      </c>
      <c r="D256">
        <v>6</v>
      </c>
      <c r="E256" t="s">
        <v>20</v>
      </c>
      <c r="F256" t="s">
        <v>13</v>
      </c>
      <c r="G256">
        <v>270</v>
      </c>
      <c r="H256">
        <v>30</v>
      </c>
      <c r="I256" t="s">
        <v>14</v>
      </c>
      <c r="J256" t="str">
        <f>_xlfn.XLOOKUP(C256,'product_masterlist(ifs)'!A:A,'product_masterlist(ifs)'!C:C,"N/A",0)</f>
        <v>Frames</v>
      </c>
      <c r="K256">
        <f>VLOOKUP(C256,'product_masterlist(ifs)'!A:I,7,FALSE)</f>
        <v>45</v>
      </c>
    </row>
    <row r="257" spans="1:11" x14ac:dyDescent="0.35">
      <c r="A257" t="s">
        <v>428</v>
      </c>
      <c r="B257" s="1">
        <v>45999</v>
      </c>
      <c r="C257" t="s">
        <v>17</v>
      </c>
      <c r="D257">
        <v>21</v>
      </c>
      <c r="E257" t="s">
        <v>37</v>
      </c>
      <c r="F257" t="s">
        <v>18</v>
      </c>
      <c r="G257">
        <v>945</v>
      </c>
      <c r="H257">
        <v>30</v>
      </c>
      <c r="I257" t="s">
        <v>14</v>
      </c>
      <c r="J257" t="str">
        <f>_xlfn.XLOOKUP(C257,'product_masterlist(ifs)'!A:A,'product_masterlist(ifs)'!C:C,"N/A",0)</f>
        <v>Frames</v>
      </c>
      <c r="K257">
        <f>VLOOKUP(C257,'product_masterlist(ifs)'!A:I,7,FALSE)</f>
        <v>45</v>
      </c>
    </row>
    <row r="258" spans="1:11" x14ac:dyDescent="0.35">
      <c r="A258" t="s">
        <v>429</v>
      </c>
      <c r="B258" t="s">
        <v>430</v>
      </c>
      <c r="C258" t="s">
        <v>33</v>
      </c>
      <c r="D258">
        <v>3</v>
      </c>
      <c r="E258" t="s">
        <v>37</v>
      </c>
      <c r="F258" t="s">
        <v>31</v>
      </c>
      <c r="G258">
        <v>450</v>
      </c>
      <c r="H258">
        <v>45</v>
      </c>
      <c r="I258" t="s">
        <v>34</v>
      </c>
      <c r="J258" t="str">
        <f>_xlfn.XLOOKUP(C258,'product_masterlist(ifs)'!A:A,'product_masterlist(ifs)'!C:C,"N/A",0)</f>
        <v>Surgical</v>
      </c>
      <c r="K258">
        <f>VLOOKUP(C258,'product_masterlist(ifs)'!A:I,7,FALSE)</f>
        <v>15</v>
      </c>
    </row>
    <row r="259" spans="1:11" x14ac:dyDescent="0.35">
      <c r="A259" t="s">
        <v>431</v>
      </c>
      <c r="B259" t="s">
        <v>129</v>
      </c>
      <c r="C259" t="s">
        <v>33</v>
      </c>
      <c r="D259">
        <v>13</v>
      </c>
      <c r="E259" t="s">
        <v>22</v>
      </c>
      <c r="F259" t="s">
        <v>18</v>
      </c>
      <c r="G259">
        <v>1950</v>
      </c>
      <c r="H259">
        <v>45</v>
      </c>
      <c r="I259" t="s">
        <v>34</v>
      </c>
      <c r="J259" t="str">
        <f>_xlfn.XLOOKUP(C259,'product_masterlist(ifs)'!A:A,'product_masterlist(ifs)'!C:C,"N/A",0)</f>
        <v>Surgical</v>
      </c>
      <c r="K259">
        <f>VLOOKUP(C259,'product_masterlist(ifs)'!A:I,7,FALSE)</f>
        <v>15</v>
      </c>
    </row>
    <row r="260" spans="1:11" x14ac:dyDescent="0.35">
      <c r="A260" t="s">
        <v>432</v>
      </c>
      <c r="B260" s="1">
        <v>45697</v>
      </c>
      <c r="C260" t="s">
        <v>42</v>
      </c>
      <c r="D260">
        <v>25</v>
      </c>
      <c r="E260" t="s">
        <v>12</v>
      </c>
      <c r="F260" t="s">
        <v>13</v>
      </c>
      <c r="G260">
        <v>625</v>
      </c>
      <c r="H260">
        <v>21</v>
      </c>
      <c r="I260" t="s">
        <v>14</v>
      </c>
      <c r="J260" t="str">
        <f>_xlfn.XLOOKUP(C260,'product_masterlist(ifs)'!A:A,'product_masterlist(ifs)'!C:C,"N/A",0)</f>
        <v>Contact Lenses</v>
      </c>
      <c r="K260">
        <f>VLOOKUP(C260,'product_masterlist(ifs)'!A:I,7,FALSE)</f>
        <v>120</v>
      </c>
    </row>
    <row r="261" spans="1:11" x14ac:dyDescent="0.35">
      <c r="A261" t="s">
        <v>433</v>
      </c>
      <c r="B261" t="s">
        <v>393</v>
      </c>
      <c r="C261" t="s">
        <v>42</v>
      </c>
      <c r="D261">
        <v>4</v>
      </c>
      <c r="E261" t="s">
        <v>12</v>
      </c>
      <c r="F261" t="s">
        <v>13</v>
      </c>
      <c r="G261">
        <v>100</v>
      </c>
      <c r="H261">
        <v>21</v>
      </c>
      <c r="I261" t="s">
        <v>14</v>
      </c>
      <c r="J261" t="str">
        <f>_xlfn.XLOOKUP(C261,'product_masterlist(ifs)'!A:A,'product_masterlist(ifs)'!C:C,"N/A",0)</f>
        <v>Contact Lenses</v>
      </c>
      <c r="K261">
        <f>VLOOKUP(C261,'product_masterlist(ifs)'!A:I,7,FALSE)</f>
        <v>120</v>
      </c>
    </row>
    <row r="262" spans="1:11" x14ac:dyDescent="0.35">
      <c r="A262" t="s">
        <v>434</v>
      </c>
      <c r="B262" s="1">
        <v>45964</v>
      </c>
      <c r="C262" t="s">
        <v>26</v>
      </c>
      <c r="D262">
        <v>14</v>
      </c>
      <c r="E262" t="s">
        <v>37</v>
      </c>
      <c r="F262" t="s">
        <v>18</v>
      </c>
      <c r="G262">
        <v>175</v>
      </c>
      <c r="H262">
        <v>14</v>
      </c>
      <c r="I262" t="s">
        <v>28</v>
      </c>
      <c r="J262" t="str">
        <f>_xlfn.XLOOKUP(C262,'product_masterlist(ifs)'!A:A,'product_masterlist(ifs)'!C:C,"N/A",0)</f>
        <v>Contact Lenses</v>
      </c>
      <c r="K262">
        <f>VLOOKUP(C262,'product_masterlist(ifs)'!A:I,7,FALSE)</f>
        <v>450</v>
      </c>
    </row>
    <row r="263" spans="1:11" x14ac:dyDescent="0.35">
      <c r="A263" t="s">
        <v>435</v>
      </c>
      <c r="B263" t="s">
        <v>436</v>
      </c>
      <c r="C263" t="s">
        <v>26</v>
      </c>
      <c r="D263">
        <v>13</v>
      </c>
      <c r="E263" t="s">
        <v>37</v>
      </c>
      <c r="F263" t="s">
        <v>23</v>
      </c>
      <c r="G263" t="s">
        <v>437</v>
      </c>
      <c r="H263">
        <v>14</v>
      </c>
      <c r="I263" t="s">
        <v>28</v>
      </c>
      <c r="J263" t="str">
        <f>_xlfn.XLOOKUP(C263,'product_masterlist(ifs)'!A:A,'product_masterlist(ifs)'!C:C,"N/A",0)</f>
        <v>Contact Lenses</v>
      </c>
      <c r="K263">
        <f>VLOOKUP(C263,'product_masterlist(ifs)'!A:I,7,FALSE)</f>
        <v>450</v>
      </c>
    </row>
    <row r="264" spans="1:11" x14ac:dyDescent="0.35">
      <c r="A264" t="s">
        <v>438</v>
      </c>
      <c r="B264" t="s">
        <v>439</v>
      </c>
      <c r="C264" t="s">
        <v>17</v>
      </c>
      <c r="D264">
        <v>25</v>
      </c>
      <c r="E264" t="s">
        <v>22</v>
      </c>
      <c r="F264" t="s">
        <v>23</v>
      </c>
      <c r="G264">
        <v>1125</v>
      </c>
      <c r="H264">
        <v>30</v>
      </c>
      <c r="I264" t="s">
        <v>14</v>
      </c>
      <c r="J264" t="str">
        <f>_xlfn.XLOOKUP(C264,'product_masterlist(ifs)'!A:A,'product_masterlist(ifs)'!C:C,"N/A",0)</f>
        <v>Frames</v>
      </c>
      <c r="K264">
        <f>VLOOKUP(C264,'product_masterlist(ifs)'!A:I,7,FALSE)</f>
        <v>45</v>
      </c>
    </row>
    <row r="265" spans="1:11" x14ac:dyDescent="0.35">
      <c r="A265" t="s">
        <v>440</v>
      </c>
      <c r="B265" s="1">
        <v>45934</v>
      </c>
      <c r="C265" t="s">
        <v>90</v>
      </c>
      <c r="D265">
        <v>18</v>
      </c>
      <c r="E265" t="s">
        <v>37</v>
      </c>
      <c r="F265" t="s">
        <v>13</v>
      </c>
      <c r="G265">
        <v>873</v>
      </c>
      <c r="H265">
        <v>30</v>
      </c>
      <c r="I265" t="s">
        <v>14</v>
      </c>
      <c r="J265" t="str">
        <f>_xlfn.XLOOKUP(C265,'product_masterlist(ifs)'!A:A,'product_masterlist(ifs)'!C:C,"N/A",0)</f>
        <v>Frames</v>
      </c>
      <c r="K265">
        <f>VLOOKUP(C265,'product_masterlist(ifs)'!A:I,7,FALSE)</f>
        <v>180</v>
      </c>
    </row>
    <row r="266" spans="1:11" x14ac:dyDescent="0.35">
      <c r="A266" t="s">
        <v>441</v>
      </c>
      <c r="B266" t="s">
        <v>97</v>
      </c>
      <c r="C266" t="s">
        <v>17</v>
      </c>
      <c r="D266">
        <v>7</v>
      </c>
      <c r="E266" t="s">
        <v>12</v>
      </c>
      <c r="F266" t="s">
        <v>18</v>
      </c>
      <c r="G266">
        <v>315</v>
      </c>
      <c r="H266">
        <v>30</v>
      </c>
      <c r="I266" t="s">
        <v>14</v>
      </c>
      <c r="J266" t="str">
        <f>_xlfn.XLOOKUP(C266,'product_masterlist(ifs)'!A:A,'product_masterlist(ifs)'!C:C,"N/A",0)</f>
        <v>Frames</v>
      </c>
      <c r="K266">
        <f>VLOOKUP(C266,'product_masterlist(ifs)'!A:I,7,FALSE)</f>
        <v>45</v>
      </c>
    </row>
    <row r="267" spans="1:11" x14ac:dyDescent="0.35">
      <c r="A267" t="s">
        <v>442</v>
      </c>
      <c r="B267" t="s">
        <v>224</v>
      </c>
      <c r="C267" t="s">
        <v>33</v>
      </c>
      <c r="D267">
        <v>14</v>
      </c>
      <c r="E267" t="s">
        <v>20</v>
      </c>
      <c r="F267" t="s">
        <v>18</v>
      </c>
      <c r="G267">
        <v>2100</v>
      </c>
      <c r="H267">
        <v>45</v>
      </c>
      <c r="I267" t="s">
        <v>34</v>
      </c>
      <c r="J267" t="str">
        <f>_xlfn.XLOOKUP(C267,'product_masterlist(ifs)'!A:A,'product_masterlist(ifs)'!C:C,"N/A",0)</f>
        <v>Surgical</v>
      </c>
      <c r="K267">
        <f>VLOOKUP(C267,'product_masterlist(ifs)'!A:I,7,FALSE)</f>
        <v>15</v>
      </c>
    </row>
    <row r="268" spans="1:11" x14ac:dyDescent="0.35">
      <c r="A268" t="s">
        <v>443</v>
      </c>
      <c r="B268" t="s">
        <v>444</v>
      </c>
      <c r="C268" t="s">
        <v>90</v>
      </c>
      <c r="D268">
        <v>17</v>
      </c>
      <c r="E268" t="s">
        <v>20</v>
      </c>
      <c r="F268" t="s">
        <v>18</v>
      </c>
      <c r="G268" t="s">
        <v>362</v>
      </c>
      <c r="H268">
        <v>30</v>
      </c>
      <c r="I268" t="s">
        <v>14</v>
      </c>
      <c r="J268" t="str">
        <f>_xlfn.XLOOKUP(C268,'product_masterlist(ifs)'!A:A,'product_masterlist(ifs)'!C:C,"N/A",0)</f>
        <v>Frames</v>
      </c>
      <c r="K268">
        <f>VLOOKUP(C268,'product_masterlist(ifs)'!A:I,7,FALSE)</f>
        <v>180</v>
      </c>
    </row>
    <row r="269" spans="1:11" x14ac:dyDescent="0.35">
      <c r="A269" t="s">
        <v>445</v>
      </c>
      <c r="B269" t="s">
        <v>446</v>
      </c>
      <c r="C269" t="s">
        <v>42</v>
      </c>
      <c r="D269">
        <v>7</v>
      </c>
      <c r="E269" t="s">
        <v>37</v>
      </c>
      <c r="F269" t="s">
        <v>18</v>
      </c>
      <c r="G269">
        <v>175</v>
      </c>
      <c r="H269">
        <v>21</v>
      </c>
      <c r="I269" t="s">
        <v>14</v>
      </c>
      <c r="J269" t="str">
        <f>_xlfn.XLOOKUP(C269,'product_masterlist(ifs)'!A:A,'product_masterlist(ifs)'!C:C,"N/A",0)</f>
        <v>Contact Lenses</v>
      </c>
      <c r="K269">
        <f>VLOOKUP(C269,'product_masterlist(ifs)'!A:I,7,FALSE)</f>
        <v>120</v>
      </c>
    </row>
    <row r="270" spans="1:11" x14ac:dyDescent="0.35">
      <c r="A270" t="s">
        <v>447</v>
      </c>
      <c r="B270" t="s">
        <v>448</v>
      </c>
      <c r="C270" t="s">
        <v>11</v>
      </c>
      <c r="D270">
        <v>25</v>
      </c>
      <c r="E270" t="s">
        <v>37</v>
      </c>
      <c r="F270" t="s">
        <v>18</v>
      </c>
      <c r="G270">
        <v>2125</v>
      </c>
      <c r="H270">
        <v>30</v>
      </c>
      <c r="I270" t="s">
        <v>14</v>
      </c>
      <c r="J270" t="str">
        <f>_xlfn.XLOOKUP(C270,'product_masterlist(ifs)'!A:A,'product_masterlist(ifs)'!C:C,"N/A",0)</f>
        <v>Surgical</v>
      </c>
      <c r="K270">
        <f>VLOOKUP(C270,'product_masterlist(ifs)'!A:I,7,FALSE)</f>
        <v>40</v>
      </c>
    </row>
    <row r="271" spans="1:11" x14ac:dyDescent="0.35">
      <c r="A271" t="s">
        <v>449</v>
      </c>
      <c r="B271" s="1">
        <v>45966</v>
      </c>
      <c r="C271" t="s">
        <v>90</v>
      </c>
      <c r="D271">
        <v>10</v>
      </c>
      <c r="E271" t="s">
        <v>22</v>
      </c>
      <c r="F271" t="s">
        <v>31</v>
      </c>
      <c r="G271">
        <v>485</v>
      </c>
      <c r="H271">
        <v>30</v>
      </c>
      <c r="I271" t="s">
        <v>14</v>
      </c>
      <c r="J271" t="str">
        <f>_xlfn.XLOOKUP(C271,'product_masterlist(ifs)'!A:A,'product_masterlist(ifs)'!C:C,"N/A",0)</f>
        <v>Frames</v>
      </c>
      <c r="K271">
        <f>VLOOKUP(C271,'product_masterlist(ifs)'!A:I,7,FALSE)</f>
        <v>180</v>
      </c>
    </row>
    <row r="272" spans="1:11" x14ac:dyDescent="0.35">
      <c r="A272" t="s">
        <v>450</v>
      </c>
      <c r="B272" t="s">
        <v>451</v>
      </c>
      <c r="C272" t="s">
        <v>90</v>
      </c>
      <c r="D272">
        <v>16</v>
      </c>
      <c r="E272" t="s">
        <v>20</v>
      </c>
      <c r="F272" t="s">
        <v>31</v>
      </c>
      <c r="G272">
        <v>776</v>
      </c>
      <c r="H272">
        <v>30</v>
      </c>
      <c r="I272" t="s">
        <v>14</v>
      </c>
      <c r="J272" t="str">
        <f>_xlfn.XLOOKUP(C272,'product_masterlist(ifs)'!A:A,'product_masterlist(ifs)'!C:C,"N/A",0)</f>
        <v>Frames</v>
      </c>
      <c r="K272">
        <f>VLOOKUP(C272,'product_masterlist(ifs)'!A:I,7,FALSE)</f>
        <v>180</v>
      </c>
    </row>
    <row r="273" spans="1:11" x14ac:dyDescent="0.35">
      <c r="A273" t="s">
        <v>452</v>
      </c>
      <c r="B273" s="1">
        <v>45815</v>
      </c>
      <c r="C273" t="s">
        <v>26</v>
      </c>
      <c r="D273">
        <v>18</v>
      </c>
      <c r="E273" t="s">
        <v>22</v>
      </c>
      <c r="F273" t="s">
        <v>13</v>
      </c>
      <c r="G273">
        <v>225</v>
      </c>
      <c r="H273">
        <v>14</v>
      </c>
      <c r="I273" t="s">
        <v>28</v>
      </c>
      <c r="J273" t="str">
        <f>_xlfn.XLOOKUP(C273,'product_masterlist(ifs)'!A:A,'product_masterlist(ifs)'!C:C,"N/A",0)</f>
        <v>Contact Lenses</v>
      </c>
      <c r="K273">
        <f>VLOOKUP(C273,'product_masterlist(ifs)'!A:I,7,FALSE)</f>
        <v>450</v>
      </c>
    </row>
    <row r="274" spans="1:11" x14ac:dyDescent="0.35">
      <c r="A274" t="s">
        <v>453</v>
      </c>
      <c r="B274" t="s">
        <v>242</v>
      </c>
      <c r="C274" t="s">
        <v>26</v>
      </c>
      <c r="D274">
        <v>6</v>
      </c>
      <c r="E274" t="s">
        <v>12</v>
      </c>
      <c r="F274" t="s">
        <v>18</v>
      </c>
      <c r="G274">
        <v>75</v>
      </c>
      <c r="H274">
        <v>14</v>
      </c>
      <c r="I274" t="s">
        <v>28</v>
      </c>
      <c r="J274" t="str">
        <f>_xlfn.XLOOKUP(C274,'product_masterlist(ifs)'!A:A,'product_masterlist(ifs)'!C:C,"N/A",0)</f>
        <v>Contact Lenses</v>
      </c>
      <c r="K274">
        <f>VLOOKUP(C274,'product_masterlist(ifs)'!A:I,7,FALSE)</f>
        <v>450</v>
      </c>
    </row>
    <row r="275" spans="1:11" x14ac:dyDescent="0.35">
      <c r="A275" t="s">
        <v>454</v>
      </c>
      <c r="B275" s="1">
        <v>45695</v>
      </c>
      <c r="C275" t="s">
        <v>17</v>
      </c>
      <c r="D275">
        <v>4</v>
      </c>
      <c r="E275" t="s">
        <v>22</v>
      </c>
      <c r="F275" t="s">
        <v>18</v>
      </c>
      <c r="G275">
        <v>180</v>
      </c>
      <c r="H275">
        <v>30</v>
      </c>
      <c r="I275" t="s">
        <v>14</v>
      </c>
      <c r="J275" t="str">
        <f>_xlfn.XLOOKUP(C275,'product_masterlist(ifs)'!A:A,'product_masterlist(ifs)'!C:C,"N/A",0)</f>
        <v>Frames</v>
      </c>
      <c r="K275">
        <f>VLOOKUP(C275,'product_masterlist(ifs)'!A:I,7,FALSE)</f>
        <v>45</v>
      </c>
    </row>
    <row r="276" spans="1:11" x14ac:dyDescent="0.35">
      <c r="A276" t="s">
        <v>455</v>
      </c>
      <c r="B276" s="1">
        <v>45973</v>
      </c>
      <c r="C276" t="s">
        <v>26</v>
      </c>
      <c r="D276">
        <v>14</v>
      </c>
      <c r="E276" t="s">
        <v>37</v>
      </c>
      <c r="F276" t="s">
        <v>31</v>
      </c>
      <c r="G276">
        <v>175</v>
      </c>
      <c r="H276">
        <v>14</v>
      </c>
      <c r="I276" t="s">
        <v>28</v>
      </c>
      <c r="J276" t="str">
        <f>_xlfn.XLOOKUP(C276,'product_masterlist(ifs)'!A:A,'product_masterlist(ifs)'!C:C,"N/A",0)</f>
        <v>Contact Lenses</v>
      </c>
      <c r="K276">
        <f>VLOOKUP(C276,'product_masterlist(ifs)'!A:I,7,FALSE)</f>
        <v>450</v>
      </c>
    </row>
    <row r="277" spans="1:11" x14ac:dyDescent="0.35">
      <c r="A277" t="s">
        <v>456</v>
      </c>
      <c r="B277" t="s">
        <v>457</v>
      </c>
      <c r="C277" t="s">
        <v>11</v>
      </c>
      <c r="D277">
        <v>1</v>
      </c>
      <c r="E277" t="s">
        <v>37</v>
      </c>
      <c r="F277" t="s">
        <v>13</v>
      </c>
      <c r="G277">
        <v>85</v>
      </c>
      <c r="H277">
        <v>30</v>
      </c>
      <c r="I277" t="s">
        <v>14</v>
      </c>
      <c r="J277" t="str">
        <f>_xlfn.XLOOKUP(C277,'product_masterlist(ifs)'!A:A,'product_masterlist(ifs)'!C:C,"N/A",0)</f>
        <v>Surgical</v>
      </c>
      <c r="K277">
        <f>VLOOKUP(C277,'product_masterlist(ifs)'!A:I,7,FALSE)</f>
        <v>40</v>
      </c>
    </row>
    <row r="278" spans="1:11" x14ac:dyDescent="0.35">
      <c r="A278" t="s">
        <v>458</v>
      </c>
      <c r="B278" t="s">
        <v>217</v>
      </c>
      <c r="C278" t="s">
        <v>42</v>
      </c>
      <c r="D278">
        <v>2</v>
      </c>
      <c r="E278" t="s">
        <v>22</v>
      </c>
      <c r="F278" t="s">
        <v>13</v>
      </c>
      <c r="G278">
        <v>50</v>
      </c>
      <c r="H278">
        <v>21</v>
      </c>
      <c r="I278" t="s">
        <v>14</v>
      </c>
      <c r="J278" t="str">
        <f>_xlfn.XLOOKUP(C278,'product_masterlist(ifs)'!A:A,'product_masterlist(ifs)'!C:C,"N/A",0)</f>
        <v>Contact Lenses</v>
      </c>
      <c r="K278">
        <f>VLOOKUP(C278,'product_masterlist(ifs)'!A:I,7,FALSE)</f>
        <v>120</v>
      </c>
    </row>
    <row r="279" spans="1:11" x14ac:dyDescent="0.35">
      <c r="A279" t="s">
        <v>459</v>
      </c>
      <c r="B279" t="s">
        <v>460</v>
      </c>
      <c r="C279" t="s">
        <v>42</v>
      </c>
      <c r="D279">
        <v>6</v>
      </c>
      <c r="E279" t="s">
        <v>37</v>
      </c>
      <c r="F279" t="s">
        <v>31</v>
      </c>
      <c r="G279">
        <v>150</v>
      </c>
      <c r="H279">
        <v>21</v>
      </c>
      <c r="I279" t="s">
        <v>14</v>
      </c>
      <c r="J279" t="str">
        <f>_xlfn.XLOOKUP(C279,'product_masterlist(ifs)'!A:A,'product_masterlist(ifs)'!C:C,"N/A",0)</f>
        <v>Contact Lenses</v>
      </c>
      <c r="K279">
        <f>VLOOKUP(C279,'product_masterlist(ifs)'!A:I,7,FALSE)</f>
        <v>120</v>
      </c>
    </row>
    <row r="280" spans="1:11" x14ac:dyDescent="0.35">
      <c r="A280" t="s">
        <v>461</v>
      </c>
      <c r="B280" t="s">
        <v>462</v>
      </c>
      <c r="C280" t="s">
        <v>42</v>
      </c>
      <c r="D280">
        <v>15</v>
      </c>
      <c r="E280" t="s">
        <v>37</v>
      </c>
      <c r="F280" t="s">
        <v>31</v>
      </c>
      <c r="G280">
        <v>375</v>
      </c>
      <c r="H280">
        <v>21</v>
      </c>
      <c r="I280" t="s">
        <v>14</v>
      </c>
      <c r="J280" t="str">
        <f>_xlfn.XLOOKUP(C280,'product_masterlist(ifs)'!A:A,'product_masterlist(ifs)'!C:C,"N/A",0)</f>
        <v>Contact Lenses</v>
      </c>
      <c r="K280">
        <f>VLOOKUP(C280,'product_masterlist(ifs)'!A:I,7,FALSE)</f>
        <v>120</v>
      </c>
    </row>
    <row r="281" spans="1:11" x14ac:dyDescent="0.35">
      <c r="A281" t="s">
        <v>463</v>
      </c>
      <c r="B281" t="s">
        <v>87</v>
      </c>
      <c r="C281" t="s">
        <v>90</v>
      </c>
      <c r="D281">
        <v>6</v>
      </c>
      <c r="E281" t="s">
        <v>37</v>
      </c>
      <c r="F281" t="s">
        <v>31</v>
      </c>
      <c r="G281">
        <v>291</v>
      </c>
      <c r="H281">
        <v>30</v>
      </c>
      <c r="I281" t="s">
        <v>14</v>
      </c>
      <c r="J281" t="str">
        <f>_xlfn.XLOOKUP(C281,'product_masterlist(ifs)'!A:A,'product_masterlist(ifs)'!C:C,"N/A",0)</f>
        <v>Frames</v>
      </c>
      <c r="K281">
        <f>VLOOKUP(C281,'product_masterlist(ifs)'!A:I,7,FALSE)</f>
        <v>180</v>
      </c>
    </row>
    <row r="282" spans="1:11" x14ac:dyDescent="0.35">
      <c r="A282" t="s">
        <v>464</v>
      </c>
      <c r="B282" s="1">
        <v>45964</v>
      </c>
      <c r="C282" t="s">
        <v>53</v>
      </c>
      <c r="D282">
        <v>25</v>
      </c>
      <c r="E282" t="s">
        <v>37</v>
      </c>
      <c r="F282" t="s">
        <v>18</v>
      </c>
      <c r="G282" t="s">
        <v>304</v>
      </c>
      <c r="H282">
        <v>7</v>
      </c>
      <c r="I282" t="s">
        <v>28</v>
      </c>
      <c r="J282" t="str">
        <f>_xlfn.XLOOKUP(C282,'product_masterlist(ifs)'!A:A,'product_masterlist(ifs)'!C:C,"N/A",0)</f>
        <v>Solutions</v>
      </c>
      <c r="K282">
        <f>VLOOKUP(C282,'product_masterlist(ifs)'!A:I,7,FALSE)</f>
        <v>800</v>
      </c>
    </row>
    <row r="283" spans="1:11" x14ac:dyDescent="0.35">
      <c r="A283" t="s">
        <v>465</v>
      </c>
      <c r="B283" s="1">
        <v>45689</v>
      </c>
      <c r="C283" t="s">
        <v>42</v>
      </c>
      <c r="D283">
        <v>17</v>
      </c>
      <c r="E283" t="s">
        <v>20</v>
      </c>
      <c r="F283" t="s">
        <v>13</v>
      </c>
      <c r="G283">
        <v>425</v>
      </c>
      <c r="H283">
        <v>21</v>
      </c>
      <c r="I283" t="s">
        <v>14</v>
      </c>
      <c r="J283" t="str">
        <f>_xlfn.XLOOKUP(C283,'product_masterlist(ifs)'!A:A,'product_masterlist(ifs)'!C:C,"N/A",0)</f>
        <v>Contact Lenses</v>
      </c>
      <c r="K283">
        <f>VLOOKUP(C283,'product_masterlist(ifs)'!A:I,7,FALSE)</f>
        <v>120</v>
      </c>
    </row>
    <row r="284" spans="1:11" x14ac:dyDescent="0.35">
      <c r="A284" t="s">
        <v>466</v>
      </c>
      <c r="B284" s="1">
        <v>45778</v>
      </c>
      <c r="C284" t="s">
        <v>90</v>
      </c>
      <c r="D284">
        <v>25</v>
      </c>
      <c r="E284" t="s">
        <v>37</v>
      </c>
      <c r="F284" t="s">
        <v>13</v>
      </c>
      <c r="G284" t="s">
        <v>308</v>
      </c>
      <c r="H284">
        <v>30</v>
      </c>
      <c r="I284" t="s">
        <v>14</v>
      </c>
      <c r="J284" t="str">
        <f>_xlfn.XLOOKUP(C284,'product_masterlist(ifs)'!A:A,'product_masterlist(ifs)'!C:C,"N/A",0)</f>
        <v>Frames</v>
      </c>
      <c r="K284">
        <f>VLOOKUP(C284,'product_masterlist(ifs)'!A:I,7,FALSE)</f>
        <v>180</v>
      </c>
    </row>
    <row r="285" spans="1:11" x14ac:dyDescent="0.35">
      <c r="A285" t="s">
        <v>467</v>
      </c>
      <c r="B285" t="s">
        <v>468</v>
      </c>
      <c r="C285" t="s">
        <v>90</v>
      </c>
      <c r="D285">
        <v>14</v>
      </c>
      <c r="E285" t="s">
        <v>20</v>
      </c>
      <c r="F285" t="s">
        <v>23</v>
      </c>
      <c r="G285">
        <v>679</v>
      </c>
      <c r="H285">
        <v>30</v>
      </c>
      <c r="I285" t="s">
        <v>14</v>
      </c>
      <c r="J285" t="str">
        <f>_xlfn.XLOOKUP(C285,'product_masterlist(ifs)'!A:A,'product_masterlist(ifs)'!C:C,"N/A",0)</f>
        <v>Frames</v>
      </c>
      <c r="K285">
        <f>VLOOKUP(C285,'product_masterlist(ifs)'!A:I,7,FALSE)</f>
        <v>180</v>
      </c>
    </row>
    <row r="286" spans="1:11" x14ac:dyDescent="0.35">
      <c r="A286" t="s">
        <v>469</v>
      </c>
      <c r="B286" t="s">
        <v>58</v>
      </c>
      <c r="C286" t="s">
        <v>26</v>
      </c>
      <c r="D286">
        <v>14</v>
      </c>
      <c r="E286" t="s">
        <v>37</v>
      </c>
      <c r="F286" t="s">
        <v>31</v>
      </c>
      <c r="G286">
        <v>175</v>
      </c>
      <c r="H286">
        <v>14</v>
      </c>
      <c r="I286" t="s">
        <v>28</v>
      </c>
      <c r="J286" t="str">
        <f>_xlfn.XLOOKUP(C286,'product_masterlist(ifs)'!A:A,'product_masterlist(ifs)'!C:C,"N/A",0)</f>
        <v>Contact Lenses</v>
      </c>
      <c r="K286">
        <f>VLOOKUP(C286,'product_masterlist(ifs)'!A:I,7,FALSE)</f>
        <v>450</v>
      </c>
    </row>
    <row r="287" spans="1:11" x14ac:dyDescent="0.35">
      <c r="A287" t="s">
        <v>470</v>
      </c>
      <c r="B287" s="1">
        <v>45873</v>
      </c>
      <c r="C287" t="s">
        <v>53</v>
      </c>
      <c r="D287">
        <v>20</v>
      </c>
      <c r="E287" t="s">
        <v>22</v>
      </c>
      <c r="F287" t="s">
        <v>13</v>
      </c>
      <c r="G287">
        <v>85</v>
      </c>
      <c r="H287">
        <v>7</v>
      </c>
      <c r="I287" t="s">
        <v>28</v>
      </c>
      <c r="J287" t="str">
        <f>_xlfn.XLOOKUP(C287,'product_masterlist(ifs)'!A:A,'product_masterlist(ifs)'!C:C,"N/A",0)</f>
        <v>Solutions</v>
      </c>
      <c r="K287">
        <f>VLOOKUP(C287,'product_masterlist(ifs)'!A:I,7,FALSE)</f>
        <v>800</v>
      </c>
    </row>
    <row r="288" spans="1:11" x14ac:dyDescent="0.35">
      <c r="A288" t="s">
        <v>471</v>
      </c>
      <c r="B288" t="s">
        <v>168</v>
      </c>
      <c r="C288" t="s">
        <v>26</v>
      </c>
      <c r="D288">
        <v>22</v>
      </c>
      <c r="E288" t="s">
        <v>12</v>
      </c>
      <c r="F288" t="s">
        <v>13</v>
      </c>
      <c r="G288">
        <v>275</v>
      </c>
      <c r="H288">
        <v>14</v>
      </c>
      <c r="I288" t="s">
        <v>28</v>
      </c>
      <c r="J288" t="str">
        <f>_xlfn.XLOOKUP(C288,'product_masterlist(ifs)'!A:A,'product_masterlist(ifs)'!C:C,"N/A",0)</f>
        <v>Contact Lenses</v>
      </c>
      <c r="K288">
        <f>VLOOKUP(C288,'product_masterlist(ifs)'!A:I,7,FALSE)</f>
        <v>450</v>
      </c>
    </row>
    <row r="289" spans="1:11" x14ac:dyDescent="0.35">
      <c r="A289" t="s">
        <v>472</v>
      </c>
      <c r="B289" t="s">
        <v>159</v>
      </c>
      <c r="C289" t="s">
        <v>42</v>
      </c>
      <c r="D289">
        <v>19</v>
      </c>
      <c r="E289" t="s">
        <v>12</v>
      </c>
      <c r="F289" t="s">
        <v>31</v>
      </c>
      <c r="G289">
        <v>475</v>
      </c>
      <c r="H289">
        <v>21</v>
      </c>
      <c r="I289" t="s">
        <v>14</v>
      </c>
      <c r="J289" t="str">
        <f>_xlfn.XLOOKUP(C289,'product_masterlist(ifs)'!A:A,'product_masterlist(ifs)'!C:C,"N/A",0)</f>
        <v>Contact Lenses</v>
      </c>
      <c r="K289">
        <f>VLOOKUP(C289,'product_masterlist(ifs)'!A:I,7,FALSE)</f>
        <v>120</v>
      </c>
    </row>
    <row r="290" spans="1:11" x14ac:dyDescent="0.35">
      <c r="A290" t="s">
        <v>473</v>
      </c>
      <c r="B290" s="1">
        <v>45812</v>
      </c>
      <c r="C290" t="s">
        <v>53</v>
      </c>
      <c r="D290">
        <v>21</v>
      </c>
      <c r="E290" t="s">
        <v>37</v>
      </c>
      <c r="F290" t="s">
        <v>23</v>
      </c>
      <c r="G290" t="s">
        <v>197</v>
      </c>
      <c r="H290">
        <v>7</v>
      </c>
      <c r="I290" t="s">
        <v>28</v>
      </c>
      <c r="J290" t="str">
        <f>_xlfn.XLOOKUP(C290,'product_masterlist(ifs)'!A:A,'product_masterlist(ifs)'!C:C,"N/A",0)</f>
        <v>Solutions</v>
      </c>
      <c r="K290">
        <f>VLOOKUP(C290,'product_masterlist(ifs)'!A:I,7,FALSE)</f>
        <v>800</v>
      </c>
    </row>
    <row r="291" spans="1:11" x14ac:dyDescent="0.35">
      <c r="A291" t="s">
        <v>474</v>
      </c>
      <c r="B291" t="s">
        <v>475</v>
      </c>
      <c r="C291" t="s">
        <v>90</v>
      </c>
      <c r="D291">
        <v>1</v>
      </c>
      <c r="E291" t="s">
        <v>20</v>
      </c>
      <c r="F291" t="s">
        <v>23</v>
      </c>
      <c r="G291" t="s">
        <v>109</v>
      </c>
      <c r="H291">
        <v>30</v>
      </c>
      <c r="I291" t="s">
        <v>14</v>
      </c>
      <c r="J291" t="str">
        <f>_xlfn.XLOOKUP(C291,'product_masterlist(ifs)'!A:A,'product_masterlist(ifs)'!C:C,"N/A",0)</f>
        <v>Frames</v>
      </c>
      <c r="K291">
        <f>VLOOKUP(C291,'product_masterlist(ifs)'!A:I,7,FALSE)</f>
        <v>180</v>
      </c>
    </row>
    <row r="292" spans="1:11" x14ac:dyDescent="0.35">
      <c r="A292" t="s">
        <v>476</v>
      </c>
      <c r="B292" t="s">
        <v>477</v>
      </c>
      <c r="C292" t="s">
        <v>11</v>
      </c>
      <c r="D292">
        <v>8</v>
      </c>
      <c r="E292" t="s">
        <v>22</v>
      </c>
      <c r="F292" t="s">
        <v>18</v>
      </c>
      <c r="G292">
        <v>680</v>
      </c>
      <c r="H292">
        <v>30</v>
      </c>
      <c r="I292" t="s">
        <v>14</v>
      </c>
      <c r="J292" t="str">
        <f>_xlfn.XLOOKUP(C292,'product_masterlist(ifs)'!A:A,'product_masterlist(ifs)'!C:C,"N/A",0)</f>
        <v>Surgical</v>
      </c>
      <c r="K292">
        <f>VLOOKUP(C292,'product_masterlist(ifs)'!A:I,7,FALSE)</f>
        <v>40</v>
      </c>
    </row>
    <row r="293" spans="1:11" x14ac:dyDescent="0.35">
      <c r="A293" t="s">
        <v>478</v>
      </c>
      <c r="B293" t="s">
        <v>448</v>
      </c>
      <c r="C293" t="s">
        <v>17</v>
      </c>
      <c r="D293">
        <v>19</v>
      </c>
      <c r="E293" t="s">
        <v>12</v>
      </c>
      <c r="F293" t="s">
        <v>23</v>
      </c>
      <c r="G293">
        <v>855</v>
      </c>
      <c r="H293">
        <v>30</v>
      </c>
      <c r="I293" t="s">
        <v>14</v>
      </c>
      <c r="J293" t="str">
        <f>_xlfn.XLOOKUP(C293,'product_masterlist(ifs)'!A:A,'product_masterlist(ifs)'!C:C,"N/A",0)</f>
        <v>Frames</v>
      </c>
      <c r="K293">
        <f>VLOOKUP(C293,'product_masterlist(ifs)'!A:I,7,FALSE)</f>
        <v>45</v>
      </c>
    </row>
    <row r="294" spans="1:11" x14ac:dyDescent="0.35">
      <c r="A294" t="s">
        <v>479</v>
      </c>
      <c r="B294" s="1">
        <v>45813</v>
      </c>
      <c r="C294" t="s">
        <v>53</v>
      </c>
      <c r="D294">
        <v>22</v>
      </c>
      <c r="E294" t="s">
        <v>37</v>
      </c>
      <c r="F294" t="s">
        <v>18</v>
      </c>
      <c r="G294" t="s">
        <v>176</v>
      </c>
      <c r="H294">
        <v>7</v>
      </c>
      <c r="I294" t="s">
        <v>28</v>
      </c>
      <c r="J294" t="str">
        <f>_xlfn.XLOOKUP(C294,'product_masterlist(ifs)'!A:A,'product_masterlist(ifs)'!C:C,"N/A",0)</f>
        <v>Solutions</v>
      </c>
      <c r="K294">
        <f>VLOOKUP(C294,'product_masterlist(ifs)'!A:I,7,FALSE)</f>
        <v>800</v>
      </c>
    </row>
    <row r="295" spans="1:11" x14ac:dyDescent="0.35">
      <c r="A295" t="s">
        <v>480</v>
      </c>
      <c r="B295" s="1">
        <v>45850</v>
      </c>
      <c r="C295" t="s">
        <v>53</v>
      </c>
      <c r="D295">
        <v>25</v>
      </c>
      <c r="E295" t="s">
        <v>37</v>
      </c>
      <c r="F295" t="s">
        <v>31</v>
      </c>
      <c r="G295" t="s">
        <v>304</v>
      </c>
      <c r="H295">
        <v>7</v>
      </c>
      <c r="I295" t="s">
        <v>28</v>
      </c>
      <c r="J295" t="str">
        <f>_xlfn.XLOOKUP(C295,'product_masterlist(ifs)'!A:A,'product_masterlist(ifs)'!C:C,"N/A",0)</f>
        <v>Solutions</v>
      </c>
      <c r="K295">
        <f>VLOOKUP(C295,'product_masterlist(ifs)'!A:I,7,FALSE)</f>
        <v>800</v>
      </c>
    </row>
    <row r="296" spans="1:11" x14ac:dyDescent="0.35">
      <c r="A296" t="s">
        <v>481</v>
      </c>
      <c r="B296" s="1">
        <v>45996</v>
      </c>
      <c r="C296" t="s">
        <v>11</v>
      </c>
      <c r="D296">
        <v>20</v>
      </c>
      <c r="E296" t="s">
        <v>12</v>
      </c>
      <c r="F296" t="s">
        <v>13</v>
      </c>
      <c r="G296">
        <v>1700</v>
      </c>
      <c r="H296">
        <v>30</v>
      </c>
      <c r="I296" t="s">
        <v>14</v>
      </c>
      <c r="J296" t="str">
        <f>_xlfn.XLOOKUP(C296,'product_masterlist(ifs)'!A:A,'product_masterlist(ifs)'!C:C,"N/A",0)</f>
        <v>Surgical</v>
      </c>
      <c r="K296">
        <f>VLOOKUP(C296,'product_masterlist(ifs)'!A:I,7,FALSE)</f>
        <v>40</v>
      </c>
    </row>
    <row r="297" spans="1:11" x14ac:dyDescent="0.35">
      <c r="A297" t="s">
        <v>482</v>
      </c>
      <c r="B297" t="s">
        <v>323</v>
      </c>
      <c r="C297" t="s">
        <v>90</v>
      </c>
      <c r="D297">
        <v>16</v>
      </c>
      <c r="E297" t="s">
        <v>20</v>
      </c>
      <c r="F297" t="s">
        <v>18</v>
      </c>
      <c r="G297">
        <v>776</v>
      </c>
      <c r="H297">
        <v>30</v>
      </c>
      <c r="I297" t="s">
        <v>14</v>
      </c>
      <c r="J297" t="str">
        <f>_xlfn.XLOOKUP(C297,'product_masterlist(ifs)'!A:A,'product_masterlist(ifs)'!C:C,"N/A",0)</f>
        <v>Frames</v>
      </c>
      <c r="K297">
        <f>VLOOKUP(C297,'product_masterlist(ifs)'!A:I,7,FALSE)</f>
        <v>180</v>
      </c>
    </row>
    <row r="298" spans="1:11" x14ac:dyDescent="0.35">
      <c r="A298" t="s">
        <v>483</v>
      </c>
      <c r="B298" s="1">
        <v>45689</v>
      </c>
      <c r="C298" t="s">
        <v>90</v>
      </c>
      <c r="D298">
        <v>7</v>
      </c>
      <c r="E298" t="s">
        <v>12</v>
      </c>
      <c r="F298" t="s">
        <v>18</v>
      </c>
      <c r="G298" t="s">
        <v>181</v>
      </c>
      <c r="H298">
        <v>30</v>
      </c>
      <c r="I298" t="s">
        <v>14</v>
      </c>
      <c r="J298" t="str">
        <f>_xlfn.XLOOKUP(C298,'product_masterlist(ifs)'!A:A,'product_masterlist(ifs)'!C:C,"N/A",0)</f>
        <v>Frames</v>
      </c>
      <c r="K298">
        <f>VLOOKUP(C298,'product_masterlist(ifs)'!A:I,7,FALSE)</f>
        <v>180</v>
      </c>
    </row>
    <row r="299" spans="1:11" x14ac:dyDescent="0.35">
      <c r="A299" t="s">
        <v>484</v>
      </c>
      <c r="B299" t="s">
        <v>485</v>
      </c>
      <c r="C299" t="s">
        <v>90</v>
      </c>
      <c r="D299">
        <v>25</v>
      </c>
      <c r="E299" t="s">
        <v>22</v>
      </c>
      <c r="F299" t="s">
        <v>23</v>
      </c>
      <c r="G299" t="s">
        <v>308</v>
      </c>
      <c r="H299">
        <v>30</v>
      </c>
      <c r="I299" t="s">
        <v>14</v>
      </c>
      <c r="J299" t="str">
        <f>_xlfn.XLOOKUP(C299,'product_masterlist(ifs)'!A:A,'product_masterlist(ifs)'!C:C,"N/A",0)</f>
        <v>Frames</v>
      </c>
      <c r="K299">
        <f>VLOOKUP(C299,'product_masterlist(ifs)'!A:I,7,FALSE)</f>
        <v>180</v>
      </c>
    </row>
    <row r="300" spans="1:11" x14ac:dyDescent="0.35">
      <c r="A300" t="s">
        <v>486</v>
      </c>
      <c r="B300" t="s">
        <v>16</v>
      </c>
      <c r="C300" t="s">
        <v>17</v>
      </c>
      <c r="D300">
        <v>22</v>
      </c>
      <c r="E300" t="s">
        <v>22</v>
      </c>
      <c r="F300" t="s">
        <v>18</v>
      </c>
      <c r="G300">
        <v>990</v>
      </c>
      <c r="H300">
        <v>30</v>
      </c>
      <c r="I300" t="s">
        <v>14</v>
      </c>
      <c r="J300" t="str">
        <f>_xlfn.XLOOKUP(C300,'product_masterlist(ifs)'!A:A,'product_masterlist(ifs)'!C:C,"N/A",0)</f>
        <v>Frames</v>
      </c>
      <c r="K300">
        <f>VLOOKUP(C300,'product_masterlist(ifs)'!A:I,7,FALSE)</f>
        <v>45</v>
      </c>
    </row>
    <row r="301" spans="1:11" x14ac:dyDescent="0.35">
      <c r="A301" t="s">
        <v>487</v>
      </c>
      <c r="B301" t="s">
        <v>271</v>
      </c>
      <c r="C301" t="s">
        <v>53</v>
      </c>
      <c r="D301">
        <v>13</v>
      </c>
      <c r="E301" t="s">
        <v>12</v>
      </c>
      <c r="F301" t="s">
        <v>13</v>
      </c>
      <c r="G301" t="s">
        <v>188</v>
      </c>
      <c r="H301">
        <v>7</v>
      </c>
      <c r="I301" t="s">
        <v>28</v>
      </c>
      <c r="J301" t="str">
        <f>_xlfn.XLOOKUP(C301,'product_masterlist(ifs)'!A:A,'product_masterlist(ifs)'!C:C,"N/A",0)</f>
        <v>Solutions</v>
      </c>
      <c r="K301">
        <f>VLOOKUP(C301,'product_masterlist(ifs)'!A:I,7,FALSE)</f>
        <v>800</v>
      </c>
    </row>
    <row r="302" spans="1:11" x14ac:dyDescent="0.35">
      <c r="A302" t="s">
        <v>488</v>
      </c>
      <c r="B302" t="s">
        <v>489</v>
      </c>
      <c r="C302" t="s">
        <v>17</v>
      </c>
      <c r="D302">
        <v>15</v>
      </c>
      <c r="E302" t="s">
        <v>22</v>
      </c>
      <c r="F302" t="s">
        <v>31</v>
      </c>
      <c r="G302">
        <v>675</v>
      </c>
      <c r="H302">
        <v>30</v>
      </c>
      <c r="I302" t="s">
        <v>14</v>
      </c>
      <c r="J302" t="str">
        <f>_xlfn.XLOOKUP(C302,'product_masterlist(ifs)'!A:A,'product_masterlist(ifs)'!C:C,"N/A",0)</f>
        <v>Frames</v>
      </c>
      <c r="K302">
        <f>VLOOKUP(C302,'product_masterlist(ifs)'!A:I,7,FALSE)</f>
        <v>45</v>
      </c>
    </row>
    <row r="303" spans="1:11" x14ac:dyDescent="0.35">
      <c r="A303" t="s">
        <v>490</v>
      </c>
      <c r="B303" s="1">
        <v>45782</v>
      </c>
      <c r="C303" t="s">
        <v>11</v>
      </c>
      <c r="D303">
        <v>19</v>
      </c>
      <c r="E303" t="s">
        <v>22</v>
      </c>
      <c r="F303" t="s">
        <v>31</v>
      </c>
      <c r="G303">
        <v>1615</v>
      </c>
      <c r="H303">
        <v>30</v>
      </c>
      <c r="I303" t="s">
        <v>14</v>
      </c>
      <c r="J303" t="str">
        <f>_xlfn.XLOOKUP(C303,'product_masterlist(ifs)'!A:A,'product_masterlist(ifs)'!C:C,"N/A",0)</f>
        <v>Surgical</v>
      </c>
      <c r="K303">
        <f>VLOOKUP(C303,'product_masterlist(ifs)'!A:I,7,FALSE)</f>
        <v>40</v>
      </c>
    </row>
    <row r="304" spans="1:11" x14ac:dyDescent="0.35">
      <c r="A304" t="s">
        <v>491</v>
      </c>
      <c r="B304" t="s">
        <v>165</v>
      </c>
      <c r="C304" t="s">
        <v>90</v>
      </c>
      <c r="D304">
        <v>5</v>
      </c>
      <c r="E304" t="s">
        <v>22</v>
      </c>
      <c r="F304" t="s">
        <v>18</v>
      </c>
      <c r="G304" t="s">
        <v>332</v>
      </c>
      <c r="H304">
        <v>30</v>
      </c>
      <c r="I304" t="s">
        <v>14</v>
      </c>
      <c r="J304" t="str">
        <f>_xlfn.XLOOKUP(C304,'product_masterlist(ifs)'!A:A,'product_masterlist(ifs)'!C:C,"N/A",0)</f>
        <v>Frames</v>
      </c>
      <c r="K304">
        <f>VLOOKUP(C304,'product_masterlist(ifs)'!A:I,7,FALSE)</f>
        <v>180</v>
      </c>
    </row>
    <row r="305" spans="1:11" x14ac:dyDescent="0.35">
      <c r="A305" t="s">
        <v>492</v>
      </c>
      <c r="B305" t="s">
        <v>477</v>
      </c>
      <c r="C305" t="s">
        <v>17</v>
      </c>
      <c r="D305">
        <v>2</v>
      </c>
      <c r="E305" t="s">
        <v>22</v>
      </c>
      <c r="F305" t="s">
        <v>23</v>
      </c>
      <c r="G305">
        <v>90</v>
      </c>
      <c r="H305">
        <v>30</v>
      </c>
      <c r="I305" t="s">
        <v>14</v>
      </c>
      <c r="J305" t="str">
        <f>_xlfn.XLOOKUP(C305,'product_masterlist(ifs)'!A:A,'product_masterlist(ifs)'!C:C,"N/A",0)</f>
        <v>Frames</v>
      </c>
      <c r="K305">
        <f>VLOOKUP(C305,'product_masterlist(ifs)'!A:I,7,FALSE)</f>
        <v>45</v>
      </c>
    </row>
    <row r="306" spans="1:11" x14ac:dyDescent="0.35">
      <c r="A306" t="s">
        <v>493</v>
      </c>
      <c r="B306" t="s">
        <v>457</v>
      </c>
      <c r="C306" t="s">
        <v>26</v>
      </c>
      <c r="D306">
        <v>24</v>
      </c>
      <c r="E306" t="s">
        <v>12</v>
      </c>
      <c r="F306" t="s">
        <v>31</v>
      </c>
      <c r="G306">
        <v>300</v>
      </c>
      <c r="H306">
        <v>14</v>
      </c>
      <c r="I306" t="s">
        <v>28</v>
      </c>
      <c r="J306" t="str">
        <f>_xlfn.XLOOKUP(C306,'product_masterlist(ifs)'!A:A,'product_masterlist(ifs)'!C:C,"N/A",0)</f>
        <v>Contact Lenses</v>
      </c>
      <c r="K306">
        <f>VLOOKUP(C306,'product_masterlist(ifs)'!A:I,7,FALSE)</f>
        <v>450</v>
      </c>
    </row>
    <row r="307" spans="1:11" x14ac:dyDescent="0.35">
      <c r="A307" t="s">
        <v>494</v>
      </c>
      <c r="B307" t="s">
        <v>146</v>
      </c>
      <c r="C307" t="s">
        <v>33</v>
      </c>
      <c r="D307">
        <v>13</v>
      </c>
      <c r="E307" t="s">
        <v>22</v>
      </c>
      <c r="F307" t="s">
        <v>13</v>
      </c>
      <c r="G307">
        <v>1950</v>
      </c>
      <c r="H307">
        <v>45</v>
      </c>
      <c r="I307" t="s">
        <v>34</v>
      </c>
      <c r="J307" t="str">
        <f>_xlfn.XLOOKUP(C307,'product_masterlist(ifs)'!A:A,'product_masterlist(ifs)'!C:C,"N/A",0)</f>
        <v>Surgical</v>
      </c>
      <c r="K307">
        <f>VLOOKUP(C307,'product_masterlist(ifs)'!A:I,7,FALSE)</f>
        <v>15</v>
      </c>
    </row>
    <row r="308" spans="1:11" x14ac:dyDescent="0.35">
      <c r="A308" t="s">
        <v>495</v>
      </c>
      <c r="B308" t="s">
        <v>196</v>
      </c>
      <c r="C308" t="s">
        <v>42</v>
      </c>
      <c r="D308">
        <v>18</v>
      </c>
      <c r="E308" t="s">
        <v>12</v>
      </c>
      <c r="F308" t="s">
        <v>18</v>
      </c>
      <c r="G308">
        <v>450</v>
      </c>
      <c r="H308">
        <v>21</v>
      </c>
      <c r="I308" t="s">
        <v>14</v>
      </c>
      <c r="J308" t="str">
        <f>_xlfn.XLOOKUP(C308,'product_masterlist(ifs)'!A:A,'product_masterlist(ifs)'!C:C,"N/A",0)</f>
        <v>Contact Lenses</v>
      </c>
      <c r="K308">
        <f>VLOOKUP(C308,'product_masterlist(ifs)'!A:I,7,FALSE)</f>
        <v>120</v>
      </c>
    </row>
    <row r="309" spans="1:11" x14ac:dyDescent="0.35">
      <c r="A309" t="s">
        <v>496</v>
      </c>
      <c r="B309" s="1">
        <v>45876</v>
      </c>
      <c r="C309" t="s">
        <v>42</v>
      </c>
      <c r="D309">
        <v>6</v>
      </c>
      <c r="E309" t="s">
        <v>37</v>
      </c>
      <c r="F309" t="s">
        <v>31</v>
      </c>
      <c r="G309">
        <v>150</v>
      </c>
      <c r="H309">
        <v>21</v>
      </c>
      <c r="I309" t="s">
        <v>14</v>
      </c>
      <c r="J309" t="str">
        <f>_xlfn.XLOOKUP(C309,'product_masterlist(ifs)'!A:A,'product_masterlist(ifs)'!C:C,"N/A",0)</f>
        <v>Contact Lenses</v>
      </c>
      <c r="K309">
        <f>VLOOKUP(C309,'product_masterlist(ifs)'!A:I,7,FALSE)</f>
        <v>120</v>
      </c>
    </row>
    <row r="310" spans="1:11" x14ac:dyDescent="0.35">
      <c r="A310" t="s">
        <v>497</v>
      </c>
      <c r="B310" s="1">
        <v>45662</v>
      </c>
      <c r="C310" t="s">
        <v>33</v>
      </c>
      <c r="D310">
        <v>1</v>
      </c>
      <c r="E310" t="s">
        <v>37</v>
      </c>
      <c r="F310" t="s">
        <v>31</v>
      </c>
      <c r="G310">
        <v>150</v>
      </c>
      <c r="H310">
        <v>45</v>
      </c>
      <c r="I310" t="s">
        <v>34</v>
      </c>
      <c r="J310" t="str">
        <f>_xlfn.XLOOKUP(C310,'product_masterlist(ifs)'!A:A,'product_masterlist(ifs)'!C:C,"N/A",0)</f>
        <v>Surgical</v>
      </c>
      <c r="K310">
        <f>VLOOKUP(C310,'product_masterlist(ifs)'!A:I,7,FALSE)</f>
        <v>15</v>
      </c>
    </row>
    <row r="311" spans="1:11" x14ac:dyDescent="0.35">
      <c r="A311" t="s">
        <v>498</v>
      </c>
      <c r="B311" t="s">
        <v>499</v>
      </c>
      <c r="C311" t="s">
        <v>26</v>
      </c>
      <c r="D311">
        <v>4</v>
      </c>
      <c r="E311" t="s">
        <v>20</v>
      </c>
      <c r="F311" t="s">
        <v>31</v>
      </c>
      <c r="G311">
        <v>50</v>
      </c>
      <c r="H311">
        <v>14</v>
      </c>
      <c r="I311" t="s">
        <v>28</v>
      </c>
      <c r="J311" t="str">
        <f>_xlfn.XLOOKUP(C311,'product_masterlist(ifs)'!A:A,'product_masterlist(ifs)'!C:C,"N/A",0)</f>
        <v>Contact Lenses</v>
      </c>
      <c r="K311">
        <f>VLOOKUP(C311,'product_masterlist(ifs)'!A:I,7,FALSE)</f>
        <v>450</v>
      </c>
    </row>
    <row r="312" spans="1:11" x14ac:dyDescent="0.35">
      <c r="A312" t="s">
        <v>500</v>
      </c>
      <c r="B312" t="s">
        <v>501</v>
      </c>
      <c r="C312" t="s">
        <v>33</v>
      </c>
      <c r="D312">
        <v>16</v>
      </c>
      <c r="E312" t="s">
        <v>20</v>
      </c>
      <c r="F312" t="s">
        <v>18</v>
      </c>
      <c r="G312">
        <v>2400</v>
      </c>
      <c r="H312">
        <v>45</v>
      </c>
      <c r="I312" t="s">
        <v>34</v>
      </c>
      <c r="J312" t="str">
        <f>_xlfn.XLOOKUP(C312,'product_masterlist(ifs)'!A:A,'product_masterlist(ifs)'!C:C,"N/A",0)</f>
        <v>Surgical</v>
      </c>
      <c r="K312">
        <f>VLOOKUP(C312,'product_masterlist(ifs)'!A:I,7,FALSE)</f>
        <v>15</v>
      </c>
    </row>
    <row r="313" spans="1:11" x14ac:dyDescent="0.35">
      <c r="A313" t="s">
        <v>502</v>
      </c>
      <c r="B313" t="s">
        <v>503</v>
      </c>
      <c r="C313" t="s">
        <v>90</v>
      </c>
      <c r="D313">
        <v>19</v>
      </c>
      <c r="E313" t="s">
        <v>20</v>
      </c>
      <c r="F313" t="s">
        <v>31</v>
      </c>
      <c r="G313" t="s">
        <v>504</v>
      </c>
      <c r="H313">
        <v>30</v>
      </c>
      <c r="I313" t="s">
        <v>14</v>
      </c>
      <c r="J313" t="str">
        <f>_xlfn.XLOOKUP(C313,'product_masterlist(ifs)'!A:A,'product_masterlist(ifs)'!C:C,"N/A",0)</f>
        <v>Frames</v>
      </c>
      <c r="K313">
        <f>VLOOKUP(C313,'product_masterlist(ifs)'!A:I,7,FALSE)</f>
        <v>180</v>
      </c>
    </row>
    <row r="314" spans="1:11" x14ac:dyDescent="0.35">
      <c r="A314" t="s">
        <v>505</v>
      </c>
      <c r="B314" t="s">
        <v>506</v>
      </c>
      <c r="C314" t="s">
        <v>42</v>
      </c>
      <c r="D314">
        <v>12</v>
      </c>
      <c r="E314" t="s">
        <v>12</v>
      </c>
      <c r="F314" t="s">
        <v>13</v>
      </c>
      <c r="G314">
        <v>300</v>
      </c>
      <c r="H314">
        <v>21</v>
      </c>
      <c r="I314" t="s">
        <v>14</v>
      </c>
      <c r="J314" t="str">
        <f>_xlfn.XLOOKUP(C314,'product_masterlist(ifs)'!A:A,'product_masterlist(ifs)'!C:C,"N/A",0)</f>
        <v>Contact Lenses</v>
      </c>
      <c r="K314">
        <f>VLOOKUP(C314,'product_masterlist(ifs)'!A:I,7,FALSE)</f>
        <v>120</v>
      </c>
    </row>
    <row r="315" spans="1:11" x14ac:dyDescent="0.35">
      <c r="A315" t="s">
        <v>507</v>
      </c>
      <c r="B315" t="s">
        <v>87</v>
      </c>
      <c r="C315" t="s">
        <v>11</v>
      </c>
      <c r="D315">
        <v>7</v>
      </c>
      <c r="E315" t="s">
        <v>22</v>
      </c>
      <c r="F315" t="s">
        <v>23</v>
      </c>
      <c r="G315">
        <v>595</v>
      </c>
      <c r="H315">
        <v>30</v>
      </c>
      <c r="I315" t="s">
        <v>14</v>
      </c>
      <c r="J315" t="str">
        <f>_xlfn.XLOOKUP(C315,'product_masterlist(ifs)'!A:A,'product_masterlist(ifs)'!C:C,"N/A",0)</f>
        <v>Surgical</v>
      </c>
      <c r="K315">
        <f>VLOOKUP(C315,'product_masterlist(ifs)'!A:I,7,FALSE)</f>
        <v>40</v>
      </c>
    </row>
    <row r="316" spans="1:11" x14ac:dyDescent="0.35">
      <c r="A316" t="s">
        <v>508</v>
      </c>
      <c r="B316" s="1">
        <v>45995</v>
      </c>
      <c r="C316" t="s">
        <v>42</v>
      </c>
      <c r="D316">
        <v>15</v>
      </c>
      <c r="E316" t="s">
        <v>12</v>
      </c>
      <c r="F316" t="s">
        <v>13</v>
      </c>
      <c r="G316">
        <v>375</v>
      </c>
      <c r="H316">
        <v>21</v>
      </c>
      <c r="I316" t="s">
        <v>14</v>
      </c>
      <c r="J316" t="str">
        <f>_xlfn.XLOOKUP(C316,'product_masterlist(ifs)'!A:A,'product_masterlist(ifs)'!C:C,"N/A",0)</f>
        <v>Contact Lenses</v>
      </c>
      <c r="K316">
        <f>VLOOKUP(C316,'product_masterlist(ifs)'!A:I,7,FALSE)</f>
        <v>120</v>
      </c>
    </row>
    <row r="317" spans="1:11" x14ac:dyDescent="0.35">
      <c r="A317" t="s">
        <v>509</v>
      </c>
      <c r="B317" t="s">
        <v>180</v>
      </c>
      <c r="C317" t="s">
        <v>90</v>
      </c>
      <c r="D317">
        <v>6</v>
      </c>
      <c r="E317" t="s">
        <v>12</v>
      </c>
      <c r="F317" t="s">
        <v>13</v>
      </c>
      <c r="G317">
        <v>291</v>
      </c>
      <c r="H317">
        <v>30</v>
      </c>
      <c r="I317" t="s">
        <v>14</v>
      </c>
      <c r="J317" t="str">
        <f>_xlfn.XLOOKUP(C317,'product_masterlist(ifs)'!A:A,'product_masterlist(ifs)'!C:C,"N/A",0)</f>
        <v>Frames</v>
      </c>
      <c r="K317">
        <f>VLOOKUP(C317,'product_masterlist(ifs)'!A:I,7,FALSE)</f>
        <v>180</v>
      </c>
    </row>
    <row r="318" spans="1:11" x14ac:dyDescent="0.35">
      <c r="A318" t="s">
        <v>510</v>
      </c>
      <c r="B318" t="s">
        <v>159</v>
      </c>
      <c r="C318" t="s">
        <v>17</v>
      </c>
      <c r="D318">
        <v>8</v>
      </c>
      <c r="E318" t="s">
        <v>22</v>
      </c>
      <c r="F318" t="s">
        <v>13</v>
      </c>
      <c r="G318">
        <v>360</v>
      </c>
      <c r="H318">
        <v>30</v>
      </c>
      <c r="I318" t="s">
        <v>14</v>
      </c>
      <c r="J318" t="str">
        <f>_xlfn.XLOOKUP(C318,'product_masterlist(ifs)'!A:A,'product_masterlist(ifs)'!C:C,"N/A",0)</f>
        <v>Frames</v>
      </c>
      <c r="K318">
        <f>VLOOKUP(C318,'product_masterlist(ifs)'!A:I,7,FALSE)</f>
        <v>45</v>
      </c>
    </row>
    <row r="319" spans="1:11" x14ac:dyDescent="0.35">
      <c r="A319" t="s">
        <v>511</v>
      </c>
      <c r="B319" s="1">
        <v>45695</v>
      </c>
      <c r="C319" t="s">
        <v>17</v>
      </c>
      <c r="D319">
        <v>10</v>
      </c>
      <c r="E319" t="s">
        <v>12</v>
      </c>
      <c r="F319" t="s">
        <v>23</v>
      </c>
      <c r="G319">
        <v>450</v>
      </c>
      <c r="H319">
        <v>30</v>
      </c>
      <c r="I319" t="s">
        <v>14</v>
      </c>
      <c r="J319" t="str">
        <f>_xlfn.XLOOKUP(C319,'product_masterlist(ifs)'!A:A,'product_masterlist(ifs)'!C:C,"N/A",0)</f>
        <v>Frames</v>
      </c>
      <c r="K319">
        <f>VLOOKUP(C319,'product_masterlist(ifs)'!A:I,7,FALSE)</f>
        <v>45</v>
      </c>
    </row>
    <row r="320" spans="1:11" x14ac:dyDescent="0.35">
      <c r="A320" t="s">
        <v>512</v>
      </c>
      <c r="B320" s="1">
        <v>45691</v>
      </c>
      <c r="C320" t="s">
        <v>26</v>
      </c>
      <c r="D320">
        <v>15</v>
      </c>
      <c r="E320" t="s">
        <v>20</v>
      </c>
      <c r="F320" t="s">
        <v>23</v>
      </c>
      <c r="G320" t="s">
        <v>513</v>
      </c>
      <c r="H320">
        <v>14</v>
      </c>
      <c r="I320" t="s">
        <v>28</v>
      </c>
      <c r="J320" t="str">
        <f>_xlfn.XLOOKUP(C320,'product_masterlist(ifs)'!A:A,'product_masterlist(ifs)'!C:C,"N/A",0)</f>
        <v>Contact Lenses</v>
      </c>
      <c r="K320">
        <f>VLOOKUP(C320,'product_masterlist(ifs)'!A:I,7,FALSE)</f>
        <v>450</v>
      </c>
    </row>
    <row r="321" spans="1:11" x14ac:dyDescent="0.35">
      <c r="A321" t="s">
        <v>514</v>
      </c>
      <c r="B321" t="s">
        <v>515</v>
      </c>
      <c r="C321" t="s">
        <v>33</v>
      </c>
      <c r="D321">
        <v>18</v>
      </c>
      <c r="E321" t="s">
        <v>22</v>
      </c>
      <c r="F321" t="s">
        <v>31</v>
      </c>
      <c r="G321">
        <v>2700</v>
      </c>
      <c r="H321">
        <v>45</v>
      </c>
      <c r="I321" t="s">
        <v>34</v>
      </c>
      <c r="J321" t="str">
        <f>_xlfn.XLOOKUP(C321,'product_masterlist(ifs)'!A:A,'product_masterlist(ifs)'!C:C,"N/A",0)</f>
        <v>Surgical</v>
      </c>
      <c r="K321">
        <f>VLOOKUP(C321,'product_masterlist(ifs)'!A:I,7,FALSE)</f>
        <v>15</v>
      </c>
    </row>
    <row r="322" spans="1:11" x14ac:dyDescent="0.35">
      <c r="A322" t="s">
        <v>516</v>
      </c>
      <c r="B322" s="1">
        <v>45659</v>
      </c>
      <c r="C322" t="s">
        <v>42</v>
      </c>
      <c r="D322">
        <v>2</v>
      </c>
      <c r="E322" t="s">
        <v>20</v>
      </c>
      <c r="F322" t="s">
        <v>18</v>
      </c>
      <c r="G322">
        <v>50</v>
      </c>
      <c r="H322">
        <v>21</v>
      </c>
      <c r="I322" t="s">
        <v>14</v>
      </c>
      <c r="J322" t="str">
        <f>_xlfn.XLOOKUP(C322,'product_masterlist(ifs)'!A:A,'product_masterlist(ifs)'!C:C,"N/A",0)</f>
        <v>Contact Lenses</v>
      </c>
      <c r="K322">
        <f>VLOOKUP(C322,'product_masterlist(ifs)'!A:I,7,FALSE)</f>
        <v>120</v>
      </c>
    </row>
    <row r="323" spans="1:11" x14ac:dyDescent="0.35">
      <c r="A323" t="s">
        <v>517</v>
      </c>
      <c r="B323" s="1">
        <v>45658</v>
      </c>
      <c r="C323" t="s">
        <v>53</v>
      </c>
      <c r="D323">
        <v>22</v>
      </c>
      <c r="E323" t="s">
        <v>37</v>
      </c>
      <c r="F323" t="s">
        <v>31</v>
      </c>
      <c r="G323" t="s">
        <v>176</v>
      </c>
      <c r="H323">
        <v>7</v>
      </c>
      <c r="I323" t="s">
        <v>28</v>
      </c>
      <c r="J323" t="str">
        <f>_xlfn.XLOOKUP(C323,'product_masterlist(ifs)'!A:A,'product_masterlist(ifs)'!C:C,"N/A",0)</f>
        <v>Solutions</v>
      </c>
      <c r="K323">
        <f>VLOOKUP(C323,'product_masterlist(ifs)'!A:I,7,FALSE)</f>
        <v>800</v>
      </c>
    </row>
    <row r="324" spans="1:11" x14ac:dyDescent="0.35">
      <c r="A324" t="s">
        <v>518</v>
      </c>
      <c r="B324" s="1">
        <v>46003</v>
      </c>
      <c r="C324" t="s">
        <v>33</v>
      </c>
      <c r="D324">
        <v>7</v>
      </c>
      <c r="E324" t="s">
        <v>22</v>
      </c>
      <c r="F324" t="s">
        <v>23</v>
      </c>
      <c r="G324">
        <v>1050</v>
      </c>
      <c r="H324">
        <v>45</v>
      </c>
      <c r="I324" t="s">
        <v>34</v>
      </c>
      <c r="J324" t="str">
        <f>_xlfn.XLOOKUP(C324,'product_masterlist(ifs)'!A:A,'product_masterlist(ifs)'!C:C,"N/A",0)</f>
        <v>Surgical</v>
      </c>
      <c r="K324">
        <f>VLOOKUP(C324,'product_masterlist(ifs)'!A:I,7,FALSE)</f>
        <v>15</v>
      </c>
    </row>
    <row r="325" spans="1:11" x14ac:dyDescent="0.35">
      <c r="A325" t="s">
        <v>519</v>
      </c>
      <c r="B325" t="s">
        <v>30</v>
      </c>
      <c r="C325" t="s">
        <v>26</v>
      </c>
      <c r="D325">
        <v>6</v>
      </c>
      <c r="E325" t="s">
        <v>22</v>
      </c>
      <c r="F325" t="s">
        <v>18</v>
      </c>
      <c r="G325">
        <v>75</v>
      </c>
      <c r="H325">
        <v>14</v>
      </c>
      <c r="I325" t="s">
        <v>28</v>
      </c>
      <c r="J325" t="str">
        <f>_xlfn.XLOOKUP(C325,'product_masterlist(ifs)'!A:A,'product_masterlist(ifs)'!C:C,"N/A",0)</f>
        <v>Contact Lenses</v>
      </c>
      <c r="K325">
        <f>VLOOKUP(C325,'product_masterlist(ifs)'!A:I,7,FALSE)</f>
        <v>450</v>
      </c>
    </row>
    <row r="326" spans="1:11" x14ac:dyDescent="0.35">
      <c r="A326" t="s">
        <v>520</v>
      </c>
      <c r="B326" t="s">
        <v>127</v>
      </c>
      <c r="C326" t="s">
        <v>17</v>
      </c>
      <c r="D326">
        <v>2</v>
      </c>
      <c r="E326" t="s">
        <v>12</v>
      </c>
      <c r="F326" t="s">
        <v>31</v>
      </c>
      <c r="G326">
        <v>90</v>
      </c>
      <c r="H326">
        <v>30</v>
      </c>
      <c r="I326" t="s">
        <v>14</v>
      </c>
      <c r="J326" t="str">
        <f>_xlfn.XLOOKUP(C326,'product_masterlist(ifs)'!A:A,'product_masterlist(ifs)'!C:C,"N/A",0)</f>
        <v>Frames</v>
      </c>
      <c r="K326">
        <f>VLOOKUP(C326,'product_masterlist(ifs)'!A:I,7,FALSE)</f>
        <v>45</v>
      </c>
    </row>
    <row r="327" spans="1:11" x14ac:dyDescent="0.35">
      <c r="A327" t="s">
        <v>521</v>
      </c>
      <c r="B327" t="s">
        <v>103</v>
      </c>
      <c r="C327" t="s">
        <v>90</v>
      </c>
      <c r="D327">
        <v>7</v>
      </c>
      <c r="E327" t="s">
        <v>37</v>
      </c>
      <c r="F327" t="s">
        <v>23</v>
      </c>
      <c r="G327" t="s">
        <v>181</v>
      </c>
      <c r="H327">
        <v>30</v>
      </c>
      <c r="I327" t="s">
        <v>14</v>
      </c>
      <c r="J327" t="str">
        <f>_xlfn.XLOOKUP(C327,'product_masterlist(ifs)'!A:A,'product_masterlist(ifs)'!C:C,"N/A",0)</f>
        <v>Frames</v>
      </c>
      <c r="K327">
        <f>VLOOKUP(C327,'product_masterlist(ifs)'!A:I,7,FALSE)</f>
        <v>180</v>
      </c>
    </row>
    <row r="328" spans="1:11" x14ac:dyDescent="0.35">
      <c r="A328" t="s">
        <v>522</v>
      </c>
      <c r="B328" t="s">
        <v>298</v>
      </c>
      <c r="C328" t="s">
        <v>17</v>
      </c>
      <c r="D328">
        <v>25</v>
      </c>
      <c r="E328" t="s">
        <v>12</v>
      </c>
      <c r="F328" t="s">
        <v>31</v>
      </c>
      <c r="G328">
        <v>1125</v>
      </c>
      <c r="H328">
        <v>30</v>
      </c>
      <c r="I328" t="s">
        <v>14</v>
      </c>
      <c r="J328" t="str">
        <f>_xlfn.XLOOKUP(C328,'product_masterlist(ifs)'!A:A,'product_masterlist(ifs)'!C:C,"N/A",0)</f>
        <v>Frames</v>
      </c>
      <c r="K328">
        <f>VLOOKUP(C328,'product_masterlist(ifs)'!A:I,7,FALSE)</f>
        <v>45</v>
      </c>
    </row>
    <row r="329" spans="1:11" x14ac:dyDescent="0.35">
      <c r="A329" t="s">
        <v>523</v>
      </c>
      <c r="B329" s="1">
        <v>45667</v>
      </c>
      <c r="C329" t="s">
        <v>17</v>
      </c>
      <c r="D329">
        <v>21</v>
      </c>
      <c r="E329" t="s">
        <v>20</v>
      </c>
      <c r="F329" t="s">
        <v>18</v>
      </c>
      <c r="G329">
        <v>945</v>
      </c>
      <c r="H329">
        <v>30</v>
      </c>
      <c r="I329" t="s">
        <v>14</v>
      </c>
      <c r="J329" t="str">
        <f>_xlfn.XLOOKUP(C329,'product_masterlist(ifs)'!A:A,'product_masterlist(ifs)'!C:C,"N/A",0)</f>
        <v>Frames</v>
      </c>
      <c r="K329">
        <f>VLOOKUP(C329,'product_masterlist(ifs)'!A:I,7,FALSE)</f>
        <v>45</v>
      </c>
    </row>
    <row r="330" spans="1:11" x14ac:dyDescent="0.35">
      <c r="A330" t="s">
        <v>524</v>
      </c>
      <c r="B330" s="1">
        <v>45751</v>
      </c>
      <c r="C330" t="s">
        <v>26</v>
      </c>
      <c r="D330">
        <v>11</v>
      </c>
      <c r="E330" t="s">
        <v>20</v>
      </c>
      <c r="F330" t="s">
        <v>31</v>
      </c>
      <c r="G330" t="s">
        <v>47</v>
      </c>
      <c r="H330">
        <v>14</v>
      </c>
      <c r="I330" t="s">
        <v>28</v>
      </c>
      <c r="J330" t="str">
        <f>_xlfn.XLOOKUP(C330,'product_masterlist(ifs)'!A:A,'product_masterlist(ifs)'!C:C,"N/A",0)</f>
        <v>Contact Lenses</v>
      </c>
      <c r="K330">
        <f>VLOOKUP(C330,'product_masterlist(ifs)'!A:I,7,FALSE)</f>
        <v>450</v>
      </c>
    </row>
    <row r="331" spans="1:11" x14ac:dyDescent="0.35">
      <c r="A331" t="s">
        <v>525</v>
      </c>
      <c r="B331" t="s">
        <v>60</v>
      </c>
      <c r="C331" t="s">
        <v>90</v>
      </c>
      <c r="D331">
        <v>11</v>
      </c>
      <c r="E331" t="s">
        <v>12</v>
      </c>
      <c r="F331" t="s">
        <v>18</v>
      </c>
      <c r="G331" t="s">
        <v>238</v>
      </c>
      <c r="H331">
        <v>30</v>
      </c>
      <c r="I331" t="s">
        <v>14</v>
      </c>
      <c r="J331" t="str">
        <f>_xlfn.XLOOKUP(C331,'product_masterlist(ifs)'!A:A,'product_masterlist(ifs)'!C:C,"N/A",0)</f>
        <v>Frames</v>
      </c>
      <c r="K331">
        <f>VLOOKUP(C331,'product_masterlist(ifs)'!A:I,7,FALSE)</f>
        <v>180</v>
      </c>
    </row>
    <row r="332" spans="1:11" x14ac:dyDescent="0.35">
      <c r="A332" t="s">
        <v>526</v>
      </c>
      <c r="B332" s="1">
        <v>45879</v>
      </c>
      <c r="C332" t="s">
        <v>11</v>
      </c>
      <c r="D332">
        <v>19</v>
      </c>
      <c r="E332" t="s">
        <v>12</v>
      </c>
      <c r="F332" t="s">
        <v>13</v>
      </c>
      <c r="G332">
        <v>1615</v>
      </c>
      <c r="H332">
        <v>30</v>
      </c>
      <c r="I332" t="s">
        <v>14</v>
      </c>
      <c r="J332" t="str">
        <f>_xlfn.XLOOKUP(C332,'product_masterlist(ifs)'!A:A,'product_masterlist(ifs)'!C:C,"N/A",0)</f>
        <v>Surgical</v>
      </c>
      <c r="K332">
        <f>VLOOKUP(C332,'product_masterlist(ifs)'!A:I,7,FALSE)</f>
        <v>40</v>
      </c>
    </row>
    <row r="333" spans="1:11" x14ac:dyDescent="0.35">
      <c r="A333" t="s">
        <v>527</v>
      </c>
      <c r="B333" t="s">
        <v>194</v>
      </c>
      <c r="C333" t="s">
        <v>17</v>
      </c>
      <c r="D333">
        <v>20</v>
      </c>
      <c r="E333" t="s">
        <v>37</v>
      </c>
      <c r="F333" t="s">
        <v>23</v>
      </c>
      <c r="G333">
        <v>900</v>
      </c>
      <c r="H333">
        <v>30</v>
      </c>
      <c r="I333" t="s">
        <v>14</v>
      </c>
      <c r="J333" t="str">
        <f>_xlfn.XLOOKUP(C333,'product_masterlist(ifs)'!A:A,'product_masterlist(ifs)'!C:C,"N/A",0)</f>
        <v>Frames</v>
      </c>
      <c r="K333">
        <f>VLOOKUP(C333,'product_masterlist(ifs)'!A:I,7,FALSE)</f>
        <v>45</v>
      </c>
    </row>
    <row r="334" spans="1:11" x14ac:dyDescent="0.35">
      <c r="A334" t="s">
        <v>528</v>
      </c>
      <c r="B334" s="1">
        <v>45814</v>
      </c>
      <c r="C334" t="s">
        <v>11</v>
      </c>
      <c r="D334">
        <v>20</v>
      </c>
      <c r="E334" t="s">
        <v>22</v>
      </c>
      <c r="F334" t="s">
        <v>23</v>
      </c>
      <c r="G334">
        <v>1700</v>
      </c>
      <c r="H334">
        <v>30</v>
      </c>
      <c r="I334" t="s">
        <v>14</v>
      </c>
      <c r="J334" t="str">
        <f>_xlfn.XLOOKUP(C334,'product_masterlist(ifs)'!A:A,'product_masterlist(ifs)'!C:C,"N/A",0)</f>
        <v>Surgical</v>
      </c>
      <c r="K334">
        <f>VLOOKUP(C334,'product_masterlist(ifs)'!A:I,7,FALSE)</f>
        <v>40</v>
      </c>
    </row>
    <row r="335" spans="1:11" x14ac:dyDescent="0.35">
      <c r="A335" t="s">
        <v>529</v>
      </c>
      <c r="B335" s="1">
        <v>45846</v>
      </c>
      <c r="C335" t="s">
        <v>26</v>
      </c>
      <c r="D335">
        <v>17</v>
      </c>
      <c r="E335" t="s">
        <v>37</v>
      </c>
      <c r="F335" t="s">
        <v>13</v>
      </c>
      <c r="G335" t="s">
        <v>152</v>
      </c>
      <c r="H335">
        <v>14</v>
      </c>
      <c r="I335" t="s">
        <v>28</v>
      </c>
      <c r="J335" t="str">
        <f>_xlfn.XLOOKUP(C335,'product_masterlist(ifs)'!A:A,'product_masterlist(ifs)'!C:C,"N/A",0)</f>
        <v>Contact Lenses</v>
      </c>
      <c r="K335">
        <f>VLOOKUP(C335,'product_masterlist(ifs)'!A:I,7,FALSE)</f>
        <v>450</v>
      </c>
    </row>
    <row r="336" spans="1:11" x14ac:dyDescent="0.35">
      <c r="A336" t="s">
        <v>530</v>
      </c>
      <c r="B336" s="1">
        <v>45842</v>
      </c>
      <c r="C336" t="s">
        <v>42</v>
      </c>
      <c r="D336">
        <v>15</v>
      </c>
      <c r="E336" t="s">
        <v>37</v>
      </c>
      <c r="F336" t="s">
        <v>13</v>
      </c>
      <c r="G336">
        <v>375</v>
      </c>
      <c r="H336">
        <v>21</v>
      </c>
      <c r="I336" t="s">
        <v>14</v>
      </c>
      <c r="J336" t="str">
        <f>_xlfn.XLOOKUP(C336,'product_masterlist(ifs)'!A:A,'product_masterlist(ifs)'!C:C,"N/A",0)</f>
        <v>Contact Lenses</v>
      </c>
      <c r="K336">
        <f>VLOOKUP(C336,'product_masterlist(ifs)'!A:I,7,FALSE)</f>
        <v>120</v>
      </c>
    </row>
    <row r="337" spans="1:11" x14ac:dyDescent="0.35">
      <c r="A337" t="s">
        <v>531</v>
      </c>
      <c r="B337" t="s">
        <v>532</v>
      </c>
      <c r="C337" t="s">
        <v>90</v>
      </c>
      <c r="D337">
        <v>1</v>
      </c>
      <c r="E337" t="s">
        <v>12</v>
      </c>
      <c r="F337" t="s">
        <v>31</v>
      </c>
      <c r="G337" t="s">
        <v>109</v>
      </c>
      <c r="H337">
        <v>30</v>
      </c>
      <c r="I337" t="s">
        <v>14</v>
      </c>
      <c r="J337" t="str">
        <f>_xlfn.XLOOKUP(C337,'product_masterlist(ifs)'!A:A,'product_masterlist(ifs)'!C:C,"N/A",0)</f>
        <v>Frames</v>
      </c>
      <c r="K337">
        <f>VLOOKUP(C337,'product_masterlist(ifs)'!A:I,7,FALSE)</f>
        <v>180</v>
      </c>
    </row>
    <row r="338" spans="1:11" x14ac:dyDescent="0.35">
      <c r="A338" t="s">
        <v>533</v>
      </c>
      <c r="B338" t="s">
        <v>406</v>
      </c>
      <c r="C338" t="s">
        <v>11</v>
      </c>
      <c r="D338">
        <v>21</v>
      </c>
      <c r="E338" t="s">
        <v>20</v>
      </c>
      <c r="F338" t="s">
        <v>31</v>
      </c>
      <c r="G338">
        <v>1785</v>
      </c>
      <c r="H338">
        <v>30</v>
      </c>
      <c r="I338" t="s">
        <v>14</v>
      </c>
      <c r="J338" t="str">
        <f>_xlfn.XLOOKUP(C338,'product_masterlist(ifs)'!A:A,'product_masterlist(ifs)'!C:C,"N/A",0)</f>
        <v>Surgical</v>
      </c>
      <c r="K338">
        <f>VLOOKUP(C338,'product_masterlist(ifs)'!A:I,7,FALSE)</f>
        <v>40</v>
      </c>
    </row>
    <row r="339" spans="1:11" x14ac:dyDescent="0.35">
      <c r="A339" t="s">
        <v>534</v>
      </c>
      <c r="B339" t="s">
        <v>535</v>
      </c>
      <c r="C339" t="s">
        <v>33</v>
      </c>
      <c r="D339">
        <v>3</v>
      </c>
      <c r="E339" t="s">
        <v>20</v>
      </c>
      <c r="F339" t="s">
        <v>18</v>
      </c>
      <c r="G339">
        <v>450</v>
      </c>
      <c r="H339">
        <v>45</v>
      </c>
      <c r="I339" t="s">
        <v>34</v>
      </c>
      <c r="J339" t="str">
        <f>_xlfn.XLOOKUP(C339,'product_masterlist(ifs)'!A:A,'product_masterlist(ifs)'!C:C,"N/A",0)</f>
        <v>Surgical</v>
      </c>
      <c r="K339">
        <f>VLOOKUP(C339,'product_masterlist(ifs)'!A:I,7,FALSE)</f>
        <v>15</v>
      </c>
    </row>
    <row r="340" spans="1:11" x14ac:dyDescent="0.35">
      <c r="A340" t="s">
        <v>536</v>
      </c>
      <c r="B340" t="s">
        <v>271</v>
      </c>
      <c r="C340" t="s">
        <v>90</v>
      </c>
      <c r="D340">
        <v>21</v>
      </c>
      <c r="E340" t="s">
        <v>12</v>
      </c>
      <c r="F340" t="s">
        <v>18</v>
      </c>
      <c r="G340" t="s">
        <v>120</v>
      </c>
      <c r="H340">
        <v>30</v>
      </c>
      <c r="I340" t="s">
        <v>14</v>
      </c>
      <c r="J340" t="str">
        <f>_xlfn.XLOOKUP(C340,'product_masterlist(ifs)'!A:A,'product_masterlist(ifs)'!C:C,"N/A",0)</f>
        <v>Frames</v>
      </c>
      <c r="K340">
        <f>VLOOKUP(C340,'product_masterlist(ifs)'!A:I,7,FALSE)</f>
        <v>180</v>
      </c>
    </row>
    <row r="341" spans="1:11" x14ac:dyDescent="0.35">
      <c r="A341" t="s">
        <v>537</v>
      </c>
      <c r="B341" s="1">
        <v>45757</v>
      </c>
      <c r="C341" t="s">
        <v>26</v>
      </c>
      <c r="D341">
        <v>12</v>
      </c>
      <c r="E341" t="s">
        <v>37</v>
      </c>
      <c r="F341" t="s">
        <v>18</v>
      </c>
      <c r="G341">
        <v>150</v>
      </c>
      <c r="H341">
        <v>14</v>
      </c>
      <c r="I341" t="s">
        <v>28</v>
      </c>
      <c r="J341" t="str">
        <f>_xlfn.XLOOKUP(C341,'product_masterlist(ifs)'!A:A,'product_masterlist(ifs)'!C:C,"N/A",0)</f>
        <v>Contact Lenses</v>
      </c>
      <c r="K341">
        <f>VLOOKUP(C341,'product_masterlist(ifs)'!A:I,7,FALSE)</f>
        <v>450</v>
      </c>
    </row>
    <row r="342" spans="1:11" x14ac:dyDescent="0.35">
      <c r="A342" t="s">
        <v>538</v>
      </c>
      <c r="B342" s="1">
        <v>45908</v>
      </c>
      <c r="C342" t="s">
        <v>33</v>
      </c>
      <c r="D342">
        <v>20</v>
      </c>
      <c r="E342" t="s">
        <v>12</v>
      </c>
      <c r="F342" t="s">
        <v>23</v>
      </c>
      <c r="G342">
        <v>3000</v>
      </c>
      <c r="H342">
        <v>45</v>
      </c>
      <c r="I342" t="s">
        <v>34</v>
      </c>
      <c r="J342" t="str">
        <f>_xlfn.XLOOKUP(C342,'product_masterlist(ifs)'!A:A,'product_masterlist(ifs)'!C:C,"N/A",0)</f>
        <v>Surgical</v>
      </c>
      <c r="K342">
        <f>VLOOKUP(C342,'product_masterlist(ifs)'!A:I,7,FALSE)</f>
        <v>15</v>
      </c>
    </row>
    <row r="343" spans="1:11" x14ac:dyDescent="0.35">
      <c r="A343" t="s">
        <v>539</v>
      </c>
      <c r="B343" t="s">
        <v>395</v>
      </c>
      <c r="C343" t="s">
        <v>17</v>
      </c>
      <c r="D343">
        <v>22</v>
      </c>
      <c r="E343" t="s">
        <v>37</v>
      </c>
      <c r="F343" t="s">
        <v>13</v>
      </c>
      <c r="G343">
        <v>990</v>
      </c>
      <c r="H343">
        <v>30</v>
      </c>
      <c r="I343" t="s">
        <v>14</v>
      </c>
      <c r="J343" t="str">
        <f>_xlfn.XLOOKUP(C343,'product_masterlist(ifs)'!A:A,'product_masterlist(ifs)'!C:C,"N/A",0)</f>
        <v>Frames</v>
      </c>
      <c r="K343">
        <f>VLOOKUP(C343,'product_masterlist(ifs)'!A:I,7,FALSE)</f>
        <v>45</v>
      </c>
    </row>
    <row r="344" spans="1:11" x14ac:dyDescent="0.35">
      <c r="A344" t="s">
        <v>540</v>
      </c>
      <c r="B344" t="s">
        <v>30</v>
      </c>
      <c r="C344" t="s">
        <v>11</v>
      </c>
      <c r="D344">
        <v>10</v>
      </c>
      <c r="E344" t="s">
        <v>37</v>
      </c>
      <c r="F344" t="s">
        <v>31</v>
      </c>
      <c r="G344">
        <v>850</v>
      </c>
      <c r="H344">
        <v>30</v>
      </c>
      <c r="I344" t="s">
        <v>14</v>
      </c>
      <c r="J344" t="str">
        <f>_xlfn.XLOOKUP(C344,'product_masterlist(ifs)'!A:A,'product_masterlist(ifs)'!C:C,"N/A",0)</f>
        <v>Surgical</v>
      </c>
      <c r="K344">
        <f>VLOOKUP(C344,'product_masterlist(ifs)'!A:I,7,FALSE)</f>
        <v>40</v>
      </c>
    </row>
    <row r="345" spans="1:11" x14ac:dyDescent="0.35">
      <c r="A345" t="s">
        <v>541</v>
      </c>
      <c r="B345" s="1">
        <v>45727</v>
      </c>
      <c r="C345" t="s">
        <v>11</v>
      </c>
      <c r="D345">
        <v>11</v>
      </c>
      <c r="E345" t="s">
        <v>12</v>
      </c>
      <c r="F345" t="s">
        <v>31</v>
      </c>
      <c r="G345">
        <v>935</v>
      </c>
      <c r="H345">
        <v>30</v>
      </c>
      <c r="I345" t="s">
        <v>14</v>
      </c>
      <c r="J345" t="str">
        <f>_xlfn.XLOOKUP(C345,'product_masterlist(ifs)'!A:A,'product_masterlist(ifs)'!C:C,"N/A",0)</f>
        <v>Surgical</v>
      </c>
      <c r="K345">
        <f>VLOOKUP(C345,'product_masterlist(ifs)'!A:I,7,FALSE)</f>
        <v>40</v>
      </c>
    </row>
    <row r="346" spans="1:11" x14ac:dyDescent="0.35">
      <c r="A346" t="s">
        <v>542</v>
      </c>
      <c r="B346" s="1">
        <v>45694</v>
      </c>
      <c r="C346" t="s">
        <v>42</v>
      </c>
      <c r="D346">
        <v>12</v>
      </c>
      <c r="E346" t="s">
        <v>12</v>
      </c>
      <c r="F346" t="s">
        <v>23</v>
      </c>
      <c r="G346">
        <v>300</v>
      </c>
      <c r="H346">
        <v>21</v>
      </c>
      <c r="I346" t="s">
        <v>14</v>
      </c>
      <c r="J346" t="str">
        <f>_xlfn.XLOOKUP(C346,'product_masterlist(ifs)'!A:A,'product_masterlist(ifs)'!C:C,"N/A",0)</f>
        <v>Contact Lenses</v>
      </c>
      <c r="K346">
        <f>VLOOKUP(C346,'product_masterlist(ifs)'!A:I,7,FALSE)</f>
        <v>120</v>
      </c>
    </row>
    <row r="347" spans="1:11" x14ac:dyDescent="0.35">
      <c r="A347" t="s">
        <v>543</v>
      </c>
      <c r="B347" s="1">
        <v>45849</v>
      </c>
      <c r="C347" t="s">
        <v>53</v>
      </c>
      <c r="D347">
        <v>1</v>
      </c>
      <c r="E347" t="s">
        <v>12</v>
      </c>
      <c r="F347" t="s">
        <v>23</v>
      </c>
      <c r="G347" t="s">
        <v>372</v>
      </c>
      <c r="H347">
        <v>7</v>
      </c>
      <c r="I347" t="s">
        <v>28</v>
      </c>
      <c r="J347" t="str">
        <f>_xlfn.XLOOKUP(C347,'product_masterlist(ifs)'!A:A,'product_masterlist(ifs)'!C:C,"N/A",0)</f>
        <v>Solutions</v>
      </c>
      <c r="K347">
        <f>VLOOKUP(C347,'product_masterlist(ifs)'!A:I,7,FALSE)</f>
        <v>800</v>
      </c>
    </row>
    <row r="348" spans="1:11" x14ac:dyDescent="0.35">
      <c r="A348" t="s">
        <v>544</v>
      </c>
      <c r="B348" t="s">
        <v>545</v>
      </c>
      <c r="C348" t="s">
        <v>53</v>
      </c>
      <c r="D348">
        <v>12</v>
      </c>
      <c r="E348" t="s">
        <v>20</v>
      </c>
      <c r="F348" t="s">
        <v>31</v>
      </c>
      <c r="G348">
        <v>51</v>
      </c>
      <c r="H348">
        <v>7</v>
      </c>
      <c r="I348" t="s">
        <v>28</v>
      </c>
      <c r="J348" t="str">
        <f>_xlfn.XLOOKUP(C348,'product_masterlist(ifs)'!A:A,'product_masterlist(ifs)'!C:C,"N/A",0)</f>
        <v>Solutions</v>
      </c>
      <c r="K348">
        <f>VLOOKUP(C348,'product_masterlist(ifs)'!A:I,7,FALSE)</f>
        <v>800</v>
      </c>
    </row>
    <row r="349" spans="1:11" x14ac:dyDescent="0.35">
      <c r="A349" t="s">
        <v>546</v>
      </c>
      <c r="B349" t="s">
        <v>547</v>
      </c>
      <c r="C349" t="s">
        <v>11</v>
      </c>
      <c r="D349">
        <v>7</v>
      </c>
      <c r="E349" t="s">
        <v>22</v>
      </c>
      <c r="F349" t="s">
        <v>18</v>
      </c>
      <c r="G349">
        <v>595</v>
      </c>
      <c r="H349">
        <v>30</v>
      </c>
      <c r="I349" t="s">
        <v>14</v>
      </c>
      <c r="J349" t="str">
        <f>_xlfn.XLOOKUP(C349,'product_masterlist(ifs)'!A:A,'product_masterlist(ifs)'!C:C,"N/A",0)</f>
        <v>Surgical</v>
      </c>
      <c r="K349">
        <f>VLOOKUP(C349,'product_masterlist(ifs)'!A:I,7,FALSE)</f>
        <v>40</v>
      </c>
    </row>
    <row r="350" spans="1:11" x14ac:dyDescent="0.35">
      <c r="A350" t="s">
        <v>548</v>
      </c>
      <c r="B350" s="1">
        <v>45811</v>
      </c>
      <c r="C350" t="s">
        <v>33</v>
      </c>
      <c r="D350">
        <v>9</v>
      </c>
      <c r="E350" t="s">
        <v>37</v>
      </c>
      <c r="F350" t="s">
        <v>31</v>
      </c>
      <c r="G350">
        <v>1350</v>
      </c>
      <c r="H350">
        <v>45</v>
      </c>
      <c r="I350" t="s">
        <v>34</v>
      </c>
      <c r="J350" t="str">
        <f>_xlfn.XLOOKUP(C350,'product_masterlist(ifs)'!A:A,'product_masterlist(ifs)'!C:C,"N/A",0)</f>
        <v>Surgical</v>
      </c>
      <c r="K350">
        <f>VLOOKUP(C350,'product_masterlist(ifs)'!A:I,7,FALSE)</f>
        <v>15</v>
      </c>
    </row>
    <row r="351" spans="1:11" x14ac:dyDescent="0.35">
      <c r="A351" t="s">
        <v>549</v>
      </c>
      <c r="B351" t="s">
        <v>550</v>
      </c>
      <c r="C351" t="s">
        <v>33</v>
      </c>
      <c r="D351">
        <v>23</v>
      </c>
      <c r="E351" t="s">
        <v>20</v>
      </c>
      <c r="F351" t="s">
        <v>23</v>
      </c>
      <c r="G351">
        <v>3450</v>
      </c>
      <c r="H351">
        <v>45</v>
      </c>
      <c r="I351" t="s">
        <v>34</v>
      </c>
      <c r="J351" t="str">
        <f>_xlfn.XLOOKUP(C351,'product_masterlist(ifs)'!A:A,'product_masterlist(ifs)'!C:C,"N/A",0)</f>
        <v>Surgical</v>
      </c>
      <c r="K351">
        <f>VLOOKUP(C351,'product_masterlist(ifs)'!A:I,7,FALSE)</f>
        <v>15</v>
      </c>
    </row>
    <row r="352" spans="1:11" x14ac:dyDescent="0.35">
      <c r="A352" t="s">
        <v>551</v>
      </c>
      <c r="B352" t="s">
        <v>398</v>
      </c>
      <c r="C352" t="s">
        <v>33</v>
      </c>
      <c r="D352">
        <v>3</v>
      </c>
      <c r="E352" t="s">
        <v>20</v>
      </c>
      <c r="F352" t="s">
        <v>31</v>
      </c>
      <c r="G352">
        <v>450</v>
      </c>
      <c r="H352">
        <v>45</v>
      </c>
      <c r="I352" t="s">
        <v>34</v>
      </c>
      <c r="J352" t="str">
        <f>_xlfn.XLOOKUP(C352,'product_masterlist(ifs)'!A:A,'product_masterlist(ifs)'!C:C,"N/A",0)</f>
        <v>Surgical</v>
      </c>
      <c r="K352">
        <f>VLOOKUP(C352,'product_masterlist(ifs)'!A:I,7,FALSE)</f>
        <v>15</v>
      </c>
    </row>
    <row r="353" spans="1:11" x14ac:dyDescent="0.35">
      <c r="A353" t="s">
        <v>552</v>
      </c>
      <c r="B353" t="s">
        <v>553</v>
      </c>
      <c r="C353" t="s">
        <v>26</v>
      </c>
      <c r="D353">
        <v>1</v>
      </c>
      <c r="E353" t="s">
        <v>22</v>
      </c>
      <c r="F353" t="s">
        <v>13</v>
      </c>
      <c r="G353" t="s">
        <v>101</v>
      </c>
      <c r="H353">
        <v>14</v>
      </c>
      <c r="I353" t="s">
        <v>28</v>
      </c>
      <c r="J353" t="str">
        <f>_xlfn.XLOOKUP(C353,'product_masterlist(ifs)'!A:A,'product_masterlist(ifs)'!C:C,"N/A",0)</f>
        <v>Contact Lenses</v>
      </c>
      <c r="K353">
        <f>VLOOKUP(C353,'product_masterlist(ifs)'!A:I,7,FALSE)</f>
        <v>450</v>
      </c>
    </row>
    <row r="354" spans="1:11" x14ac:dyDescent="0.35">
      <c r="A354" t="s">
        <v>554</v>
      </c>
      <c r="B354" s="1">
        <v>45690</v>
      </c>
      <c r="C354" t="s">
        <v>33</v>
      </c>
      <c r="D354">
        <v>23</v>
      </c>
      <c r="E354" t="s">
        <v>37</v>
      </c>
      <c r="F354" t="s">
        <v>18</v>
      </c>
      <c r="G354">
        <v>3450</v>
      </c>
      <c r="H354">
        <v>45</v>
      </c>
      <c r="I354" t="s">
        <v>34</v>
      </c>
      <c r="J354" t="str">
        <f>_xlfn.XLOOKUP(C354,'product_masterlist(ifs)'!A:A,'product_masterlist(ifs)'!C:C,"N/A",0)</f>
        <v>Surgical</v>
      </c>
      <c r="K354">
        <f>VLOOKUP(C354,'product_masterlist(ifs)'!A:I,7,FALSE)</f>
        <v>15</v>
      </c>
    </row>
    <row r="355" spans="1:11" x14ac:dyDescent="0.35">
      <c r="A355" t="s">
        <v>555</v>
      </c>
      <c r="B355" t="s">
        <v>499</v>
      </c>
      <c r="C355" t="s">
        <v>26</v>
      </c>
      <c r="D355">
        <v>17</v>
      </c>
      <c r="E355" t="s">
        <v>20</v>
      </c>
      <c r="F355" t="s">
        <v>13</v>
      </c>
      <c r="G355" t="s">
        <v>152</v>
      </c>
      <c r="H355">
        <v>14</v>
      </c>
      <c r="I355" t="s">
        <v>28</v>
      </c>
      <c r="J355" t="str">
        <f>_xlfn.XLOOKUP(C355,'product_masterlist(ifs)'!A:A,'product_masterlist(ifs)'!C:C,"N/A",0)</f>
        <v>Contact Lenses</v>
      </c>
      <c r="K355">
        <f>VLOOKUP(C355,'product_masterlist(ifs)'!A:I,7,FALSE)</f>
        <v>450</v>
      </c>
    </row>
    <row r="356" spans="1:11" x14ac:dyDescent="0.35">
      <c r="A356" t="s">
        <v>556</v>
      </c>
      <c r="B356" t="s">
        <v>52</v>
      </c>
      <c r="C356" t="s">
        <v>33</v>
      </c>
      <c r="D356">
        <v>23</v>
      </c>
      <c r="E356" t="s">
        <v>22</v>
      </c>
      <c r="F356" t="s">
        <v>18</v>
      </c>
      <c r="G356">
        <v>3450</v>
      </c>
      <c r="H356">
        <v>45</v>
      </c>
      <c r="I356" t="s">
        <v>34</v>
      </c>
      <c r="J356" t="str">
        <f>_xlfn.XLOOKUP(C356,'product_masterlist(ifs)'!A:A,'product_masterlist(ifs)'!C:C,"N/A",0)</f>
        <v>Surgical</v>
      </c>
      <c r="K356">
        <f>VLOOKUP(C356,'product_masterlist(ifs)'!A:I,7,FALSE)</f>
        <v>15</v>
      </c>
    </row>
    <row r="357" spans="1:11" x14ac:dyDescent="0.35">
      <c r="A357" t="s">
        <v>557</v>
      </c>
      <c r="B357" s="1">
        <v>45726</v>
      </c>
      <c r="C357" t="s">
        <v>53</v>
      </c>
      <c r="D357">
        <v>4</v>
      </c>
      <c r="E357" t="s">
        <v>37</v>
      </c>
      <c r="F357" t="s">
        <v>18</v>
      </c>
      <c r="G357">
        <v>17</v>
      </c>
      <c r="H357">
        <v>7</v>
      </c>
      <c r="I357" t="s">
        <v>28</v>
      </c>
      <c r="J357" t="str">
        <f>_xlfn.XLOOKUP(C357,'product_masterlist(ifs)'!A:A,'product_masterlist(ifs)'!C:C,"N/A",0)</f>
        <v>Solutions</v>
      </c>
      <c r="K357">
        <f>VLOOKUP(C357,'product_masterlist(ifs)'!A:I,7,FALSE)</f>
        <v>800</v>
      </c>
    </row>
    <row r="358" spans="1:11" x14ac:dyDescent="0.35">
      <c r="A358" t="s">
        <v>558</v>
      </c>
      <c r="B358" s="1">
        <v>45658</v>
      </c>
      <c r="C358" t="s">
        <v>17</v>
      </c>
      <c r="D358">
        <v>23</v>
      </c>
      <c r="E358" t="s">
        <v>22</v>
      </c>
      <c r="F358" t="s">
        <v>13</v>
      </c>
      <c r="G358">
        <v>1035</v>
      </c>
      <c r="H358">
        <v>30</v>
      </c>
      <c r="I358" t="s">
        <v>14</v>
      </c>
      <c r="J358" t="str">
        <f>_xlfn.XLOOKUP(C358,'product_masterlist(ifs)'!A:A,'product_masterlist(ifs)'!C:C,"N/A",0)</f>
        <v>Frames</v>
      </c>
      <c r="K358">
        <f>VLOOKUP(C358,'product_masterlist(ifs)'!A:I,7,FALSE)</f>
        <v>45</v>
      </c>
    </row>
    <row r="359" spans="1:11" x14ac:dyDescent="0.35">
      <c r="A359" t="s">
        <v>559</v>
      </c>
      <c r="B359" s="1">
        <v>45812</v>
      </c>
      <c r="C359" t="s">
        <v>42</v>
      </c>
      <c r="D359">
        <v>23</v>
      </c>
      <c r="E359" t="s">
        <v>37</v>
      </c>
      <c r="F359" t="s">
        <v>31</v>
      </c>
      <c r="G359">
        <v>575</v>
      </c>
      <c r="H359">
        <v>21</v>
      </c>
      <c r="I359" t="s">
        <v>14</v>
      </c>
      <c r="J359" t="str">
        <f>_xlfn.XLOOKUP(C359,'product_masterlist(ifs)'!A:A,'product_masterlist(ifs)'!C:C,"N/A",0)</f>
        <v>Contact Lenses</v>
      </c>
      <c r="K359">
        <f>VLOOKUP(C359,'product_masterlist(ifs)'!A:I,7,FALSE)</f>
        <v>120</v>
      </c>
    </row>
    <row r="360" spans="1:11" x14ac:dyDescent="0.35">
      <c r="A360" t="s">
        <v>560</v>
      </c>
      <c r="B360" t="s">
        <v>561</v>
      </c>
      <c r="C360" t="s">
        <v>17</v>
      </c>
      <c r="D360">
        <v>22</v>
      </c>
      <c r="E360" t="s">
        <v>22</v>
      </c>
      <c r="F360" t="s">
        <v>23</v>
      </c>
      <c r="G360">
        <v>990</v>
      </c>
      <c r="H360">
        <v>30</v>
      </c>
      <c r="I360" t="s">
        <v>14</v>
      </c>
      <c r="J360" t="str">
        <f>_xlfn.XLOOKUP(C360,'product_masterlist(ifs)'!A:A,'product_masterlist(ifs)'!C:C,"N/A",0)</f>
        <v>Frames</v>
      </c>
      <c r="K360">
        <f>VLOOKUP(C360,'product_masterlist(ifs)'!A:I,7,FALSE)</f>
        <v>45</v>
      </c>
    </row>
    <row r="361" spans="1:11" x14ac:dyDescent="0.35">
      <c r="A361" t="s">
        <v>562</v>
      </c>
      <c r="B361" t="s">
        <v>439</v>
      </c>
      <c r="C361" t="s">
        <v>17</v>
      </c>
      <c r="D361">
        <v>14</v>
      </c>
      <c r="E361" t="s">
        <v>12</v>
      </c>
      <c r="F361" t="s">
        <v>18</v>
      </c>
      <c r="G361">
        <v>630</v>
      </c>
      <c r="H361">
        <v>30</v>
      </c>
      <c r="I361" t="s">
        <v>14</v>
      </c>
      <c r="J361" t="str">
        <f>_xlfn.XLOOKUP(C361,'product_masterlist(ifs)'!A:A,'product_masterlist(ifs)'!C:C,"N/A",0)</f>
        <v>Frames</v>
      </c>
      <c r="K361">
        <f>VLOOKUP(C361,'product_masterlist(ifs)'!A:I,7,FALSE)</f>
        <v>45</v>
      </c>
    </row>
    <row r="362" spans="1:11" x14ac:dyDescent="0.35">
      <c r="A362" t="s">
        <v>563</v>
      </c>
      <c r="B362" s="1">
        <v>45812</v>
      </c>
      <c r="C362" t="s">
        <v>42</v>
      </c>
      <c r="D362">
        <v>23</v>
      </c>
      <c r="E362" t="s">
        <v>12</v>
      </c>
      <c r="F362" t="s">
        <v>31</v>
      </c>
      <c r="G362">
        <v>575</v>
      </c>
      <c r="H362">
        <v>21</v>
      </c>
      <c r="I362" t="s">
        <v>14</v>
      </c>
      <c r="J362" t="str">
        <f>_xlfn.XLOOKUP(C362,'product_masterlist(ifs)'!A:A,'product_masterlist(ifs)'!C:C,"N/A",0)</f>
        <v>Contact Lenses</v>
      </c>
      <c r="K362">
        <f>VLOOKUP(C362,'product_masterlist(ifs)'!A:I,7,FALSE)</f>
        <v>120</v>
      </c>
    </row>
    <row r="363" spans="1:11" x14ac:dyDescent="0.35">
      <c r="A363" t="s">
        <v>564</v>
      </c>
      <c r="B363" t="s">
        <v>565</v>
      </c>
      <c r="C363" t="s">
        <v>17</v>
      </c>
      <c r="D363">
        <v>3</v>
      </c>
      <c r="E363" t="s">
        <v>20</v>
      </c>
      <c r="F363" t="s">
        <v>13</v>
      </c>
      <c r="G363">
        <v>135</v>
      </c>
      <c r="H363">
        <v>30</v>
      </c>
      <c r="I363" t="s">
        <v>14</v>
      </c>
      <c r="J363" t="str">
        <f>_xlfn.XLOOKUP(C363,'product_masterlist(ifs)'!A:A,'product_masterlist(ifs)'!C:C,"N/A",0)</f>
        <v>Frames</v>
      </c>
      <c r="K363">
        <f>VLOOKUP(C363,'product_masterlist(ifs)'!A:I,7,FALSE)</f>
        <v>45</v>
      </c>
    </row>
    <row r="364" spans="1:11" x14ac:dyDescent="0.35">
      <c r="A364" t="s">
        <v>566</v>
      </c>
      <c r="B364" t="s">
        <v>567</v>
      </c>
      <c r="C364" t="s">
        <v>17</v>
      </c>
      <c r="D364">
        <v>11</v>
      </c>
      <c r="E364" t="s">
        <v>20</v>
      </c>
      <c r="F364" t="s">
        <v>13</v>
      </c>
      <c r="G364">
        <v>495</v>
      </c>
      <c r="H364">
        <v>30</v>
      </c>
      <c r="I364" t="s">
        <v>14</v>
      </c>
      <c r="J364" t="str">
        <f>_xlfn.XLOOKUP(C364,'product_masterlist(ifs)'!A:A,'product_masterlist(ifs)'!C:C,"N/A",0)</f>
        <v>Frames</v>
      </c>
      <c r="K364">
        <f>VLOOKUP(C364,'product_masterlist(ifs)'!A:I,7,FALSE)</f>
        <v>45</v>
      </c>
    </row>
    <row r="365" spans="1:11" x14ac:dyDescent="0.35">
      <c r="A365" t="s">
        <v>568</v>
      </c>
      <c r="B365" t="s">
        <v>569</v>
      </c>
      <c r="C365" t="s">
        <v>90</v>
      </c>
      <c r="D365">
        <v>17</v>
      </c>
      <c r="E365" t="s">
        <v>22</v>
      </c>
      <c r="F365" t="s">
        <v>31</v>
      </c>
      <c r="G365" t="s">
        <v>362</v>
      </c>
      <c r="H365">
        <v>30</v>
      </c>
      <c r="I365" t="s">
        <v>14</v>
      </c>
      <c r="J365" t="str">
        <f>_xlfn.XLOOKUP(C365,'product_masterlist(ifs)'!A:A,'product_masterlist(ifs)'!C:C,"N/A",0)</f>
        <v>Frames</v>
      </c>
      <c r="K365">
        <f>VLOOKUP(C365,'product_masterlist(ifs)'!A:I,7,FALSE)</f>
        <v>180</v>
      </c>
    </row>
    <row r="366" spans="1:11" x14ac:dyDescent="0.35">
      <c r="A366" t="s">
        <v>570</v>
      </c>
      <c r="B366" t="s">
        <v>208</v>
      </c>
      <c r="C366" t="s">
        <v>90</v>
      </c>
      <c r="D366">
        <v>1</v>
      </c>
      <c r="E366" t="s">
        <v>20</v>
      </c>
      <c r="F366" t="s">
        <v>18</v>
      </c>
      <c r="G366" t="s">
        <v>109</v>
      </c>
      <c r="H366">
        <v>30</v>
      </c>
      <c r="I366" t="s">
        <v>14</v>
      </c>
      <c r="J366" t="str">
        <f>_xlfn.XLOOKUP(C366,'product_masterlist(ifs)'!A:A,'product_masterlist(ifs)'!C:C,"N/A",0)</f>
        <v>Frames</v>
      </c>
      <c r="K366">
        <f>VLOOKUP(C366,'product_masterlist(ifs)'!A:I,7,FALSE)</f>
        <v>180</v>
      </c>
    </row>
    <row r="367" spans="1:11" x14ac:dyDescent="0.35">
      <c r="A367" t="s">
        <v>571</v>
      </c>
      <c r="B367" t="s">
        <v>196</v>
      </c>
      <c r="C367" t="s">
        <v>42</v>
      </c>
      <c r="D367">
        <v>16</v>
      </c>
      <c r="E367" t="s">
        <v>20</v>
      </c>
      <c r="F367" t="s">
        <v>18</v>
      </c>
      <c r="G367">
        <v>400</v>
      </c>
      <c r="H367">
        <v>21</v>
      </c>
      <c r="I367" t="s">
        <v>14</v>
      </c>
      <c r="J367" t="str">
        <f>_xlfn.XLOOKUP(C367,'product_masterlist(ifs)'!A:A,'product_masterlist(ifs)'!C:C,"N/A",0)</f>
        <v>Contact Lenses</v>
      </c>
      <c r="K367">
        <f>VLOOKUP(C367,'product_masterlist(ifs)'!A:I,7,FALSE)</f>
        <v>120</v>
      </c>
    </row>
    <row r="368" spans="1:11" x14ac:dyDescent="0.35">
      <c r="A368" t="s">
        <v>572</v>
      </c>
      <c r="B368" t="s">
        <v>233</v>
      </c>
      <c r="C368" t="s">
        <v>11</v>
      </c>
      <c r="D368">
        <v>19</v>
      </c>
      <c r="E368" t="s">
        <v>22</v>
      </c>
      <c r="F368" t="s">
        <v>13</v>
      </c>
      <c r="G368">
        <v>1615</v>
      </c>
      <c r="H368">
        <v>30</v>
      </c>
      <c r="I368" t="s">
        <v>14</v>
      </c>
      <c r="J368" t="str">
        <f>_xlfn.XLOOKUP(C368,'product_masterlist(ifs)'!A:A,'product_masterlist(ifs)'!C:C,"N/A",0)</f>
        <v>Surgical</v>
      </c>
      <c r="K368">
        <f>VLOOKUP(C368,'product_masterlist(ifs)'!A:I,7,FALSE)</f>
        <v>40</v>
      </c>
    </row>
    <row r="369" spans="1:11" x14ac:dyDescent="0.35">
      <c r="A369" t="s">
        <v>573</v>
      </c>
      <c r="B369" t="s">
        <v>173</v>
      </c>
      <c r="C369" t="s">
        <v>90</v>
      </c>
      <c r="D369">
        <v>21</v>
      </c>
      <c r="E369" t="s">
        <v>20</v>
      </c>
      <c r="F369" t="s">
        <v>18</v>
      </c>
      <c r="G369" t="s">
        <v>120</v>
      </c>
      <c r="H369">
        <v>30</v>
      </c>
      <c r="I369" t="s">
        <v>14</v>
      </c>
      <c r="J369" t="str">
        <f>_xlfn.XLOOKUP(C369,'product_masterlist(ifs)'!A:A,'product_masterlist(ifs)'!C:C,"N/A",0)</f>
        <v>Frames</v>
      </c>
      <c r="K369">
        <f>VLOOKUP(C369,'product_masterlist(ifs)'!A:I,7,FALSE)</f>
        <v>180</v>
      </c>
    </row>
    <row r="370" spans="1:11" x14ac:dyDescent="0.35">
      <c r="A370" t="s">
        <v>574</v>
      </c>
      <c r="B370" t="s">
        <v>575</v>
      </c>
      <c r="C370" t="s">
        <v>53</v>
      </c>
      <c r="D370">
        <v>23</v>
      </c>
      <c r="E370" t="s">
        <v>37</v>
      </c>
      <c r="F370" t="s">
        <v>23</v>
      </c>
      <c r="G370" t="s">
        <v>576</v>
      </c>
      <c r="H370">
        <v>7</v>
      </c>
      <c r="I370" t="s">
        <v>28</v>
      </c>
      <c r="J370" t="str">
        <f>_xlfn.XLOOKUP(C370,'product_masterlist(ifs)'!A:A,'product_masterlist(ifs)'!C:C,"N/A",0)</f>
        <v>Solutions</v>
      </c>
      <c r="K370">
        <f>VLOOKUP(C370,'product_masterlist(ifs)'!A:I,7,FALSE)</f>
        <v>800</v>
      </c>
    </row>
    <row r="371" spans="1:11" x14ac:dyDescent="0.35">
      <c r="A371" t="s">
        <v>577</v>
      </c>
      <c r="B371" t="s">
        <v>60</v>
      </c>
      <c r="C371" t="s">
        <v>33</v>
      </c>
      <c r="D371">
        <v>10</v>
      </c>
      <c r="E371" t="s">
        <v>22</v>
      </c>
      <c r="F371" t="s">
        <v>13</v>
      </c>
      <c r="G371">
        <v>1500</v>
      </c>
      <c r="H371">
        <v>45</v>
      </c>
      <c r="I371" t="s">
        <v>34</v>
      </c>
      <c r="J371" t="str">
        <f>_xlfn.XLOOKUP(C371,'product_masterlist(ifs)'!A:A,'product_masterlist(ifs)'!C:C,"N/A",0)</f>
        <v>Surgical</v>
      </c>
      <c r="K371">
        <f>VLOOKUP(C371,'product_masterlist(ifs)'!A:I,7,FALSE)</f>
        <v>15</v>
      </c>
    </row>
    <row r="372" spans="1:11" x14ac:dyDescent="0.35">
      <c r="A372" t="s">
        <v>578</v>
      </c>
      <c r="B372" t="s">
        <v>271</v>
      </c>
      <c r="C372" t="s">
        <v>11</v>
      </c>
      <c r="D372">
        <v>8</v>
      </c>
      <c r="E372" t="s">
        <v>20</v>
      </c>
      <c r="F372" t="s">
        <v>18</v>
      </c>
      <c r="G372">
        <v>680</v>
      </c>
      <c r="H372">
        <v>30</v>
      </c>
      <c r="I372" t="s">
        <v>14</v>
      </c>
      <c r="J372" t="str">
        <f>_xlfn.XLOOKUP(C372,'product_masterlist(ifs)'!A:A,'product_masterlist(ifs)'!C:C,"N/A",0)</f>
        <v>Surgical</v>
      </c>
      <c r="K372">
        <f>VLOOKUP(C372,'product_masterlist(ifs)'!A:I,7,FALSE)</f>
        <v>40</v>
      </c>
    </row>
    <row r="373" spans="1:11" x14ac:dyDescent="0.35">
      <c r="A373" t="s">
        <v>579</v>
      </c>
      <c r="B373" s="1">
        <v>45780</v>
      </c>
      <c r="C373" t="s">
        <v>90</v>
      </c>
      <c r="D373">
        <v>21</v>
      </c>
      <c r="E373" t="s">
        <v>12</v>
      </c>
      <c r="F373" t="s">
        <v>31</v>
      </c>
      <c r="G373" t="s">
        <v>120</v>
      </c>
      <c r="H373">
        <v>30</v>
      </c>
      <c r="I373" t="s">
        <v>14</v>
      </c>
      <c r="J373" t="str">
        <f>_xlfn.XLOOKUP(C373,'product_masterlist(ifs)'!A:A,'product_masterlist(ifs)'!C:C,"N/A",0)</f>
        <v>Frames</v>
      </c>
      <c r="K373">
        <f>VLOOKUP(C373,'product_masterlist(ifs)'!A:I,7,FALSE)</f>
        <v>180</v>
      </c>
    </row>
    <row r="374" spans="1:11" x14ac:dyDescent="0.35">
      <c r="A374" t="s">
        <v>580</v>
      </c>
      <c r="B374" s="1">
        <v>45872</v>
      </c>
      <c r="C374" t="s">
        <v>90</v>
      </c>
      <c r="D374">
        <v>22</v>
      </c>
      <c r="E374" t="s">
        <v>20</v>
      </c>
      <c r="F374" t="s">
        <v>23</v>
      </c>
      <c r="G374">
        <v>1067</v>
      </c>
      <c r="H374">
        <v>30</v>
      </c>
      <c r="I374" t="s">
        <v>14</v>
      </c>
      <c r="J374" t="str">
        <f>_xlfn.XLOOKUP(C374,'product_masterlist(ifs)'!A:A,'product_masterlist(ifs)'!C:C,"N/A",0)</f>
        <v>Frames</v>
      </c>
      <c r="K374">
        <f>VLOOKUP(C374,'product_masterlist(ifs)'!A:I,7,FALSE)</f>
        <v>180</v>
      </c>
    </row>
    <row r="375" spans="1:11" x14ac:dyDescent="0.35">
      <c r="A375" t="s">
        <v>581</v>
      </c>
      <c r="B375" t="s">
        <v>582</v>
      </c>
      <c r="C375" t="s">
        <v>11</v>
      </c>
      <c r="D375">
        <v>13</v>
      </c>
      <c r="E375" t="s">
        <v>20</v>
      </c>
      <c r="F375" t="s">
        <v>18</v>
      </c>
      <c r="G375">
        <v>1105</v>
      </c>
      <c r="H375">
        <v>30</v>
      </c>
      <c r="I375" t="s">
        <v>14</v>
      </c>
      <c r="J375" t="str">
        <f>_xlfn.XLOOKUP(C375,'product_masterlist(ifs)'!A:A,'product_masterlist(ifs)'!C:C,"N/A",0)</f>
        <v>Surgical</v>
      </c>
      <c r="K375">
        <f>VLOOKUP(C375,'product_masterlist(ifs)'!A:I,7,FALSE)</f>
        <v>40</v>
      </c>
    </row>
    <row r="376" spans="1:11" x14ac:dyDescent="0.35">
      <c r="A376" t="s">
        <v>583</v>
      </c>
      <c r="B376" t="s">
        <v>584</v>
      </c>
      <c r="C376" t="s">
        <v>42</v>
      </c>
      <c r="D376">
        <v>23</v>
      </c>
      <c r="E376" t="s">
        <v>20</v>
      </c>
      <c r="F376" t="s">
        <v>31</v>
      </c>
      <c r="G376">
        <v>575</v>
      </c>
      <c r="H376">
        <v>21</v>
      </c>
      <c r="I376" t="s">
        <v>14</v>
      </c>
      <c r="J376" t="str">
        <f>_xlfn.XLOOKUP(C376,'product_masterlist(ifs)'!A:A,'product_masterlist(ifs)'!C:C,"N/A",0)</f>
        <v>Contact Lenses</v>
      </c>
      <c r="K376">
        <f>VLOOKUP(C376,'product_masterlist(ifs)'!A:I,7,FALSE)</f>
        <v>120</v>
      </c>
    </row>
    <row r="377" spans="1:11" x14ac:dyDescent="0.35">
      <c r="A377" t="s">
        <v>585</v>
      </c>
      <c r="B377" t="s">
        <v>379</v>
      </c>
      <c r="C377" t="s">
        <v>42</v>
      </c>
      <c r="D377">
        <v>15</v>
      </c>
      <c r="E377" t="s">
        <v>20</v>
      </c>
      <c r="F377" t="s">
        <v>31</v>
      </c>
      <c r="G377">
        <v>375</v>
      </c>
      <c r="H377">
        <v>21</v>
      </c>
      <c r="I377" t="s">
        <v>14</v>
      </c>
      <c r="J377" t="str">
        <f>_xlfn.XLOOKUP(C377,'product_masterlist(ifs)'!A:A,'product_masterlist(ifs)'!C:C,"N/A",0)</f>
        <v>Contact Lenses</v>
      </c>
      <c r="K377">
        <f>VLOOKUP(C377,'product_masterlist(ifs)'!A:I,7,FALSE)</f>
        <v>120</v>
      </c>
    </row>
    <row r="378" spans="1:11" x14ac:dyDescent="0.35">
      <c r="A378" t="s">
        <v>586</v>
      </c>
      <c r="B378" t="s">
        <v>119</v>
      </c>
      <c r="C378" t="s">
        <v>17</v>
      </c>
      <c r="D378">
        <v>17</v>
      </c>
      <c r="E378" t="s">
        <v>22</v>
      </c>
      <c r="F378" t="s">
        <v>23</v>
      </c>
      <c r="G378">
        <v>765</v>
      </c>
      <c r="H378">
        <v>30</v>
      </c>
      <c r="I378" t="s">
        <v>14</v>
      </c>
      <c r="J378" t="str">
        <f>_xlfn.XLOOKUP(C378,'product_masterlist(ifs)'!A:A,'product_masterlist(ifs)'!C:C,"N/A",0)</f>
        <v>Frames</v>
      </c>
      <c r="K378">
        <f>VLOOKUP(C378,'product_masterlist(ifs)'!A:I,7,FALSE)</f>
        <v>45</v>
      </c>
    </row>
    <row r="379" spans="1:11" x14ac:dyDescent="0.35">
      <c r="A379" t="s">
        <v>587</v>
      </c>
      <c r="B379" t="s">
        <v>588</v>
      </c>
      <c r="C379" t="s">
        <v>17</v>
      </c>
      <c r="D379">
        <v>20</v>
      </c>
      <c r="E379" t="s">
        <v>22</v>
      </c>
      <c r="F379" t="s">
        <v>13</v>
      </c>
      <c r="G379">
        <v>900</v>
      </c>
      <c r="H379">
        <v>30</v>
      </c>
      <c r="I379" t="s">
        <v>14</v>
      </c>
      <c r="J379" t="str">
        <f>_xlfn.XLOOKUP(C379,'product_masterlist(ifs)'!A:A,'product_masterlist(ifs)'!C:C,"N/A",0)</f>
        <v>Frames</v>
      </c>
      <c r="K379">
        <f>VLOOKUP(C379,'product_masterlist(ifs)'!A:I,7,FALSE)</f>
        <v>45</v>
      </c>
    </row>
    <row r="380" spans="1:11" x14ac:dyDescent="0.35">
      <c r="A380" t="s">
        <v>589</v>
      </c>
      <c r="B380" s="1">
        <v>45940</v>
      </c>
      <c r="C380" t="s">
        <v>42</v>
      </c>
      <c r="D380">
        <v>1</v>
      </c>
      <c r="E380" t="s">
        <v>20</v>
      </c>
      <c r="F380" t="s">
        <v>23</v>
      </c>
      <c r="G380">
        <v>25</v>
      </c>
      <c r="H380">
        <v>21</v>
      </c>
      <c r="I380" t="s">
        <v>14</v>
      </c>
      <c r="J380" t="str">
        <f>_xlfn.XLOOKUP(C380,'product_masterlist(ifs)'!A:A,'product_masterlist(ifs)'!C:C,"N/A",0)</f>
        <v>Contact Lenses</v>
      </c>
      <c r="K380">
        <f>VLOOKUP(C380,'product_masterlist(ifs)'!A:I,7,FALSE)</f>
        <v>120</v>
      </c>
    </row>
    <row r="381" spans="1:11" x14ac:dyDescent="0.35">
      <c r="A381" t="s">
        <v>590</v>
      </c>
      <c r="B381" t="s">
        <v>591</v>
      </c>
      <c r="C381" t="s">
        <v>17</v>
      </c>
      <c r="D381">
        <v>15</v>
      </c>
      <c r="E381" t="s">
        <v>22</v>
      </c>
      <c r="F381" t="s">
        <v>13</v>
      </c>
      <c r="G381">
        <v>675</v>
      </c>
      <c r="H381">
        <v>30</v>
      </c>
      <c r="I381" t="s">
        <v>14</v>
      </c>
      <c r="J381" t="str">
        <f>_xlfn.XLOOKUP(C381,'product_masterlist(ifs)'!A:A,'product_masterlist(ifs)'!C:C,"N/A",0)</f>
        <v>Frames</v>
      </c>
      <c r="K381">
        <f>VLOOKUP(C381,'product_masterlist(ifs)'!A:I,7,FALSE)</f>
        <v>45</v>
      </c>
    </row>
    <row r="382" spans="1:11" x14ac:dyDescent="0.35">
      <c r="A382" t="s">
        <v>592</v>
      </c>
      <c r="B382" s="1">
        <v>45784</v>
      </c>
      <c r="C382" t="s">
        <v>11</v>
      </c>
      <c r="D382">
        <v>22</v>
      </c>
      <c r="E382" t="s">
        <v>20</v>
      </c>
      <c r="F382" t="s">
        <v>18</v>
      </c>
      <c r="G382">
        <v>1870</v>
      </c>
      <c r="H382">
        <v>30</v>
      </c>
      <c r="I382" t="s">
        <v>14</v>
      </c>
      <c r="J382" t="str">
        <f>_xlfn.XLOOKUP(C382,'product_masterlist(ifs)'!A:A,'product_masterlist(ifs)'!C:C,"N/A",0)</f>
        <v>Surgical</v>
      </c>
      <c r="K382">
        <f>VLOOKUP(C382,'product_masterlist(ifs)'!A:I,7,FALSE)</f>
        <v>40</v>
      </c>
    </row>
    <row r="383" spans="1:11" x14ac:dyDescent="0.35">
      <c r="A383" t="s">
        <v>593</v>
      </c>
      <c r="B383" t="s">
        <v>62</v>
      </c>
      <c r="C383" t="s">
        <v>11</v>
      </c>
      <c r="D383">
        <v>18</v>
      </c>
      <c r="E383" t="s">
        <v>22</v>
      </c>
      <c r="F383" t="s">
        <v>13</v>
      </c>
      <c r="G383">
        <v>1530</v>
      </c>
      <c r="H383">
        <v>30</v>
      </c>
      <c r="I383" t="s">
        <v>14</v>
      </c>
      <c r="J383" t="str">
        <f>_xlfn.XLOOKUP(C383,'product_masterlist(ifs)'!A:A,'product_masterlist(ifs)'!C:C,"N/A",0)</f>
        <v>Surgical</v>
      </c>
      <c r="K383">
        <f>VLOOKUP(C383,'product_masterlist(ifs)'!A:I,7,FALSE)</f>
        <v>40</v>
      </c>
    </row>
    <row r="384" spans="1:11" x14ac:dyDescent="0.35">
      <c r="A384" t="s">
        <v>594</v>
      </c>
      <c r="B384" t="s">
        <v>135</v>
      </c>
      <c r="C384" t="s">
        <v>42</v>
      </c>
      <c r="D384">
        <v>12</v>
      </c>
      <c r="E384" t="s">
        <v>20</v>
      </c>
      <c r="F384" t="s">
        <v>31</v>
      </c>
      <c r="G384">
        <v>300</v>
      </c>
      <c r="H384">
        <v>21</v>
      </c>
      <c r="I384" t="s">
        <v>14</v>
      </c>
      <c r="J384" t="str">
        <f>_xlfn.XLOOKUP(C384,'product_masterlist(ifs)'!A:A,'product_masterlist(ifs)'!C:C,"N/A",0)</f>
        <v>Contact Lenses</v>
      </c>
      <c r="K384">
        <f>VLOOKUP(C384,'product_masterlist(ifs)'!A:I,7,FALSE)</f>
        <v>120</v>
      </c>
    </row>
    <row r="385" spans="1:11" x14ac:dyDescent="0.35">
      <c r="A385" t="s">
        <v>595</v>
      </c>
      <c r="B385" t="s">
        <v>117</v>
      </c>
      <c r="C385" t="s">
        <v>11</v>
      </c>
      <c r="D385">
        <v>4</v>
      </c>
      <c r="E385" t="s">
        <v>12</v>
      </c>
      <c r="F385" t="s">
        <v>13</v>
      </c>
      <c r="G385">
        <v>340</v>
      </c>
      <c r="H385">
        <v>30</v>
      </c>
      <c r="I385" t="s">
        <v>14</v>
      </c>
      <c r="J385" t="str">
        <f>_xlfn.XLOOKUP(C385,'product_masterlist(ifs)'!A:A,'product_masterlist(ifs)'!C:C,"N/A",0)</f>
        <v>Surgical</v>
      </c>
      <c r="K385">
        <f>VLOOKUP(C385,'product_masterlist(ifs)'!A:I,7,FALSE)</f>
        <v>40</v>
      </c>
    </row>
    <row r="386" spans="1:11" x14ac:dyDescent="0.35">
      <c r="A386" t="s">
        <v>596</v>
      </c>
      <c r="B386" t="s">
        <v>159</v>
      </c>
      <c r="C386" t="s">
        <v>26</v>
      </c>
      <c r="D386">
        <v>21</v>
      </c>
      <c r="E386" t="s">
        <v>37</v>
      </c>
      <c r="F386" t="s">
        <v>18</v>
      </c>
      <c r="G386" t="s">
        <v>366</v>
      </c>
      <c r="H386">
        <v>14</v>
      </c>
      <c r="I386" t="s">
        <v>28</v>
      </c>
      <c r="J386" t="str">
        <f>_xlfn.XLOOKUP(C386,'product_masterlist(ifs)'!A:A,'product_masterlist(ifs)'!C:C,"N/A",0)</f>
        <v>Contact Lenses</v>
      </c>
      <c r="K386">
        <f>VLOOKUP(C386,'product_masterlist(ifs)'!A:I,7,FALSE)</f>
        <v>450</v>
      </c>
    </row>
    <row r="387" spans="1:11" x14ac:dyDescent="0.35">
      <c r="A387" t="s">
        <v>597</v>
      </c>
      <c r="B387" s="1">
        <v>45969</v>
      </c>
      <c r="C387" t="s">
        <v>42</v>
      </c>
      <c r="D387">
        <v>22</v>
      </c>
      <c r="E387" t="s">
        <v>37</v>
      </c>
      <c r="F387" t="s">
        <v>31</v>
      </c>
      <c r="G387">
        <v>550</v>
      </c>
      <c r="H387">
        <v>21</v>
      </c>
      <c r="I387" t="s">
        <v>14</v>
      </c>
      <c r="J387" t="str">
        <f>_xlfn.XLOOKUP(C387,'product_masterlist(ifs)'!A:A,'product_masterlist(ifs)'!C:C,"N/A",0)</f>
        <v>Contact Lenses</v>
      </c>
      <c r="K387">
        <f>VLOOKUP(C387,'product_masterlist(ifs)'!A:I,7,FALSE)</f>
        <v>120</v>
      </c>
    </row>
    <row r="388" spans="1:11" x14ac:dyDescent="0.35">
      <c r="A388" t="s">
        <v>598</v>
      </c>
      <c r="B388" t="s">
        <v>599</v>
      </c>
      <c r="C388" t="s">
        <v>33</v>
      </c>
      <c r="D388">
        <v>20</v>
      </c>
      <c r="E388" t="s">
        <v>22</v>
      </c>
      <c r="F388" t="s">
        <v>13</v>
      </c>
      <c r="G388">
        <v>3000</v>
      </c>
      <c r="H388">
        <v>45</v>
      </c>
      <c r="I388" t="s">
        <v>34</v>
      </c>
      <c r="J388" t="str">
        <f>_xlfn.XLOOKUP(C388,'product_masterlist(ifs)'!A:A,'product_masterlist(ifs)'!C:C,"N/A",0)</f>
        <v>Surgical</v>
      </c>
      <c r="K388">
        <f>VLOOKUP(C388,'product_masterlist(ifs)'!A:I,7,FALSE)</f>
        <v>15</v>
      </c>
    </row>
    <row r="389" spans="1:11" x14ac:dyDescent="0.35">
      <c r="A389" t="s">
        <v>600</v>
      </c>
      <c r="B389" s="1">
        <v>45692</v>
      </c>
      <c r="C389" t="s">
        <v>11</v>
      </c>
      <c r="D389">
        <v>14</v>
      </c>
      <c r="E389" t="s">
        <v>12</v>
      </c>
      <c r="F389" t="s">
        <v>13</v>
      </c>
      <c r="G389">
        <v>1190</v>
      </c>
      <c r="H389">
        <v>30</v>
      </c>
      <c r="I389" t="s">
        <v>14</v>
      </c>
      <c r="J389" t="str">
        <f>_xlfn.XLOOKUP(C389,'product_masterlist(ifs)'!A:A,'product_masterlist(ifs)'!C:C,"N/A",0)</f>
        <v>Surgical</v>
      </c>
      <c r="K389">
        <f>VLOOKUP(C389,'product_masterlist(ifs)'!A:I,7,FALSE)</f>
        <v>40</v>
      </c>
    </row>
    <row r="390" spans="1:11" x14ac:dyDescent="0.35">
      <c r="A390" t="s">
        <v>601</v>
      </c>
      <c r="B390" t="s">
        <v>499</v>
      </c>
      <c r="C390" t="s">
        <v>33</v>
      </c>
      <c r="D390">
        <v>12</v>
      </c>
      <c r="E390" t="s">
        <v>22</v>
      </c>
      <c r="F390" t="s">
        <v>23</v>
      </c>
      <c r="G390">
        <v>1800</v>
      </c>
      <c r="H390">
        <v>45</v>
      </c>
      <c r="I390" t="s">
        <v>34</v>
      </c>
      <c r="J390" t="str">
        <f>_xlfn.XLOOKUP(C390,'product_masterlist(ifs)'!A:A,'product_masterlist(ifs)'!C:C,"N/A",0)</f>
        <v>Surgical</v>
      </c>
      <c r="K390">
        <f>VLOOKUP(C390,'product_masterlist(ifs)'!A:I,7,FALSE)</f>
        <v>15</v>
      </c>
    </row>
    <row r="391" spans="1:11" x14ac:dyDescent="0.35">
      <c r="A391" t="s">
        <v>602</v>
      </c>
      <c r="B391" t="s">
        <v>462</v>
      </c>
      <c r="C391" t="s">
        <v>90</v>
      </c>
      <c r="D391">
        <v>6</v>
      </c>
      <c r="E391" t="s">
        <v>12</v>
      </c>
      <c r="F391" t="s">
        <v>18</v>
      </c>
      <c r="G391">
        <v>291</v>
      </c>
      <c r="H391">
        <v>30</v>
      </c>
      <c r="I391" t="s">
        <v>14</v>
      </c>
      <c r="J391" t="str">
        <f>_xlfn.XLOOKUP(C391,'product_masterlist(ifs)'!A:A,'product_masterlist(ifs)'!C:C,"N/A",0)</f>
        <v>Frames</v>
      </c>
      <c r="K391">
        <f>VLOOKUP(C391,'product_masterlist(ifs)'!A:I,7,FALSE)</f>
        <v>180</v>
      </c>
    </row>
    <row r="392" spans="1:11" x14ac:dyDescent="0.35">
      <c r="A392" t="s">
        <v>603</v>
      </c>
      <c r="B392" s="1">
        <v>45875</v>
      </c>
      <c r="C392" t="s">
        <v>11</v>
      </c>
      <c r="D392">
        <v>4</v>
      </c>
      <c r="E392" t="s">
        <v>12</v>
      </c>
      <c r="F392" t="s">
        <v>13</v>
      </c>
      <c r="G392">
        <v>340</v>
      </c>
      <c r="H392">
        <v>30</v>
      </c>
      <c r="I392" t="s">
        <v>14</v>
      </c>
      <c r="J392" t="str">
        <f>_xlfn.XLOOKUP(C392,'product_masterlist(ifs)'!A:A,'product_masterlist(ifs)'!C:C,"N/A",0)</f>
        <v>Surgical</v>
      </c>
      <c r="K392">
        <f>VLOOKUP(C392,'product_masterlist(ifs)'!A:I,7,FALSE)</f>
        <v>40</v>
      </c>
    </row>
    <row r="393" spans="1:11" x14ac:dyDescent="0.35">
      <c r="A393" t="s">
        <v>604</v>
      </c>
      <c r="B393" s="1">
        <v>45935</v>
      </c>
      <c r="C393" t="s">
        <v>53</v>
      </c>
      <c r="D393">
        <v>25</v>
      </c>
      <c r="E393" t="s">
        <v>22</v>
      </c>
      <c r="F393" t="s">
        <v>23</v>
      </c>
      <c r="G393" t="s">
        <v>304</v>
      </c>
      <c r="H393">
        <v>7</v>
      </c>
      <c r="I393" t="s">
        <v>28</v>
      </c>
      <c r="J393" t="str">
        <f>_xlfn.XLOOKUP(C393,'product_masterlist(ifs)'!A:A,'product_masterlist(ifs)'!C:C,"N/A",0)</f>
        <v>Solutions</v>
      </c>
      <c r="K393">
        <f>VLOOKUP(C393,'product_masterlist(ifs)'!A:I,7,FALSE)</f>
        <v>800</v>
      </c>
    </row>
    <row r="394" spans="1:11" x14ac:dyDescent="0.35">
      <c r="A394" t="s">
        <v>605</v>
      </c>
      <c r="B394" t="s">
        <v>97</v>
      </c>
      <c r="C394" t="s">
        <v>90</v>
      </c>
      <c r="D394">
        <v>18</v>
      </c>
      <c r="E394" t="s">
        <v>22</v>
      </c>
      <c r="F394" t="s">
        <v>18</v>
      </c>
      <c r="G394">
        <v>873</v>
      </c>
      <c r="H394">
        <v>30</v>
      </c>
      <c r="I394" t="s">
        <v>14</v>
      </c>
      <c r="J394" t="str">
        <f>_xlfn.XLOOKUP(C394,'product_masterlist(ifs)'!A:A,'product_masterlist(ifs)'!C:C,"N/A",0)</f>
        <v>Frames</v>
      </c>
      <c r="K394">
        <f>VLOOKUP(C394,'product_masterlist(ifs)'!A:I,7,FALSE)</f>
        <v>180</v>
      </c>
    </row>
    <row r="395" spans="1:11" x14ac:dyDescent="0.35">
      <c r="A395" t="s">
        <v>606</v>
      </c>
      <c r="B395" t="s">
        <v>379</v>
      </c>
      <c r="C395" t="s">
        <v>17</v>
      </c>
      <c r="D395">
        <v>4</v>
      </c>
      <c r="E395" t="s">
        <v>20</v>
      </c>
      <c r="F395" t="s">
        <v>23</v>
      </c>
      <c r="G395">
        <v>180</v>
      </c>
      <c r="H395">
        <v>30</v>
      </c>
      <c r="I395" t="s">
        <v>14</v>
      </c>
      <c r="J395" t="str">
        <f>_xlfn.XLOOKUP(C395,'product_masterlist(ifs)'!A:A,'product_masterlist(ifs)'!C:C,"N/A",0)</f>
        <v>Frames</v>
      </c>
      <c r="K395">
        <f>VLOOKUP(C395,'product_masterlist(ifs)'!A:I,7,FALSE)</f>
        <v>45</v>
      </c>
    </row>
    <row r="396" spans="1:11" x14ac:dyDescent="0.35">
      <c r="A396" t="s">
        <v>607</v>
      </c>
      <c r="B396" s="1">
        <v>45756</v>
      </c>
      <c r="C396" t="s">
        <v>11</v>
      </c>
      <c r="D396">
        <v>8</v>
      </c>
      <c r="E396" t="s">
        <v>12</v>
      </c>
      <c r="F396" t="s">
        <v>18</v>
      </c>
      <c r="G396">
        <v>680</v>
      </c>
      <c r="H396">
        <v>30</v>
      </c>
      <c r="I396" t="s">
        <v>14</v>
      </c>
      <c r="J396" t="str">
        <f>_xlfn.XLOOKUP(C396,'product_masterlist(ifs)'!A:A,'product_masterlist(ifs)'!C:C,"N/A",0)</f>
        <v>Surgical</v>
      </c>
      <c r="K396">
        <f>VLOOKUP(C396,'product_masterlist(ifs)'!A:I,7,FALSE)</f>
        <v>40</v>
      </c>
    </row>
    <row r="397" spans="1:11" x14ac:dyDescent="0.35">
      <c r="A397" t="s">
        <v>608</v>
      </c>
      <c r="B397" s="1">
        <v>45754</v>
      </c>
      <c r="C397" t="s">
        <v>26</v>
      </c>
      <c r="D397">
        <v>10</v>
      </c>
      <c r="E397" t="s">
        <v>37</v>
      </c>
      <c r="F397" t="s">
        <v>13</v>
      </c>
      <c r="G397">
        <v>125</v>
      </c>
      <c r="H397">
        <v>14</v>
      </c>
      <c r="I397" t="s">
        <v>28</v>
      </c>
      <c r="J397" t="str">
        <f>_xlfn.XLOOKUP(C397,'product_masterlist(ifs)'!A:A,'product_masterlist(ifs)'!C:C,"N/A",0)</f>
        <v>Contact Lenses</v>
      </c>
      <c r="K397">
        <f>VLOOKUP(C397,'product_masterlist(ifs)'!A:I,7,FALSE)</f>
        <v>450</v>
      </c>
    </row>
    <row r="398" spans="1:11" x14ac:dyDescent="0.35">
      <c r="A398" t="s">
        <v>609</v>
      </c>
      <c r="B398" t="s">
        <v>115</v>
      </c>
      <c r="C398" t="s">
        <v>90</v>
      </c>
      <c r="D398">
        <v>23</v>
      </c>
      <c r="E398" t="s">
        <v>12</v>
      </c>
      <c r="F398" t="s">
        <v>18</v>
      </c>
      <c r="G398" t="s">
        <v>123</v>
      </c>
      <c r="H398">
        <v>30</v>
      </c>
      <c r="I398" t="s">
        <v>14</v>
      </c>
      <c r="J398" t="str">
        <f>_xlfn.XLOOKUP(C398,'product_masterlist(ifs)'!A:A,'product_masterlist(ifs)'!C:C,"N/A",0)</f>
        <v>Frames</v>
      </c>
      <c r="K398">
        <f>VLOOKUP(C398,'product_masterlist(ifs)'!A:I,7,FALSE)</f>
        <v>180</v>
      </c>
    </row>
    <row r="399" spans="1:11" x14ac:dyDescent="0.35">
      <c r="A399" t="s">
        <v>610</v>
      </c>
      <c r="B399" t="s">
        <v>62</v>
      </c>
      <c r="C399" t="s">
        <v>33</v>
      </c>
      <c r="D399">
        <v>4</v>
      </c>
      <c r="E399" t="s">
        <v>37</v>
      </c>
      <c r="F399" t="s">
        <v>23</v>
      </c>
      <c r="G399">
        <v>600</v>
      </c>
      <c r="H399">
        <v>45</v>
      </c>
      <c r="I399" t="s">
        <v>34</v>
      </c>
      <c r="J399" t="str">
        <f>_xlfn.XLOOKUP(C399,'product_masterlist(ifs)'!A:A,'product_masterlist(ifs)'!C:C,"N/A",0)</f>
        <v>Surgical</v>
      </c>
      <c r="K399">
        <f>VLOOKUP(C399,'product_masterlist(ifs)'!A:I,7,FALSE)</f>
        <v>15</v>
      </c>
    </row>
    <row r="400" spans="1:11" x14ac:dyDescent="0.35">
      <c r="A400" t="s">
        <v>611</v>
      </c>
      <c r="B400" t="s">
        <v>612</v>
      </c>
      <c r="C400" t="s">
        <v>53</v>
      </c>
      <c r="D400">
        <v>23</v>
      </c>
      <c r="E400" t="s">
        <v>20</v>
      </c>
      <c r="F400" t="s">
        <v>23</v>
      </c>
      <c r="G400" t="s">
        <v>576</v>
      </c>
      <c r="H400">
        <v>7</v>
      </c>
      <c r="I400" t="s">
        <v>28</v>
      </c>
      <c r="J400" t="str">
        <f>_xlfn.XLOOKUP(C400,'product_masterlist(ifs)'!A:A,'product_masterlist(ifs)'!C:C,"N/A",0)</f>
        <v>Solutions</v>
      </c>
      <c r="K400">
        <f>VLOOKUP(C400,'product_masterlist(ifs)'!A:I,7,FALSE)</f>
        <v>800</v>
      </c>
    </row>
    <row r="401" spans="1:11" x14ac:dyDescent="0.35">
      <c r="A401" t="s">
        <v>613</v>
      </c>
      <c r="B401" s="1">
        <v>45908</v>
      </c>
      <c r="C401" t="s">
        <v>26</v>
      </c>
      <c r="D401">
        <v>12</v>
      </c>
      <c r="E401" t="s">
        <v>22</v>
      </c>
      <c r="F401" t="s">
        <v>23</v>
      </c>
      <c r="G401">
        <v>150</v>
      </c>
      <c r="H401">
        <v>14</v>
      </c>
      <c r="I401" t="s">
        <v>28</v>
      </c>
      <c r="J401" t="str">
        <f>_xlfn.XLOOKUP(C401,'product_masterlist(ifs)'!A:A,'product_masterlist(ifs)'!C:C,"N/A",0)</f>
        <v>Contact Lenses</v>
      </c>
      <c r="K401">
        <f>VLOOKUP(C401,'product_masterlist(ifs)'!A:I,7,FALSE)</f>
        <v>450</v>
      </c>
    </row>
    <row r="402" spans="1:11" x14ac:dyDescent="0.35">
      <c r="A402" t="s">
        <v>614</v>
      </c>
      <c r="B402" s="1">
        <v>45992</v>
      </c>
      <c r="C402" t="s">
        <v>26</v>
      </c>
      <c r="D402">
        <v>12</v>
      </c>
      <c r="E402" t="s">
        <v>20</v>
      </c>
      <c r="F402" t="s">
        <v>31</v>
      </c>
      <c r="G402">
        <v>150</v>
      </c>
      <c r="H402">
        <v>14</v>
      </c>
      <c r="I402" t="s">
        <v>28</v>
      </c>
      <c r="J402" t="str">
        <f>_xlfn.XLOOKUP(C402,'product_masterlist(ifs)'!A:A,'product_masterlist(ifs)'!C:C,"N/A",0)</f>
        <v>Contact Lenses</v>
      </c>
      <c r="K402">
        <f>VLOOKUP(C402,'product_masterlist(ifs)'!A:I,7,FALSE)</f>
        <v>450</v>
      </c>
    </row>
    <row r="403" spans="1:11" x14ac:dyDescent="0.35">
      <c r="A403" t="s">
        <v>615</v>
      </c>
      <c r="B403" s="1">
        <v>45819</v>
      </c>
      <c r="C403" t="s">
        <v>33</v>
      </c>
      <c r="D403">
        <v>3</v>
      </c>
      <c r="E403" t="s">
        <v>20</v>
      </c>
      <c r="F403" t="s">
        <v>31</v>
      </c>
      <c r="G403">
        <v>450</v>
      </c>
      <c r="H403">
        <v>45</v>
      </c>
      <c r="I403" t="s">
        <v>34</v>
      </c>
      <c r="J403" t="str">
        <f>_xlfn.XLOOKUP(C403,'product_masterlist(ifs)'!A:A,'product_masterlist(ifs)'!C:C,"N/A",0)</f>
        <v>Surgical</v>
      </c>
      <c r="K403">
        <f>VLOOKUP(C403,'product_masterlist(ifs)'!A:I,7,FALSE)</f>
        <v>15</v>
      </c>
    </row>
    <row r="404" spans="1:11" x14ac:dyDescent="0.35">
      <c r="A404" t="s">
        <v>616</v>
      </c>
      <c r="B404" s="1">
        <v>45872</v>
      </c>
      <c r="C404" t="s">
        <v>11</v>
      </c>
      <c r="D404">
        <v>4</v>
      </c>
      <c r="E404" t="s">
        <v>22</v>
      </c>
      <c r="F404" t="s">
        <v>31</v>
      </c>
      <c r="G404">
        <v>340</v>
      </c>
      <c r="H404">
        <v>30</v>
      </c>
      <c r="I404" t="s">
        <v>14</v>
      </c>
      <c r="J404" t="str">
        <f>_xlfn.XLOOKUP(C404,'product_masterlist(ifs)'!A:A,'product_masterlist(ifs)'!C:C,"N/A",0)</f>
        <v>Surgical</v>
      </c>
      <c r="K404">
        <f>VLOOKUP(C404,'product_masterlist(ifs)'!A:I,7,FALSE)</f>
        <v>40</v>
      </c>
    </row>
    <row r="405" spans="1:11" x14ac:dyDescent="0.35">
      <c r="A405" t="s">
        <v>617</v>
      </c>
      <c r="B405" s="1">
        <v>45699</v>
      </c>
      <c r="C405" t="s">
        <v>11</v>
      </c>
      <c r="D405">
        <v>7</v>
      </c>
      <c r="E405" t="s">
        <v>22</v>
      </c>
      <c r="F405" t="s">
        <v>23</v>
      </c>
      <c r="G405">
        <v>595</v>
      </c>
      <c r="H405">
        <v>30</v>
      </c>
      <c r="I405" t="s">
        <v>14</v>
      </c>
      <c r="J405" t="str">
        <f>_xlfn.XLOOKUP(C405,'product_masterlist(ifs)'!A:A,'product_masterlist(ifs)'!C:C,"N/A",0)</f>
        <v>Surgical</v>
      </c>
      <c r="K405">
        <f>VLOOKUP(C405,'product_masterlist(ifs)'!A:I,7,FALSE)</f>
        <v>40</v>
      </c>
    </row>
    <row r="406" spans="1:11" x14ac:dyDescent="0.35">
      <c r="A406" t="s">
        <v>618</v>
      </c>
      <c r="B406" t="s">
        <v>619</v>
      </c>
      <c r="C406" t="s">
        <v>26</v>
      </c>
      <c r="D406">
        <v>3</v>
      </c>
      <c r="E406" t="s">
        <v>22</v>
      </c>
      <c r="F406" t="s">
        <v>18</v>
      </c>
      <c r="G406" t="s">
        <v>40</v>
      </c>
      <c r="H406">
        <v>14</v>
      </c>
      <c r="I406" t="s">
        <v>28</v>
      </c>
      <c r="J406" t="str">
        <f>_xlfn.XLOOKUP(C406,'product_masterlist(ifs)'!A:A,'product_masterlist(ifs)'!C:C,"N/A",0)</f>
        <v>Contact Lenses</v>
      </c>
      <c r="K406">
        <f>VLOOKUP(C406,'product_masterlist(ifs)'!A:I,7,FALSE)</f>
        <v>450</v>
      </c>
    </row>
    <row r="407" spans="1:11" x14ac:dyDescent="0.35">
      <c r="A407" t="s">
        <v>620</v>
      </c>
      <c r="B407" s="1">
        <v>45844</v>
      </c>
      <c r="C407" t="s">
        <v>17</v>
      </c>
      <c r="D407">
        <v>24</v>
      </c>
      <c r="E407" t="s">
        <v>12</v>
      </c>
      <c r="F407" t="s">
        <v>31</v>
      </c>
      <c r="G407">
        <v>1080</v>
      </c>
      <c r="H407">
        <v>30</v>
      </c>
      <c r="I407" t="s">
        <v>14</v>
      </c>
      <c r="J407" t="str">
        <f>_xlfn.XLOOKUP(C407,'product_masterlist(ifs)'!A:A,'product_masterlist(ifs)'!C:C,"N/A",0)</f>
        <v>Frames</v>
      </c>
      <c r="K407">
        <f>VLOOKUP(C407,'product_masterlist(ifs)'!A:I,7,FALSE)</f>
        <v>45</v>
      </c>
    </row>
    <row r="408" spans="1:11" x14ac:dyDescent="0.35">
      <c r="A408" t="s">
        <v>621</v>
      </c>
      <c r="B408" s="1">
        <v>45813</v>
      </c>
      <c r="C408" t="s">
        <v>33</v>
      </c>
      <c r="D408">
        <v>18</v>
      </c>
      <c r="E408" t="s">
        <v>22</v>
      </c>
      <c r="F408" t="s">
        <v>23</v>
      </c>
      <c r="G408">
        <v>2700</v>
      </c>
      <c r="H408">
        <v>45</v>
      </c>
      <c r="I408" t="s">
        <v>34</v>
      </c>
      <c r="J408" t="str">
        <f>_xlfn.XLOOKUP(C408,'product_masterlist(ifs)'!A:A,'product_masterlist(ifs)'!C:C,"N/A",0)</f>
        <v>Surgical</v>
      </c>
      <c r="K408">
        <f>VLOOKUP(C408,'product_masterlist(ifs)'!A:I,7,FALSE)</f>
        <v>15</v>
      </c>
    </row>
    <row r="409" spans="1:11" x14ac:dyDescent="0.35">
      <c r="A409" t="s">
        <v>622</v>
      </c>
      <c r="B409" s="1">
        <v>45725</v>
      </c>
      <c r="C409" t="s">
        <v>53</v>
      </c>
      <c r="D409">
        <v>18</v>
      </c>
      <c r="E409" t="s">
        <v>12</v>
      </c>
      <c r="F409" t="s">
        <v>31</v>
      </c>
      <c r="G409" t="s">
        <v>336</v>
      </c>
      <c r="H409">
        <v>7</v>
      </c>
      <c r="I409" t="s">
        <v>28</v>
      </c>
      <c r="J409" t="str">
        <f>_xlfn.XLOOKUP(C409,'product_masterlist(ifs)'!A:A,'product_masterlist(ifs)'!C:C,"N/A",0)</f>
        <v>Solutions</v>
      </c>
      <c r="K409">
        <f>VLOOKUP(C409,'product_masterlist(ifs)'!A:I,7,FALSE)</f>
        <v>800</v>
      </c>
    </row>
    <row r="410" spans="1:11" x14ac:dyDescent="0.35">
      <c r="A410" t="s">
        <v>623</v>
      </c>
      <c r="B410" t="s">
        <v>419</v>
      </c>
      <c r="C410" t="s">
        <v>26</v>
      </c>
      <c r="D410">
        <v>24</v>
      </c>
      <c r="E410" t="s">
        <v>37</v>
      </c>
      <c r="F410" t="s">
        <v>23</v>
      </c>
      <c r="G410">
        <v>300</v>
      </c>
      <c r="H410">
        <v>14</v>
      </c>
      <c r="I410" t="s">
        <v>28</v>
      </c>
      <c r="J410" t="str">
        <f>_xlfn.XLOOKUP(C410,'product_masterlist(ifs)'!A:A,'product_masterlist(ifs)'!C:C,"N/A",0)</f>
        <v>Contact Lenses</v>
      </c>
      <c r="K410">
        <f>VLOOKUP(C410,'product_masterlist(ifs)'!A:I,7,FALSE)</f>
        <v>450</v>
      </c>
    </row>
    <row r="411" spans="1:11" x14ac:dyDescent="0.35">
      <c r="A411" t="s">
        <v>624</v>
      </c>
      <c r="B411" t="s">
        <v>625</v>
      </c>
      <c r="C411" t="s">
        <v>11</v>
      </c>
      <c r="D411">
        <v>6</v>
      </c>
      <c r="E411" t="s">
        <v>20</v>
      </c>
      <c r="F411" t="s">
        <v>31</v>
      </c>
      <c r="G411">
        <v>510</v>
      </c>
      <c r="H411">
        <v>30</v>
      </c>
      <c r="I411" t="s">
        <v>14</v>
      </c>
      <c r="J411" t="str">
        <f>_xlfn.XLOOKUP(C411,'product_masterlist(ifs)'!A:A,'product_masterlist(ifs)'!C:C,"N/A",0)</f>
        <v>Surgical</v>
      </c>
      <c r="K411">
        <f>VLOOKUP(C411,'product_masterlist(ifs)'!A:I,7,FALSE)</f>
        <v>40</v>
      </c>
    </row>
    <row r="412" spans="1:11" x14ac:dyDescent="0.35">
      <c r="A412" t="s">
        <v>626</v>
      </c>
      <c r="B412" t="s">
        <v>87</v>
      </c>
      <c r="C412" t="s">
        <v>17</v>
      </c>
      <c r="D412">
        <v>25</v>
      </c>
      <c r="E412" t="s">
        <v>20</v>
      </c>
      <c r="F412" t="s">
        <v>23</v>
      </c>
      <c r="G412">
        <v>1125</v>
      </c>
      <c r="H412">
        <v>30</v>
      </c>
      <c r="I412" t="s">
        <v>14</v>
      </c>
      <c r="J412" t="str">
        <f>_xlfn.XLOOKUP(C412,'product_masterlist(ifs)'!A:A,'product_masterlist(ifs)'!C:C,"N/A",0)</f>
        <v>Frames</v>
      </c>
      <c r="K412">
        <f>VLOOKUP(C412,'product_masterlist(ifs)'!A:I,7,FALSE)</f>
        <v>45</v>
      </c>
    </row>
    <row r="413" spans="1:11" x14ac:dyDescent="0.35">
      <c r="A413" t="s">
        <v>627</v>
      </c>
      <c r="B413" t="s">
        <v>180</v>
      </c>
      <c r="C413" t="s">
        <v>53</v>
      </c>
      <c r="D413">
        <v>11</v>
      </c>
      <c r="E413" t="s">
        <v>37</v>
      </c>
      <c r="F413" t="s">
        <v>31</v>
      </c>
      <c r="G413" t="s">
        <v>240</v>
      </c>
      <c r="H413">
        <v>7</v>
      </c>
      <c r="I413" t="s">
        <v>28</v>
      </c>
      <c r="J413" t="str">
        <f>_xlfn.XLOOKUP(C413,'product_masterlist(ifs)'!A:A,'product_masterlist(ifs)'!C:C,"N/A",0)</f>
        <v>Solutions</v>
      </c>
      <c r="K413">
        <f>VLOOKUP(C413,'product_masterlist(ifs)'!A:I,7,FALSE)</f>
        <v>800</v>
      </c>
    </row>
    <row r="414" spans="1:11" x14ac:dyDescent="0.35">
      <c r="A414" t="s">
        <v>628</v>
      </c>
      <c r="B414" s="1">
        <v>45904</v>
      </c>
      <c r="C414" t="s">
        <v>11</v>
      </c>
      <c r="D414">
        <v>19</v>
      </c>
      <c r="E414" t="s">
        <v>12</v>
      </c>
      <c r="F414" t="s">
        <v>31</v>
      </c>
      <c r="G414">
        <v>1615</v>
      </c>
      <c r="H414">
        <v>30</v>
      </c>
      <c r="I414" t="s">
        <v>14</v>
      </c>
      <c r="J414" t="str">
        <f>_xlfn.XLOOKUP(C414,'product_masterlist(ifs)'!A:A,'product_masterlist(ifs)'!C:C,"N/A",0)</f>
        <v>Surgical</v>
      </c>
      <c r="K414">
        <f>VLOOKUP(C414,'product_masterlist(ifs)'!A:I,7,FALSE)</f>
        <v>40</v>
      </c>
    </row>
    <row r="415" spans="1:11" x14ac:dyDescent="0.35">
      <c r="A415" t="s">
        <v>629</v>
      </c>
      <c r="B415" s="1">
        <v>45757</v>
      </c>
      <c r="C415" t="s">
        <v>90</v>
      </c>
      <c r="D415">
        <v>8</v>
      </c>
      <c r="E415" t="s">
        <v>37</v>
      </c>
      <c r="F415" t="s">
        <v>23</v>
      </c>
      <c r="G415">
        <v>388</v>
      </c>
      <c r="H415">
        <v>30</v>
      </c>
      <c r="I415" t="s">
        <v>14</v>
      </c>
      <c r="J415" t="str">
        <f>_xlfn.XLOOKUP(C415,'product_masterlist(ifs)'!A:A,'product_masterlist(ifs)'!C:C,"N/A",0)</f>
        <v>Frames</v>
      </c>
      <c r="K415">
        <f>VLOOKUP(C415,'product_masterlist(ifs)'!A:I,7,FALSE)</f>
        <v>180</v>
      </c>
    </row>
    <row r="416" spans="1:11" x14ac:dyDescent="0.35">
      <c r="A416" t="s">
        <v>630</v>
      </c>
      <c r="B416" t="s">
        <v>103</v>
      </c>
      <c r="C416" t="s">
        <v>33</v>
      </c>
      <c r="D416">
        <v>25</v>
      </c>
      <c r="E416" t="s">
        <v>22</v>
      </c>
      <c r="F416" t="s">
        <v>18</v>
      </c>
      <c r="G416">
        <v>3750</v>
      </c>
      <c r="H416">
        <v>45</v>
      </c>
      <c r="I416" t="s">
        <v>34</v>
      </c>
      <c r="J416" t="str">
        <f>_xlfn.XLOOKUP(C416,'product_masterlist(ifs)'!A:A,'product_masterlist(ifs)'!C:C,"N/A",0)</f>
        <v>Surgical</v>
      </c>
      <c r="K416">
        <f>VLOOKUP(C416,'product_masterlist(ifs)'!A:I,7,FALSE)</f>
        <v>15</v>
      </c>
    </row>
    <row r="417" spans="1:11" x14ac:dyDescent="0.35">
      <c r="A417" t="s">
        <v>631</v>
      </c>
      <c r="B417" t="s">
        <v>25</v>
      </c>
      <c r="C417" t="s">
        <v>17</v>
      </c>
      <c r="D417">
        <v>20</v>
      </c>
      <c r="E417" t="s">
        <v>22</v>
      </c>
      <c r="F417" t="s">
        <v>23</v>
      </c>
      <c r="G417">
        <v>900</v>
      </c>
      <c r="H417">
        <v>30</v>
      </c>
      <c r="I417" t="s">
        <v>14</v>
      </c>
      <c r="J417" t="str">
        <f>_xlfn.XLOOKUP(C417,'product_masterlist(ifs)'!A:A,'product_masterlist(ifs)'!C:C,"N/A",0)</f>
        <v>Frames</v>
      </c>
      <c r="K417">
        <f>VLOOKUP(C417,'product_masterlist(ifs)'!A:I,7,FALSE)</f>
        <v>45</v>
      </c>
    </row>
    <row r="418" spans="1:11" x14ac:dyDescent="0.35">
      <c r="A418" t="s">
        <v>632</v>
      </c>
      <c r="B418" s="1">
        <v>45696</v>
      </c>
      <c r="C418" t="s">
        <v>11</v>
      </c>
      <c r="D418">
        <v>11</v>
      </c>
      <c r="E418" t="s">
        <v>12</v>
      </c>
      <c r="F418" t="s">
        <v>13</v>
      </c>
      <c r="G418">
        <v>935</v>
      </c>
      <c r="H418">
        <v>30</v>
      </c>
      <c r="I418" t="s">
        <v>14</v>
      </c>
      <c r="J418" t="str">
        <f>_xlfn.XLOOKUP(C418,'product_masterlist(ifs)'!A:A,'product_masterlist(ifs)'!C:C,"N/A",0)</f>
        <v>Surgical</v>
      </c>
      <c r="K418">
        <f>VLOOKUP(C418,'product_masterlist(ifs)'!A:I,7,FALSE)</f>
        <v>40</v>
      </c>
    </row>
    <row r="419" spans="1:11" x14ac:dyDescent="0.35">
      <c r="A419" t="s">
        <v>633</v>
      </c>
      <c r="B419" s="1">
        <v>45690</v>
      </c>
      <c r="C419" t="s">
        <v>26</v>
      </c>
      <c r="D419">
        <v>25</v>
      </c>
      <c r="E419" t="s">
        <v>20</v>
      </c>
      <c r="F419" t="s">
        <v>31</v>
      </c>
      <c r="G419" t="s">
        <v>285</v>
      </c>
      <c r="H419">
        <v>14</v>
      </c>
      <c r="I419" t="s">
        <v>28</v>
      </c>
      <c r="J419" t="str">
        <f>_xlfn.XLOOKUP(C419,'product_masterlist(ifs)'!A:A,'product_masterlist(ifs)'!C:C,"N/A",0)</f>
        <v>Contact Lenses</v>
      </c>
      <c r="K419">
        <f>VLOOKUP(C419,'product_masterlist(ifs)'!A:I,7,FALSE)</f>
        <v>450</v>
      </c>
    </row>
    <row r="420" spans="1:11" x14ac:dyDescent="0.35">
      <c r="A420" t="s">
        <v>634</v>
      </c>
      <c r="B420" s="1">
        <v>45933</v>
      </c>
      <c r="C420" t="s">
        <v>26</v>
      </c>
      <c r="D420">
        <v>14</v>
      </c>
      <c r="E420" t="s">
        <v>12</v>
      </c>
      <c r="F420" t="s">
        <v>31</v>
      </c>
      <c r="G420">
        <v>175</v>
      </c>
      <c r="H420">
        <v>14</v>
      </c>
      <c r="I420" t="s">
        <v>28</v>
      </c>
      <c r="J420" t="str">
        <f>_xlfn.XLOOKUP(C420,'product_masterlist(ifs)'!A:A,'product_masterlist(ifs)'!C:C,"N/A",0)</f>
        <v>Contact Lenses</v>
      </c>
      <c r="K420">
        <f>VLOOKUP(C420,'product_masterlist(ifs)'!A:I,7,FALSE)</f>
        <v>450</v>
      </c>
    </row>
    <row r="421" spans="1:11" x14ac:dyDescent="0.35">
      <c r="A421" t="s">
        <v>635</v>
      </c>
      <c r="B421" t="s">
        <v>636</v>
      </c>
      <c r="C421" t="s">
        <v>42</v>
      </c>
      <c r="D421">
        <v>23</v>
      </c>
      <c r="E421" t="s">
        <v>22</v>
      </c>
      <c r="F421" t="s">
        <v>23</v>
      </c>
      <c r="G421">
        <v>575</v>
      </c>
      <c r="H421">
        <v>21</v>
      </c>
      <c r="I421" t="s">
        <v>14</v>
      </c>
      <c r="J421" t="str">
        <f>_xlfn.XLOOKUP(C421,'product_masterlist(ifs)'!A:A,'product_masterlist(ifs)'!C:C,"N/A",0)</f>
        <v>Contact Lenses</v>
      </c>
      <c r="K421">
        <f>VLOOKUP(C421,'product_masterlist(ifs)'!A:I,7,FALSE)</f>
        <v>120</v>
      </c>
    </row>
    <row r="422" spans="1:11" x14ac:dyDescent="0.35">
      <c r="A422" t="s">
        <v>637</v>
      </c>
      <c r="B422" t="s">
        <v>208</v>
      </c>
      <c r="C422" t="s">
        <v>42</v>
      </c>
      <c r="D422">
        <v>23</v>
      </c>
      <c r="E422" t="s">
        <v>12</v>
      </c>
      <c r="F422" t="s">
        <v>23</v>
      </c>
      <c r="G422">
        <v>575</v>
      </c>
      <c r="H422">
        <v>21</v>
      </c>
      <c r="I422" t="s">
        <v>14</v>
      </c>
      <c r="J422" t="str">
        <f>_xlfn.XLOOKUP(C422,'product_masterlist(ifs)'!A:A,'product_masterlist(ifs)'!C:C,"N/A",0)</f>
        <v>Contact Lenses</v>
      </c>
      <c r="K422">
        <f>VLOOKUP(C422,'product_masterlist(ifs)'!A:I,7,FALSE)</f>
        <v>120</v>
      </c>
    </row>
    <row r="423" spans="1:11" x14ac:dyDescent="0.35">
      <c r="A423" t="s">
        <v>638</v>
      </c>
      <c r="B423" t="s">
        <v>30</v>
      </c>
      <c r="C423" t="s">
        <v>33</v>
      </c>
      <c r="D423">
        <v>3</v>
      </c>
      <c r="E423" t="s">
        <v>20</v>
      </c>
      <c r="F423" t="s">
        <v>23</v>
      </c>
      <c r="G423">
        <v>450</v>
      </c>
      <c r="H423">
        <v>45</v>
      </c>
      <c r="I423" t="s">
        <v>34</v>
      </c>
      <c r="J423" t="str">
        <f>_xlfn.XLOOKUP(C423,'product_masterlist(ifs)'!A:A,'product_masterlist(ifs)'!C:C,"N/A",0)</f>
        <v>Surgical</v>
      </c>
      <c r="K423">
        <f>VLOOKUP(C423,'product_masterlist(ifs)'!A:I,7,FALSE)</f>
        <v>15</v>
      </c>
    </row>
    <row r="424" spans="1:11" x14ac:dyDescent="0.35">
      <c r="A424" t="s">
        <v>639</v>
      </c>
      <c r="B424" t="s">
        <v>60</v>
      </c>
      <c r="C424" t="s">
        <v>42</v>
      </c>
      <c r="D424">
        <v>13</v>
      </c>
      <c r="E424" t="s">
        <v>37</v>
      </c>
      <c r="F424" t="s">
        <v>13</v>
      </c>
      <c r="G424">
        <v>325</v>
      </c>
      <c r="H424">
        <v>21</v>
      </c>
      <c r="I424" t="s">
        <v>14</v>
      </c>
      <c r="J424" t="str">
        <f>_xlfn.XLOOKUP(C424,'product_masterlist(ifs)'!A:A,'product_masterlist(ifs)'!C:C,"N/A",0)</f>
        <v>Contact Lenses</v>
      </c>
      <c r="K424">
        <f>VLOOKUP(C424,'product_masterlist(ifs)'!A:I,7,FALSE)</f>
        <v>120</v>
      </c>
    </row>
    <row r="425" spans="1:11" x14ac:dyDescent="0.35">
      <c r="A425" t="s">
        <v>640</v>
      </c>
      <c r="B425" s="1">
        <v>45789</v>
      </c>
      <c r="C425" t="s">
        <v>33</v>
      </c>
      <c r="D425">
        <v>19</v>
      </c>
      <c r="E425" t="s">
        <v>37</v>
      </c>
      <c r="F425" t="s">
        <v>13</v>
      </c>
      <c r="G425">
        <v>2850</v>
      </c>
      <c r="H425">
        <v>45</v>
      </c>
      <c r="I425" t="s">
        <v>34</v>
      </c>
      <c r="J425" t="str">
        <f>_xlfn.XLOOKUP(C425,'product_masterlist(ifs)'!A:A,'product_masterlist(ifs)'!C:C,"N/A",0)</f>
        <v>Surgical</v>
      </c>
      <c r="K425">
        <f>VLOOKUP(C425,'product_masterlist(ifs)'!A:I,7,FALSE)</f>
        <v>15</v>
      </c>
    </row>
    <row r="426" spans="1:11" x14ac:dyDescent="0.35">
      <c r="A426" t="s">
        <v>641</v>
      </c>
      <c r="B426" s="1">
        <v>45818</v>
      </c>
      <c r="C426" t="s">
        <v>33</v>
      </c>
      <c r="D426">
        <v>2</v>
      </c>
      <c r="E426" t="s">
        <v>22</v>
      </c>
      <c r="F426" t="s">
        <v>23</v>
      </c>
      <c r="G426">
        <v>300</v>
      </c>
      <c r="H426">
        <v>45</v>
      </c>
      <c r="I426" t="s">
        <v>34</v>
      </c>
      <c r="J426" t="str">
        <f>_xlfn.XLOOKUP(C426,'product_masterlist(ifs)'!A:A,'product_masterlist(ifs)'!C:C,"N/A",0)</f>
        <v>Surgical</v>
      </c>
      <c r="K426">
        <f>VLOOKUP(C426,'product_masterlist(ifs)'!A:I,7,FALSE)</f>
        <v>15</v>
      </c>
    </row>
    <row r="427" spans="1:11" x14ac:dyDescent="0.35">
      <c r="A427" t="s">
        <v>642</v>
      </c>
      <c r="B427" s="1">
        <v>45912</v>
      </c>
      <c r="C427" t="s">
        <v>90</v>
      </c>
      <c r="D427">
        <v>18</v>
      </c>
      <c r="E427" t="s">
        <v>12</v>
      </c>
      <c r="F427" t="s">
        <v>13</v>
      </c>
      <c r="G427">
        <v>873</v>
      </c>
      <c r="H427">
        <v>30</v>
      </c>
      <c r="I427" t="s">
        <v>14</v>
      </c>
      <c r="J427" t="str">
        <f>_xlfn.XLOOKUP(C427,'product_masterlist(ifs)'!A:A,'product_masterlist(ifs)'!C:C,"N/A",0)</f>
        <v>Frames</v>
      </c>
      <c r="K427">
        <f>VLOOKUP(C427,'product_masterlist(ifs)'!A:I,7,FALSE)</f>
        <v>180</v>
      </c>
    </row>
    <row r="428" spans="1:11" x14ac:dyDescent="0.35">
      <c r="A428" t="s">
        <v>643</v>
      </c>
      <c r="B428" t="s">
        <v>547</v>
      </c>
      <c r="C428" t="s">
        <v>26</v>
      </c>
      <c r="D428">
        <v>9</v>
      </c>
      <c r="E428" t="s">
        <v>22</v>
      </c>
      <c r="F428" t="s">
        <v>13</v>
      </c>
      <c r="G428" t="s">
        <v>170</v>
      </c>
      <c r="H428">
        <v>14</v>
      </c>
      <c r="I428" t="s">
        <v>28</v>
      </c>
      <c r="J428" t="str">
        <f>_xlfn.XLOOKUP(C428,'product_masterlist(ifs)'!A:A,'product_masterlist(ifs)'!C:C,"N/A",0)</f>
        <v>Contact Lenses</v>
      </c>
      <c r="K428">
        <f>VLOOKUP(C428,'product_masterlist(ifs)'!A:I,7,FALSE)</f>
        <v>450</v>
      </c>
    </row>
    <row r="429" spans="1:11" x14ac:dyDescent="0.35">
      <c r="A429" t="s">
        <v>644</v>
      </c>
      <c r="B429" s="1">
        <v>45819</v>
      </c>
      <c r="C429" t="s">
        <v>53</v>
      </c>
      <c r="D429">
        <v>10</v>
      </c>
      <c r="E429" t="s">
        <v>37</v>
      </c>
      <c r="F429" t="s">
        <v>13</v>
      </c>
      <c r="G429" t="s">
        <v>95</v>
      </c>
      <c r="H429">
        <v>7</v>
      </c>
      <c r="I429" t="s">
        <v>28</v>
      </c>
      <c r="J429" t="str">
        <f>_xlfn.XLOOKUP(C429,'product_masterlist(ifs)'!A:A,'product_masterlist(ifs)'!C:C,"N/A",0)</f>
        <v>Solutions</v>
      </c>
      <c r="K429">
        <f>VLOOKUP(C429,'product_masterlist(ifs)'!A:I,7,FALSE)</f>
        <v>800</v>
      </c>
    </row>
    <row r="430" spans="1:11" x14ac:dyDescent="0.35">
      <c r="A430" t="s">
        <v>645</v>
      </c>
      <c r="B430" s="1">
        <v>45843</v>
      </c>
      <c r="C430" t="s">
        <v>17</v>
      </c>
      <c r="D430">
        <v>6</v>
      </c>
      <c r="E430" t="s">
        <v>22</v>
      </c>
      <c r="F430" t="s">
        <v>31</v>
      </c>
      <c r="G430">
        <v>270</v>
      </c>
      <c r="H430">
        <v>30</v>
      </c>
      <c r="I430" t="s">
        <v>14</v>
      </c>
      <c r="J430" t="str">
        <f>_xlfn.XLOOKUP(C430,'product_masterlist(ifs)'!A:A,'product_masterlist(ifs)'!C:C,"N/A",0)</f>
        <v>Frames</v>
      </c>
      <c r="K430">
        <f>VLOOKUP(C430,'product_masterlist(ifs)'!A:I,7,FALSE)</f>
        <v>45</v>
      </c>
    </row>
    <row r="431" spans="1:11" x14ac:dyDescent="0.35">
      <c r="A431" t="s">
        <v>646</v>
      </c>
      <c r="B431" t="s">
        <v>323</v>
      </c>
      <c r="C431" t="s">
        <v>11</v>
      </c>
      <c r="D431">
        <v>25</v>
      </c>
      <c r="E431" t="s">
        <v>12</v>
      </c>
      <c r="F431" t="s">
        <v>31</v>
      </c>
      <c r="G431">
        <v>2125</v>
      </c>
      <c r="H431">
        <v>30</v>
      </c>
      <c r="I431" t="s">
        <v>14</v>
      </c>
      <c r="J431" t="str">
        <f>_xlfn.XLOOKUP(C431,'product_masterlist(ifs)'!A:A,'product_masterlist(ifs)'!C:C,"N/A",0)</f>
        <v>Surgical</v>
      </c>
      <c r="K431">
        <f>VLOOKUP(C431,'product_masterlist(ifs)'!A:I,7,FALSE)</f>
        <v>40</v>
      </c>
    </row>
    <row r="432" spans="1:11" x14ac:dyDescent="0.35">
      <c r="A432" t="s">
        <v>647</v>
      </c>
      <c r="B432" t="s">
        <v>446</v>
      </c>
      <c r="C432" t="s">
        <v>11</v>
      </c>
      <c r="D432">
        <v>14</v>
      </c>
      <c r="E432" t="s">
        <v>37</v>
      </c>
      <c r="F432" t="s">
        <v>13</v>
      </c>
      <c r="G432">
        <v>1190</v>
      </c>
      <c r="H432">
        <v>30</v>
      </c>
      <c r="I432" t="s">
        <v>14</v>
      </c>
      <c r="J432" t="str">
        <f>_xlfn.XLOOKUP(C432,'product_masterlist(ifs)'!A:A,'product_masterlist(ifs)'!C:C,"N/A",0)</f>
        <v>Surgical</v>
      </c>
      <c r="K432">
        <f>VLOOKUP(C432,'product_masterlist(ifs)'!A:I,7,FALSE)</f>
        <v>40</v>
      </c>
    </row>
    <row r="433" spans="1:11" x14ac:dyDescent="0.35">
      <c r="A433" t="s">
        <v>648</v>
      </c>
      <c r="B433" t="s">
        <v>186</v>
      </c>
      <c r="C433" t="s">
        <v>26</v>
      </c>
      <c r="D433">
        <v>13</v>
      </c>
      <c r="E433" t="s">
        <v>22</v>
      </c>
      <c r="F433" t="s">
        <v>13</v>
      </c>
      <c r="G433" t="s">
        <v>437</v>
      </c>
      <c r="H433">
        <v>14</v>
      </c>
      <c r="I433" t="s">
        <v>28</v>
      </c>
      <c r="J433" t="str">
        <f>_xlfn.XLOOKUP(C433,'product_masterlist(ifs)'!A:A,'product_masterlist(ifs)'!C:C,"N/A",0)</f>
        <v>Contact Lenses</v>
      </c>
      <c r="K433">
        <f>VLOOKUP(C433,'product_masterlist(ifs)'!A:I,7,FALSE)</f>
        <v>450</v>
      </c>
    </row>
    <row r="434" spans="1:11" x14ac:dyDescent="0.35">
      <c r="A434" t="s">
        <v>649</v>
      </c>
      <c r="B434" t="s">
        <v>10</v>
      </c>
      <c r="C434" t="s">
        <v>33</v>
      </c>
      <c r="D434">
        <v>4</v>
      </c>
      <c r="E434" t="s">
        <v>20</v>
      </c>
      <c r="F434" t="s">
        <v>31</v>
      </c>
      <c r="G434">
        <v>600</v>
      </c>
      <c r="H434">
        <v>45</v>
      </c>
      <c r="I434" t="s">
        <v>34</v>
      </c>
      <c r="J434" t="str">
        <f>_xlfn.XLOOKUP(C434,'product_masterlist(ifs)'!A:A,'product_masterlist(ifs)'!C:C,"N/A",0)</f>
        <v>Surgical</v>
      </c>
      <c r="K434">
        <f>VLOOKUP(C434,'product_masterlist(ifs)'!A:I,7,FALSE)</f>
        <v>15</v>
      </c>
    </row>
    <row r="435" spans="1:11" x14ac:dyDescent="0.35">
      <c r="A435" t="s">
        <v>650</v>
      </c>
      <c r="B435" t="s">
        <v>651</v>
      </c>
      <c r="C435" t="s">
        <v>42</v>
      </c>
      <c r="D435">
        <v>21</v>
      </c>
      <c r="E435" t="s">
        <v>37</v>
      </c>
      <c r="F435" t="s">
        <v>13</v>
      </c>
      <c r="G435">
        <v>525</v>
      </c>
      <c r="H435">
        <v>21</v>
      </c>
      <c r="I435" t="s">
        <v>14</v>
      </c>
      <c r="J435" t="str">
        <f>_xlfn.XLOOKUP(C435,'product_masterlist(ifs)'!A:A,'product_masterlist(ifs)'!C:C,"N/A",0)</f>
        <v>Contact Lenses</v>
      </c>
      <c r="K435">
        <f>VLOOKUP(C435,'product_masterlist(ifs)'!A:I,7,FALSE)</f>
        <v>120</v>
      </c>
    </row>
    <row r="436" spans="1:11" x14ac:dyDescent="0.35">
      <c r="A436" t="s">
        <v>652</v>
      </c>
      <c r="B436" s="1">
        <v>45999</v>
      </c>
      <c r="C436" t="s">
        <v>90</v>
      </c>
      <c r="D436">
        <v>15</v>
      </c>
      <c r="E436" t="s">
        <v>22</v>
      </c>
      <c r="F436" t="s">
        <v>31</v>
      </c>
      <c r="G436" t="s">
        <v>250</v>
      </c>
      <c r="H436">
        <v>30</v>
      </c>
      <c r="I436" t="s">
        <v>14</v>
      </c>
      <c r="J436" t="str">
        <f>_xlfn.XLOOKUP(C436,'product_masterlist(ifs)'!A:A,'product_masterlist(ifs)'!C:C,"N/A",0)</f>
        <v>Frames</v>
      </c>
      <c r="K436">
        <f>VLOOKUP(C436,'product_masterlist(ifs)'!A:I,7,FALSE)</f>
        <v>180</v>
      </c>
    </row>
    <row r="437" spans="1:11" x14ac:dyDescent="0.35">
      <c r="A437" t="s">
        <v>653</v>
      </c>
      <c r="B437" t="s">
        <v>654</v>
      </c>
      <c r="C437" t="s">
        <v>26</v>
      </c>
      <c r="D437">
        <v>2</v>
      </c>
      <c r="E437" t="s">
        <v>37</v>
      </c>
      <c r="F437" t="s">
        <v>18</v>
      </c>
      <c r="G437">
        <v>25</v>
      </c>
      <c r="H437">
        <v>14</v>
      </c>
      <c r="I437" t="s">
        <v>28</v>
      </c>
      <c r="J437" t="str">
        <f>_xlfn.XLOOKUP(C437,'product_masterlist(ifs)'!A:A,'product_masterlist(ifs)'!C:C,"N/A",0)</f>
        <v>Contact Lenses</v>
      </c>
      <c r="K437">
        <f>VLOOKUP(C437,'product_masterlist(ifs)'!A:I,7,FALSE)</f>
        <v>450</v>
      </c>
    </row>
    <row r="438" spans="1:11" x14ac:dyDescent="0.35">
      <c r="A438" t="s">
        <v>655</v>
      </c>
      <c r="B438" t="s">
        <v>16</v>
      </c>
      <c r="C438" t="s">
        <v>26</v>
      </c>
      <c r="D438">
        <v>10</v>
      </c>
      <c r="E438" t="s">
        <v>22</v>
      </c>
      <c r="F438" t="s">
        <v>13</v>
      </c>
      <c r="G438">
        <v>125</v>
      </c>
      <c r="H438">
        <v>14</v>
      </c>
      <c r="I438" t="s">
        <v>28</v>
      </c>
      <c r="J438" t="str">
        <f>_xlfn.XLOOKUP(C438,'product_masterlist(ifs)'!A:A,'product_masterlist(ifs)'!C:C,"N/A",0)</f>
        <v>Contact Lenses</v>
      </c>
      <c r="K438">
        <f>VLOOKUP(C438,'product_masterlist(ifs)'!A:I,7,FALSE)</f>
        <v>450</v>
      </c>
    </row>
    <row r="439" spans="1:11" x14ac:dyDescent="0.35">
      <c r="A439" t="s">
        <v>656</v>
      </c>
      <c r="B439" s="1">
        <v>45723</v>
      </c>
      <c r="C439" t="s">
        <v>11</v>
      </c>
      <c r="D439">
        <v>1</v>
      </c>
      <c r="E439" t="s">
        <v>12</v>
      </c>
      <c r="F439" t="s">
        <v>13</v>
      </c>
      <c r="G439">
        <v>85</v>
      </c>
      <c r="H439">
        <v>30</v>
      </c>
      <c r="I439" t="s">
        <v>14</v>
      </c>
      <c r="J439" t="str">
        <f>_xlfn.XLOOKUP(C439,'product_masterlist(ifs)'!A:A,'product_masterlist(ifs)'!C:C,"N/A",0)</f>
        <v>Surgical</v>
      </c>
      <c r="K439">
        <f>VLOOKUP(C439,'product_masterlist(ifs)'!A:I,7,FALSE)</f>
        <v>40</v>
      </c>
    </row>
    <row r="440" spans="1:11" x14ac:dyDescent="0.35">
      <c r="A440" t="s">
        <v>657</v>
      </c>
      <c r="B440" t="s">
        <v>658</v>
      </c>
      <c r="C440" t="s">
        <v>53</v>
      </c>
      <c r="D440">
        <v>24</v>
      </c>
      <c r="E440" t="s">
        <v>12</v>
      </c>
      <c r="F440" t="s">
        <v>18</v>
      </c>
      <c r="G440">
        <v>102</v>
      </c>
      <c r="H440">
        <v>7</v>
      </c>
      <c r="I440" t="s">
        <v>28</v>
      </c>
      <c r="J440" t="str">
        <f>_xlfn.XLOOKUP(C440,'product_masterlist(ifs)'!A:A,'product_masterlist(ifs)'!C:C,"N/A",0)</f>
        <v>Solutions</v>
      </c>
      <c r="K440">
        <f>VLOOKUP(C440,'product_masterlist(ifs)'!A:I,7,FALSE)</f>
        <v>800</v>
      </c>
    </row>
    <row r="441" spans="1:11" x14ac:dyDescent="0.35">
      <c r="A441" t="s">
        <v>659</v>
      </c>
      <c r="B441" t="s">
        <v>660</v>
      </c>
      <c r="C441" t="s">
        <v>26</v>
      </c>
      <c r="D441">
        <v>18</v>
      </c>
      <c r="E441" t="s">
        <v>22</v>
      </c>
      <c r="F441" t="s">
        <v>23</v>
      </c>
      <c r="G441">
        <v>225</v>
      </c>
      <c r="H441">
        <v>14</v>
      </c>
      <c r="I441" t="s">
        <v>28</v>
      </c>
      <c r="J441" t="str">
        <f>_xlfn.XLOOKUP(C441,'product_masterlist(ifs)'!A:A,'product_masterlist(ifs)'!C:C,"N/A",0)</f>
        <v>Contact Lenses</v>
      </c>
      <c r="K441">
        <f>VLOOKUP(C441,'product_masterlist(ifs)'!A:I,7,FALSE)</f>
        <v>450</v>
      </c>
    </row>
    <row r="442" spans="1:11" x14ac:dyDescent="0.35">
      <c r="A442" t="s">
        <v>661</v>
      </c>
      <c r="B442" t="s">
        <v>80</v>
      </c>
      <c r="C442" t="s">
        <v>17</v>
      </c>
      <c r="D442">
        <v>19</v>
      </c>
      <c r="E442" t="s">
        <v>22</v>
      </c>
      <c r="F442" t="s">
        <v>23</v>
      </c>
      <c r="G442">
        <v>855</v>
      </c>
      <c r="H442">
        <v>30</v>
      </c>
      <c r="I442" t="s">
        <v>14</v>
      </c>
      <c r="J442" t="str">
        <f>_xlfn.XLOOKUP(C442,'product_masterlist(ifs)'!A:A,'product_masterlist(ifs)'!C:C,"N/A",0)</f>
        <v>Frames</v>
      </c>
      <c r="K442">
        <f>VLOOKUP(C442,'product_masterlist(ifs)'!A:I,7,FALSE)</f>
        <v>45</v>
      </c>
    </row>
    <row r="443" spans="1:11" x14ac:dyDescent="0.35">
      <c r="A443" t="s">
        <v>662</v>
      </c>
      <c r="B443" s="1">
        <v>45789</v>
      </c>
      <c r="C443" t="s">
        <v>53</v>
      </c>
      <c r="D443">
        <v>7</v>
      </c>
      <c r="E443" t="s">
        <v>22</v>
      </c>
      <c r="F443" t="s">
        <v>23</v>
      </c>
      <c r="G443" t="s">
        <v>320</v>
      </c>
      <c r="H443">
        <v>7</v>
      </c>
      <c r="I443" t="s">
        <v>28</v>
      </c>
      <c r="J443" t="str">
        <f>_xlfn.XLOOKUP(C443,'product_masterlist(ifs)'!A:A,'product_masterlist(ifs)'!C:C,"N/A",0)</f>
        <v>Solutions</v>
      </c>
      <c r="K443">
        <f>VLOOKUP(C443,'product_masterlist(ifs)'!A:I,7,FALSE)</f>
        <v>800</v>
      </c>
    </row>
    <row r="444" spans="1:11" x14ac:dyDescent="0.35">
      <c r="A444" t="s">
        <v>663</v>
      </c>
      <c r="B444" t="s">
        <v>414</v>
      </c>
      <c r="C444" t="s">
        <v>53</v>
      </c>
      <c r="D444">
        <v>3</v>
      </c>
      <c r="E444" t="s">
        <v>37</v>
      </c>
      <c r="F444" t="s">
        <v>13</v>
      </c>
      <c r="G444" t="s">
        <v>278</v>
      </c>
      <c r="H444">
        <v>7</v>
      </c>
      <c r="I444" t="s">
        <v>28</v>
      </c>
      <c r="J444" t="str">
        <f>_xlfn.XLOOKUP(C444,'product_masterlist(ifs)'!A:A,'product_masterlist(ifs)'!C:C,"N/A",0)</f>
        <v>Solutions</v>
      </c>
      <c r="K444">
        <f>VLOOKUP(C444,'product_masterlist(ifs)'!A:I,7,FALSE)</f>
        <v>800</v>
      </c>
    </row>
    <row r="445" spans="1:11" x14ac:dyDescent="0.35">
      <c r="A445" t="s">
        <v>664</v>
      </c>
      <c r="B445" t="s">
        <v>212</v>
      </c>
      <c r="C445" t="s">
        <v>42</v>
      </c>
      <c r="D445">
        <v>7</v>
      </c>
      <c r="E445" t="s">
        <v>12</v>
      </c>
      <c r="F445" t="s">
        <v>18</v>
      </c>
      <c r="G445">
        <v>175</v>
      </c>
      <c r="H445">
        <v>21</v>
      </c>
      <c r="I445" t="s">
        <v>14</v>
      </c>
      <c r="J445" t="str">
        <f>_xlfn.XLOOKUP(C445,'product_masterlist(ifs)'!A:A,'product_masterlist(ifs)'!C:C,"N/A",0)</f>
        <v>Contact Lenses</v>
      </c>
      <c r="K445">
        <f>VLOOKUP(C445,'product_masterlist(ifs)'!A:I,7,FALSE)</f>
        <v>120</v>
      </c>
    </row>
    <row r="446" spans="1:11" x14ac:dyDescent="0.35">
      <c r="A446" t="s">
        <v>665</v>
      </c>
      <c r="B446" t="s">
        <v>271</v>
      </c>
      <c r="C446" t="s">
        <v>11</v>
      </c>
      <c r="D446">
        <v>24</v>
      </c>
      <c r="E446" t="s">
        <v>22</v>
      </c>
      <c r="F446" t="s">
        <v>23</v>
      </c>
      <c r="G446">
        <v>2040</v>
      </c>
      <c r="H446">
        <v>30</v>
      </c>
      <c r="I446" t="s">
        <v>14</v>
      </c>
      <c r="J446" t="str">
        <f>_xlfn.XLOOKUP(C446,'product_masterlist(ifs)'!A:A,'product_masterlist(ifs)'!C:C,"N/A",0)</f>
        <v>Surgical</v>
      </c>
      <c r="K446">
        <f>VLOOKUP(C446,'product_masterlist(ifs)'!A:I,7,FALSE)</f>
        <v>40</v>
      </c>
    </row>
    <row r="447" spans="1:11" x14ac:dyDescent="0.35">
      <c r="A447" t="s">
        <v>666</v>
      </c>
      <c r="B447" t="s">
        <v>667</v>
      </c>
      <c r="C447" t="s">
        <v>42</v>
      </c>
      <c r="D447">
        <v>7</v>
      </c>
      <c r="E447" t="s">
        <v>12</v>
      </c>
      <c r="F447" t="s">
        <v>18</v>
      </c>
      <c r="G447">
        <v>175</v>
      </c>
      <c r="H447">
        <v>21</v>
      </c>
      <c r="I447" t="s">
        <v>14</v>
      </c>
      <c r="J447" t="str">
        <f>_xlfn.XLOOKUP(C447,'product_masterlist(ifs)'!A:A,'product_masterlist(ifs)'!C:C,"N/A",0)</f>
        <v>Contact Lenses</v>
      </c>
      <c r="K447">
        <f>VLOOKUP(C447,'product_masterlist(ifs)'!A:I,7,FALSE)</f>
        <v>120</v>
      </c>
    </row>
    <row r="448" spans="1:11" x14ac:dyDescent="0.35">
      <c r="A448" t="s">
        <v>668</v>
      </c>
      <c r="B448" s="1">
        <v>46001</v>
      </c>
      <c r="C448" t="s">
        <v>90</v>
      </c>
      <c r="D448">
        <v>14</v>
      </c>
      <c r="E448" t="s">
        <v>37</v>
      </c>
      <c r="F448" t="s">
        <v>18</v>
      </c>
      <c r="G448">
        <v>679</v>
      </c>
      <c r="H448">
        <v>30</v>
      </c>
      <c r="I448" t="s">
        <v>14</v>
      </c>
      <c r="J448" t="str">
        <f>_xlfn.XLOOKUP(C448,'product_masterlist(ifs)'!A:A,'product_masterlist(ifs)'!C:C,"N/A",0)</f>
        <v>Frames</v>
      </c>
      <c r="K448">
        <f>VLOOKUP(C448,'product_masterlist(ifs)'!A:I,7,FALSE)</f>
        <v>180</v>
      </c>
    </row>
    <row r="449" spans="1:11" x14ac:dyDescent="0.35">
      <c r="A449" t="s">
        <v>669</v>
      </c>
      <c r="B449" t="s">
        <v>242</v>
      </c>
      <c r="C449" t="s">
        <v>26</v>
      </c>
      <c r="D449">
        <v>23</v>
      </c>
      <c r="E449" t="s">
        <v>22</v>
      </c>
      <c r="F449" t="s">
        <v>31</v>
      </c>
      <c r="G449" t="s">
        <v>162</v>
      </c>
      <c r="H449">
        <v>14</v>
      </c>
      <c r="I449" t="s">
        <v>28</v>
      </c>
      <c r="J449" t="str">
        <f>_xlfn.XLOOKUP(C449,'product_masterlist(ifs)'!A:A,'product_masterlist(ifs)'!C:C,"N/A",0)</f>
        <v>Contact Lenses</v>
      </c>
      <c r="K449">
        <f>VLOOKUP(C449,'product_masterlist(ifs)'!A:I,7,FALSE)</f>
        <v>450</v>
      </c>
    </row>
    <row r="450" spans="1:11" x14ac:dyDescent="0.35">
      <c r="A450" t="s">
        <v>670</v>
      </c>
      <c r="B450" t="s">
        <v>129</v>
      </c>
      <c r="C450" t="s">
        <v>42</v>
      </c>
      <c r="D450">
        <v>7</v>
      </c>
      <c r="E450" t="s">
        <v>22</v>
      </c>
      <c r="F450" t="s">
        <v>23</v>
      </c>
      <c r="G450">
        <v>175</v>
      </c>
      <c r="H450">
        <v>21</v>
      </c>
      <c r="I450" t="s">
        <v>14</v>
      </c>
      <c r="J450" t="str">
        <f>_xlfn.XLOOKUP(C450,'product_masterlist(ifs)'!A:A,'product_masterlist(ifs)'!C:C,"N/A",0)</f>
        <v>Contact Lenses</v>
      </c>
      <c r="K450">
        <f>VLOOKUP(C450,'product_masterlist(ifs)'!A:I,7,FALSE)</f>
        <v>120</v>
      </c>
    </row>
    <row r="451" spans="1:11" x14ac:dyDescent="0.35">
      <c r="A451" t="s">
        <v>671</v>
      </c>
      <c r="B451" s="1">
        <v>45820</v>
      </c>
      <c r="C451" t="s">
        <v>90</v>
      </c>
      <c r="D451">
        <v>20</v>
      </c>
      <c r="E451" t="s">
        <v>22</v>
      </c>
      <c r="F451" t="s">
        <v>13</v>
      </c>
      <c r="G451">
        <v>970</v>
      </c>
      <c r="H451">
        <v>30</v>
      </c>
      <c r="I451" t="s">
        <v>14</v>
      </c>
      <c r="J451" t="str">
        <f>_xlfn.XLOOKUP(C451,'product_masterlist(ifs)'!A:A,'product_masterlist(ifs)'!C:C,"N/A",0)</f>
        <v>Frames</v>
      </c>
      <c r="K451">
        <f>VLOOKUP(C451,'product_masterlist(ifs)'!A:I,7,FALSE)</f>
        <v>180</v>
      </c>
    </row>
    <row r="452" spans="1:11" x14ac:dyDescent="0.35">
      <c r="A452" t="s">
        <v>672</v>
      </c>
      <c r="B452" s="1">
        <v>45722</v>
      </c>
      <c r="C452" t="s">
        <v>42</v>
      </c>
      <c r="D452">
        <v>21</v>
      </c>
      <c r="E452" t="s">
        <v>37</v>
      </c>
      <c r="F452" t="s">
        <v>31</v>
      </c>
      <c r="G452">
        <v>525</v>
      </c>
      <c r="H452">
        <v>21</v>
      </c>
      <c r="I452" t="s">
        <v>14</v>
      </c>
      <c r="J452" t="str">
        <f>_xlfn.XLOOKUP(C452,'product_masterlist(ifs)'!A:A,'product_masterlist(ifs)'!C:C,"N/A",0)</f>
        <v>Contact Lenses</v>
      </c>
      <c r="K452">
        <f>VLOOKUP(C452,'product_masterlist(ifs)'!A:I,7,FALSE)</f>
        <v>120</v>
      </c>
    </row>
    <row r="453" spans="1:11" x14ac:dyDescent="0.35">
      <c r="A453" t="s">
        <v>673</v>
      </c>
      <c r="B453" t="s">
        <v>674</v>
      </c>
      <c r="C453" t="s">
        <v>42</v>
      </c>
      <c r="D453">
        <v>12</v>
      </c>
      <c r="E453" t="s">
        <v>22</v>
      </c>
      <c r="F453" t="s">
        <v>23</v>
      </c>
      <c r="G453">
        <v>300</v>
      </c>
      <c r="H453">
        <v>21</v>
      </c>
      <c r="I453" t="s">
        <v>14</v>
      </c>
      <c r="J453" t="str">
        <f>_xlfn.XLOOKUP(C453,'product_masterlist(ifs)'!A:A,'product_masterlist(ifs)'!C:C,"N/A",0)</f>
        <v>Contact Lenses</v>
      </c>
      <c r="K453">
        <f>VLOOKUP(C453,'product_masterlist(ifs)'!A:I,7,FALSE)</f>
        <v>120</v>
      </c>
    </row>
    <row r="454" spans="1:11" x14ac:dyDescent="0.35">
      <c r="A454" t="s">
        <v>675</v>
      </c>
      <c r="B454" t="s">
        <v>393</v>
      </c>
      <c r="C454" t="s">
        <v>17</v>
      </c>
      <c r="D454">
        <v>12</v>
      </c>
      <c r="E454" t="s">
        <v>12</v>
      </c>
      <c r="F454" t="s">
        <v>18</v>
      </c>
      <c r="G454">
        <v>540</v>
      </c>
      <c r="H454">
        <v>30</v>
      </c>
      <c r="I454" t="s">
        <v>14</v>
      </c>
      <c r="J454" t="str">
        <f>_xlfn.XLOOKUP(C454,'product_masterlist(ifs)'!A:A,'product_masterlist(ifs)'!C:C,"N/A",0)</f>
        <v>Frames</v>
      </c>
      <c r="K454">
        <f>VLOOKUP(C454,'product_masterlist(ifs)'!A:I,7,FALSE)</f>
        <v>45</v>
      </c>
    </row>
    <row r="455" spans="1:11" x14ac:dyDescent="0.35">
      <c r="A455" t="s">
        <v>676</v>
      </c>
      <c r="B455" s="1">
        <v>45662</v>
      </c>
      <c r="C455" t="s">
        <v>33</v>
      </c>
      <c r="D455">
        <v>21</v>
      </c>
      <c r="E455" t="s">
        <v>22</v>
      </c>
      <c r="F455" t="s">
        <v>13</v>
      </c>
      <c r="G455">
        <v>3150</v>
      </c>
      <c r="H455">
        <v>45</v>
      </c>
      <c r="I455" t="s">
        <v>34</v>
      </c>
      <c r="J455" t="str">
        <f>_xlfn.XLOOKUP(C455,'product_masterlist(ifs)'!A:A,'product_masterlist(ifs)'!C:C,"N/A",0)</f>
        <v>Surgical</v>
      </c>
      <c r="K455">
        <f>VLOOKUP(C455,'product_masterlist(ifs)'!A:I,7,FALSE)</f>
        <v>15</v>
      </c>
    </row>
    <row r="456" spans="1:11" x14ac:dyDescent="0.35">
      <c r="A456" t="s">
        <v>677</v>
      </c>
      <c r="B456" s="1">
        <v>45660</v>
      </c>
      <c r="C456" t="s">
        <v>90</v>
      </c>
      <c r="D456">
        <v>17</v>
      </c>
      <c r="E456" t="s">
        <v>37</v>
      </c>
      <c r="F456" t="s">
        <v>23</v>
      </c>
      <c r="G456" t="s">
        <v>362</v>
      </c>
      <c r="H456">
        <v>30</v>
      </c>
      <c r="I456" t="s">
        <v>14</v>
      </c>
      <c r="J456" t="str">
        <f>_xlfn.XLOOKUP(C456,'product_masterlist(ifs)'!A:A,'product_masterlist(ifs)'!C:C,"N/A",0)</f>
        <v>Frames</v>
      </c>
      <c r="K456">
        <f>VLOOKUP(C456,'product_masterlist(ifs)'!A:I,7,FALSE)</f>
        <v>180</v>
      </c>
    </row>
    <row r="457" spans="1:11" x14ac:dyDescent="0.35">
      <c r="A457" t="s">
        <v>678</v>
      </c>
      <c r="B457" t="s">
        <v>477</v>
      </c>
      <c r="C457" t="s">
        <v>26</v>
      </c>
      <c r="D457">
        <v>21</v>
      </c>
      <c r="E457" t="s">
        <v>12</v>
      </c>
      <c r="F457" t="s">
        <v>31</v>
      </c>
      <c r="G457" t="s">
        <v>366</v>
      </c>
      <c r="H457">
        <v>14</v>
      </c>
      <c r="I457" t="s">
        <v>28</v>
      </c>
      <c r="J457" t="str">
        <f>_xlfn.XLOOKUP(C457,'product_masterlist(ifs)'!A:A,'product_masterlist(ifs)'!C:C,"N/A",0)</f>
        <v>Contact Lenses</v>
      </c>
      <c r="K457">
        <f>VLOOKUP(C457,'product_masterlist(ifs)'!A:I,7,FALSE)</f>
        <v>450</v>
      </c>
    </row>
    <row r="458" spans="1:11" x14ac:dyDescent="0.35">
      <c r="A458" t="s">
        <v>679</v>
      </c>
      <c r="B458" t="s">
        <v>654</v>
      </c>
      <c r="C458" t="s">
        <v>53</v>
      </c>
      <c r="D458">
        <v>6</v>
      </c>
      <c r="E458" t="s">
        <v>22</v>
      </c>
      <c r="F458" t="s">
        <v>18</v>
      </c>
      <c r="G458" t="s">
        <v>369</v>
      </c>
      <c r="H458">
        <v>7</v>
      </c>
      <c r="I458" t="s">
        <v>28</v>
      </c>
      <c r="J458" t="str">
        <f>_xlfn.XLOOKUP(C458,'product_masterlist(ifs)'!A:A,'product_masterlist(ifs)'!C:C,"N/A",0)</f>
        <v>Solutions</v>
      </c>
      <c r="K458">
        <f>VLOOKUP(C458,'product_masterlist(ifs)'!A:I,7,FALSE)</f>
        <v>800</v>
      </c>
    </row>
    <row r="459" spans="1:11" x14ac:dyDescent="0.35">
      <c r="A459" t="s">
        <v>680</v>
      </c>
      <c r="B459" s="1">
        <v>45723</v>
      </c>
      <c r="C459" t="s">
        <v>11</v>
      </c>
      <c r="D459">
        <v>24</v>
      </c>
      <c r="E459" t="s">
        <v>37</v>
      </c>
      <c r="F459" t="s">
        <v>23</v>
      </c>
      <c r="G459">
        <v>2040</v>
      </c>
      <c r="H459">
        <v>30</v>
      </c>
      <c r="I459" t="s">
        <v>14</v>
      </c>
      <c r="J459" t="str">
        <f>_xlfn.XLOOKUP(C459,'product_masterlist(ifs)'!A:A,'product_masterlist(ifs)'!C:C,"N/A",0)</f>
        <v>Surgical</v>
      </c>
      <c r="K459">
        <f>VLOOKUP(C459,'product_masterlist(ifs)'!A:I,7,FALSE)</f>
        <v>40</v>
      </c>
    </row>
    <row r="460" spans="1:11" x14ac:dyDescent="0.35">
      <c r="A460" t="s">
        <v>681</v>
      </c>
      <c r="B460" t="s">
        <v>97</v>
      </c>
      <c r="C460" t="s">
        <v>53</v>
      </c>
      <c r="D460">
        <v>1</v>
      </c>
      <c r="E460" t="s">
        <v>12</v>
      </c>
      <c r="F460" t="s">
        <v>18</v>
      </c>
      <c r="G460" t="s">
        <v>372</v>
      </c>
      <c r="H460">
        <v>7</v>
      </c>
      <c r="I460" t="s">
        <v>28</v>
      </c>
      <c r="J460" t="str">
        <f>_xlfn.XLOOKUP(C460,'product_masterlist(ifs)'!A:A,'product_masterlist(ifs)'!C:C,"N/A",0)</f>
        <v>Solutions</v>
      </c>
      <c r="K460">
        <f>VLOOKUP(C460,'product_masterlist(ifs)'!A:I,7,FALSE)</f>
        <v>800</v>
      </c>
    </row>
    <row r="461" spans="1:11" x14ac:dyDescent="0.35">
      <c r="A461" t="s">
        <v>682</v>
      </c>
      <c r="B461" t="s">
        <v>683</v>
      </c>
      <c r="C461" t="s">
        <v>53</v>
      </c>
      <c r="D461">
        <v>4</v>
      </c>
      <c r="E461" t="s">
        <v>22</v>
      </c>
      <c r="F461" t="s">
        <v>31</v>
      </c>
      <c r="G461">
        <v>17</v>
      </c>
      <c r="H461">
        <v>7</v>
      </c>
      <c r="I461" t="s">
        <v>28</v>
      </c>
      <c r="J461" t="str">
        <f>_xlfn.XLOOKUP(C461,'product_masterlist(ifs)'!A:A,'product_masterlist(ifs)'!C:C,"N/A",0)</f>
        <v>Solutions</v>
      </c>
      <c r="K461">
        <f>VLOOKUP(C461,'product_masterlist(ifs)'!A:I,7,FALSE)</f>
        <v>800</v>
      </c>
    </row>
    <row r="462" spans="1:11" x14ac:dyDescent="0.35">
      <c r="A462" t="s">
        <v>684</v>
      </c>
      <c r="B462" t="s">
        <v>588</v>
      </c>
      <c r="C462" t="s">
        <v>42</v>
      </c>
      <c r="D462">
        <v>11</v>
      </c>
      <c r="E462" t="s">
        <v>12</v>
      </c>
      <c r="F462" t="s">
        <v>23</v>
      </c>
      <c r="G462">
        <v>275</v>
      </c>
      <c r="H462">
        <v>21</v>
      </c>
      <c r="I462" t="s">
        <v>14</v>
      </c>
      <c r="J462" t="str">
        <f>_xlfn.XLOOKUP(C462,'product_masterlist(ifs)'!A:A,'product_masterlist(ifs)'!C:C,"N/A",0)</f>
        <v>Contact Lenses</v>
      </c>
      <c r="K462">
        <f>VLOOKUP(C462,'product_masterlist(ifs)'!A:I,7,FALSE)</f>
        <v>120</v>
      </c>
    </row>
    <row r="463" spans="1:11" x14ac:dyDescent="0.35">
      <c r="A463" t="s">
        <v>685</v>
      </c>
      <c r="B463" t="s">
        <v>271</v>
      </c>
      <c r="C463" t="s">
        <v>53</v>
      </c>
      <c r="D463">
        <v>2</v>
      </c>
      <c r="E463" t="s">
        <v>12</v>
      </c>
      <c r="F463" t="s">
        <v>13</v>
      </c>
      <c r="G463" t="s">
        <v>291</v>
      </c>
      <c r="H463">
        <v>7</v>
      </c>
      <c r="I463" t="s">
        <v>28</v>
      </c>
      <c r="J463" t="str">
        <f>_xlfn.XLOOKUP(C463,'product_masterlist(ifs)'!A:A,'product_masterlist(ifs)'!C:C,"N/A",0)</f>
        <v>Solutions</v>
      </c>
      <c r="K463">
        <f>VLOOKUP(C463,'product_masterlist(ifs)'!A:I,7,FALSE)</f>
        <v>800</v>
      </c>
    </row>
    <row r="464" spans="1:11" x14ac:dyDescent="0.35">
      <c r="A464" t="s">
        <v>686</v>
      </c>
      <c r="B464" t="s">
        <v>561</v>
      </c>
      <c r="C464" t="s">
        <v>17</v>
      </c>
      <c r="D464">
        <v>19</v>
      </c>
      <c r="E464" t="s">
        <v>22</v>
      </c>
      <c r="F464" t="s">
        <v>18</v>
      </c>
      <c r="G464">
        <v>855</v>
      </c>
      <c r="H464">
        <v>30</v>
      </c>
      <c r="I464" t="s">
        <v>14</v>
      </c>
      <c r="J464" t="str">
        <f>_xlfn.XLOOKUP(C464,'product_masterlist(ifs)'!A:A,'product_masterlist(ifs)'!C:C,"N/A",0)</f>
        <v>Frames</v>
      </c>
      <c r="K464">
        <f>VLOOKUP(C464,'product_masterlist(ifs)'!A:I,7,FALSE)</f>
        <v>45</v>
      </c>
    </row>
    <row r="465" spans="1:11" x14ac:dyDescent="0.35">
      <c r="A465" t="s">
        <v>687</v>
      </c>
      <c r="B465" t="s">
        <v>688</v>
      </c>
      <c r="C465" t="s">
        <v>53</v>
      </c>
      <c r="D465">
        <v>20</v>
      </c>
      <c r="E465" t="s">
        <v>22</v>
      </c>
      <c r="F465" t="s">
        <v>23</v>
      </c>
      <c r="G465">
        <v>85</v>
      </c>
      <c r="H465">
        <v>7</v>
      </c>
      <c r="I465" t="s">
        <v>28</v>
      </c>
      <c r="J465" t="str">
        <f>_xlfn.XLOOKUP(C465,'product_masterlist(ifs)'!A:A,'product_masterlist(ifs)'!C:C,"N/A",0)</f>
        <v>Solutions</v>
      </c>
      <c r="K465">
        <f>VLOOKUP(C465,'product_masterlist(ifs)'!A:I,7,FALSE)</f>
        <v>800</v>
      </c>
    </row>
    <row r="466" spans="1:11" x14ac:dyDescent="0.35">
      <c r="A466" t="s">
        <v>689</v>
      </c>
      <c r="B466" t="s">
        <v>690</v>
      </c>
      <c r="C466" t="s">
        <v>53</v>
      </c>
      <c r="D466">
        <v>1</v>
      </c>
      <c r="E466" t="s">
        <v>22</v>
      </c>
      <c r="F466" t="s">
        <v>13</v>
      </c>
      <c r="G466" t="s">
        <v>372</v>
      </c>
      <c r="H466">
        <v>7</v>
      </c>
      <c r="I466" t="s">
        <v>28</v>
      </c>
      <c r="J466" t="str">
        <f>_xlfn.XLOOKUP(C466,'product_masterlist(ifs)'!A:A,'product_masterlist(ifs)'!C:C,"N/A",0)</f>
        <v>Solutions</v>
      </c>
      <c r="K466">
        <f>VLOOKUP(C466,'product_masterlist(ifs)'!A:I,7,FALSE)</f>
        <v>800</v>
      </c>
    </row>
    <row r="467" spans="1:11" x14ac:dyDescent="0.35">
      <c r="A467" t="s">
        <v>691</v>
      </c>
      <c r="B467" s="1">
        <v>45750</v>
      </c>
      <c r="C467" t="s">
        <v>53</v>
      </c>
      <c r="D467">
        <v>16</v>
      </c>
      <c r="E467" t="s">
        <v>37</v>
      </c>
      <c r="F467" t="s">
        <v>13</v>
      </c>
      <c r="G467">
        <v>68</v>
      </c>
      <c r="H467">
        <v>7</v>
      </c>
      <c r="I467" t="s">
        <v>28</v>
      </c>
      <c r="J467" t="str">
        <f>_xlfn.XLOOKUP(C467,'product_masterlist(ifs)'!A:A,'product_masterlist(ifs)'!C:C,"N/A",0)</f>
        <v>Solutions</v>
      </c>
      <c r="K467">
        <f>VLOOKUP(C467,'product_masterlist(ifs)'!A:I,7,FALSE)</f>
        <v>800</v>
      </c>
    </row>
    <row r="468" spans="1:11" x14ac:dyDescent="0.35">
      <c r="A468" t="s">
        <v>692</v>
      </c>
      <c r="B468" t="s">
        <v>89</v>
      </c>
      <c r="C468" t="s">
        <v>11</v>
      </c>
      <c r="D468">
        <v>12</v>
      </c>
      <c r="E468" t="s">
        <v>37</v>
      </c>
      <c r="F468" t="s">
        <v>18</v>
      </c>
      <c r="G468">
        <v>1020</v>
      </c>
      <c r="H468">
        <v>30</v>
      </c>
      <c r="I468" t="s">
        <v>14</v>
      </c>
      <c r="J468" t="str">
        <f>_xlfn.XLOOKUP(C468,'product_masterlist(ifs)'!A:A,'product_masterlist(ifs)'!C:C,"N/A",0)</f>
        <v>Surgical</v>
      </c>
      <c r="K468">
        <f>VLOOKUP(C468,'product_masterlist(ifs)'!A:I,7,FALSE)</f>
        <v>40</v>
      </c>
    </row>
    <row r="469" spans="1:11" x14ac:dyDescent="0.35">
      <c r="A469" t="s">
        <v>693</v>
      </c>
      <c r="B469" s="1">
        <v>45662</v>
      </c>
      <c r="C469" t="s">
        <v>33</v>
      </c>
      <c r="D469">
        <v>21</v>
      </c>
      <c r="E469" t="s">
        <v>37</v>
      </c>
      <c r="F469" t="s">
        <v>18</v>
      </c>
      <c r="G469">
        <v>3150</v>
      </c>
      <c r="H469">
        <v>45</v>
      </c>
      <c r="I469" t="s">
        <v>34</v>
      </c>
      <c r="J469" t="str">
        <f>_xlfn.XLOOKUP(C469,'product_masterlist(ifs)'!A:A,'product_masterlist(ifs)'!C:C,"N/A",0)</f>
        <v>Surgical</v>
      </c>
      <c r="K469">
        <f>VLOOKUP(C469,'product_masterlist(ifs)'!A:I,7,FALSE)</f>
        <v>15</v>
      </c>
    </row>
    <row r="470" spans="1:11" x14ac:dyDescent="0.35">
      <c r="A470" t="s">
        <v>694</v>
      </c>
      <c r="B470" t="s">
        <v>281</v>
      </c>
      <c r="C470" t="s">
        <v>17</v>
      </c>
      <c r="D470">
        <v>12</v>
      </c>
      <c r="E470" t="s">
        <v>22</v>
      </c>
      <c r="F470" t="s">
        <v>18</v>
      </c>
      <c r="G470">
        <v>540</v>
      </c>
      <c r="H470">
        <v>30</v>
      </c>
      <c r="I470" t="s">
        <v>14</v>
      </c>
      <c r="J470" t="str">
        <f>_xlfn.XLOOKUP(C470,'product_masterlist(ifs)'!A:A,'product_masterlist(ifs)'!C:C,"N/A",0)</f>
        <v>Frames</v>
      </c>
      <c r="K470">
        <f>VLOOKUP(C470,'product_masterlist(ifs)'!A:I,7,FALSE)</f>
        <v>45</v>
      </c>
    </row>
    <row r="471" spans="1:11" x14ac:dyDescent="0.35">
      <c r="A471" t="s">
        <v>695</v>
      </c>
      <c r="B471" s="1">
        <v>45939</v>
      </c>
      <c r="C471" t="s">
        <v>90</v>
      </c>
      <c r="D471">
        <v>7</v>
      </c>
      <c r="E471" t="s">
        <v>22</v>
      </c>
      <c r="F471" t="s">
        <v>13</v>
      </c>
      <c r="G471" t="s">
        <v>181</v>
      </c>
      <c r="H471">
        <v>30</v>
      </c>
      <c r="I471" t="s">
        <v>14</v>
      </c>
      <c r="J471" t="str">
        <f>_xlfn.XLOOKUP(C471,'product_masterlist(ifs)'!A:A,'product_masterlist(ifs)'!C:C,"N/A",0)</f>
        <v>Frames</v>
      </c>
      <c r="K471">
        <f>VLOOKUP(C471,'product_masterlist(ifs)'!A:I,7,FALSE)</f>
        <v>180</v>
      </c>
    </row>
    <row r="472" spans="1:11" x14ac:dyDescent="0.35">
      <c r="A472" t="s">
        <v>696</v>
      </c>
      <c r="B472" s="1">
        <v>45718</v>
      </c>
      <c r="C472" t="s">
        <v>11</v>
      </c>
      <c r="D472">
        <v>14</v>
      </c>
      <c r="E472" t="s">
        <v>37</v>
      </c>
      <c r="F472" t="s">
        <v>13</v>
      </c>
      <c r="G472">
        <v>1190</v>
      </c>
      <c r="H472">
        <v>30</v>
      </c>
      <c r="I472" t="s">
        <v>14</v>
      </c>
      <c r="J472" t="str">
        <f>_xlfn.XLOOKUP(C472,'product_masterlist(ifs)'!A:A,'product_masterlist(ifs)'!C:C,"N/A",0)</f>
        <v>Surgical</v>
      </c>
      <c r="K472">
        <f>VLOOKUP(C472,'product_masterlist(ifs)'!A:I,7,FALSE)</f>
        <v>40</v>
      </c>
    </row>
    <row r="473" spans="1:11" x14ac:dyDescent="0.35">
      <c r="A473" t="s">
        <v>697</v>
      </c>
      <c r="B473" s="1">
        <v>45778</v>
      </c>
      <c r="C473" t="s">
        <v>53</v>
      </c>
      <c r="D473">
        <v>17</v>
      </c>
      <c r="E473" t="s">
        <v>20</v>
      </c>
      <c r="F473" t="s">
        <v>31</v>
      </c>
      <c r="G473" t="s">
        <v>698</v>
      </c>
      <c r="H473">
        <v>7</v>
      </c>
      <c r="I473" t="s">
        <v>28</v>
      </c>
      <c r="J473" t="str">
        <f>_xlfn.XLOOKUP(C473,'product_masterlist(ifs)'!A:A,'product_masterlist(ifs)'!C:C,"N/A",0)</f>
        <v>Solutions</v>
      </c>
      <c r="K473">
        <f>VLOOKUP(C473,'product_masterlist(ifs)'!A:I,7,FALSE)</f>
        <v>800</v>
      </c>
    </row>
    <row r="474" spans="1:11" x14ac:dyDescent="0.35">
      <c r="A474" t="s">
        <v>699</v>
      </c>
      <c r="B474" t="s">
        <v>700</v>
      </c>
      <c r="C474" t="s">
        <v>11</v>
      </c>
      <c r="D474">
        <v>1</v>
      </c>
      <c r="E474" t="s">
        <v>20</v>
      </c>
      <c r="F474" t="s">
        <v>31</v>
      </c>
      <c r="G474">
        <v>85</v>
      </c>
      <c r="H474">
        <v>30</v>
      </c>
      <c r="I474" t="s">
        <v>14</v>
      </c>
      <c r="J474" t="str">
        <f>_xlfn.XLOOKUP(C474,'product_masterlist(ifs)'!A:A,'product_masterlist(ifs)'!C:C,"N/A",0)</f>
        <v>Surgical</v>
      </c>
      <c r="K474">
        <f>VLOOKUP(C474,'product_masterlist(ifs)'!A:I,7,FALSE)</f>
        <v>40</v>
      </c>
    </row>
    <row r="475" spans="1:11" x14ac:dyDescent="0.35">
      <c r="A475" t="s">
        <v>701</v>
      </c>
      <c r="B475" s="1">
        <v>45720</v>
      </c>
      <c r="C475" t="s">
        <v>42</v>
      </c>
      <c r="D475">
        <v>23</v>
      </c>
      <c r="E475" t="s">
        <v>37</v>
      </c>
      <c r="F475" t="s">
        <v>23</v>
      </c>
      <c r="G475">
        <v>575</v>
      </c>
      <c r="H475">
        <v>21</v>
      </c>
      <c r="I475" t="s">
        <v>14</v>
      </c>
      <c r="J475" t="str">
        <f>_xlfn.XLOOKUP(C475,'product_masterlist(ifs)'!A:A,'product_masterlist(ifs)'!C:C,"N/A",0)</f>
        <v>Contact Lenses</v>
      </c>
      <c r="K475">
        <f>VLOOKUP(C475,'product_masterlist(ifs)'!A:I,7,FALSE)</f>
        <v>120</v>
      </c>
    </row>
    <row r="476" spans="1:11" x14ac:dyDescent="0.35">
      <c r="A476" t="s">
        <v>702</v>
      </c>
      <c r="B476" t="s">
        <v>457</v>
      </c>
      <c r="C476" t="s">
        <v>11</v>
      </c>
      <c r="D476">
        <v>12</v>
      </c>
      <c r="E476" t="s">
        <v>12</v>
      </c>
      <c r="F476" t="s">
        <v>18</v>
      </c>
      <c r="G476">
        <v>1020</v>
      </c>
      <c r="H476">
        <v>30</v>
      </c>
      <c r="I476" t="s">
        <v>14</v>
      </c>
      <c r="J476" t="str">
        <f>_xlfn.XLOOKUP(C476,'product_masterlist(ifs)'!A:A,'product_masterlist(ifs)'!C:C,"N/A",0)</f>
        <v>Surgical</v>
      </c>
      <c r="K476">
        <f>VLOOKUP(C476,'product_masterlist(ifs)'!A:I,7,FALSE)</f>
        <v>40</v>
      </c>
    </row>
    <row r="477" spans="1:11" x14ac:dyDescent="0.35">
      <c r="A477" t="s">
        <v>703</v>
      </c>
      <c r="B477" t="s">
        <v>704</v>
      </c>
      <c r="C477" t="s">
        <v>90</v>
      </c>
      <c r="D477">
        <v>11</v>
      </c>
      <c r="E477" t="s">
        <v>20</v>
      </c>
      <c r="F477" t="s">
        <v>31</v>
      </c>
      <c r="G477" t="s">
        <v>238</v>
      </c>
      <c r="H477">
        <v>30</v>
      </c>
      <c r="I477" t="s">
        <v>14</v>
      </c>
      <c r="J477" t="str">
        <f>_xlfn.XLOOKUP(C477,'product_masterlist(ifs)'!A:A,'product_masterlist(ifs)'!C:C,"N/A",0)</f>
        <v>Frames</v>
      </c>
      <c r="K477">
        <f>VLOOKUP(C477,'product_masterlist(ifs)'!A:I,7,FALSE)</f>
        <v>180</v>
      </c>
    </row>
    <row r="478" spans="1:11" x14ac:dyDescent="0.35">
      <c r="A478" t="s">
        <v>705</v>
      </c>
      <c r="B478" t="s">
        <v>706</v>
      </c>
      <c r="C478" t="s">
        <v>11</v>
      </c>
      <c r="D478">
        <v>13</v>
      </c>
      <c r="E478" t="s">
        <v>20</v>
      </c>
      <c r="F478" t="s">
        <v>23</v>
      </c>
      <c r="G478">
        <v>1105</v>
      </c>
      <c r="H478">
        <v>30</v>
      </c>
      <c r="I478" t="s">
        <v>14</v>
      </c>
      <c r="J478" t="str">
        <f>_xlfn.XLOOKUP(C478,'product_masterlist(ifs)'!A:A,'product_masterlist(ifs)'!C:C,"N/A",0)</f>
        <v>Surgical</v>
      </c>
      <c r="K478">
        <f>VLOOKUP(C478,'product_masterlist(ifs)'!A:I,7,FALSE)</f>
        <v>40</v>
      </c>
    </row>
    <row r="479" spans="1:11" x14ac:dyDescent="0.35">
      <c r="A479" t="s">
        <v>707</v>
      </c>
      <c r="B479" t="s">
        <v>708</v>
      </c>
      <c r="C479" t="s">
        <v>53</v>
      </c>
      <c r="D479">
        <v>21</v>
      </c>
      <c r="E479" t="s">
        <v>12</v>
      </c>
      <c r="F479" t="s">
        <v>18</v>
      </c>
      <c r="G479" t="s">
        <v>197</v>
      </c>
      <c r="H479">
        <v>7</v>
      </c>
      <c r="I479" t="s">
        <v>28</v>
      </c>
      <c r="J479" t="str">
        <f>_xlfn.XLOOKUP(C479,'product_masterlist(ifs)'!A:A,'product_masterlist(ifs)'!C:C,"N/A",0)</f>
        <v>Solutions</v>
      </c>
      <c r="K479">
        <f>VLOOKUP(C479,'product_masterlist(ifs)'!A:I,7,FALSE)</f>
        <v>800</v>
      </c>
    </row>
    <row r="480" spans="1:11" x14ac:dyDescent="0.35">
      <c r="A480" t="s">
        <v>709</v>
      </c>
      <c r="B480" s="1">
        <v>46002</v>
      </c>
      <c r="C480" t="s">
        <v>90</v>
      </c>
      <c r="D480">
        <v>17</v>
      </c>
      <c r="E480" t="s">
        <v>22</v>
      </c>
      <c r="F480" t="s">
        <v>23</v>
      </c>
      <c r="G480" t="s">
        <v>362</v>
      </c>
      <c r="H480">
        <v>30</v>
      </c>
      <c r="I480" t="s">
        <v>14</v>
      </c>
      <c r="J480" t="str">
        <f>_xlfn.XLOOKUP(C480,'product_masterlist(ifs)'!A:A,'product_masterlist(ifs)'!C:C,"N/A",0)</f>
        <v>Frames</v>
      </c>
      <c r="K480">
        <f>VLOOKUP(C480,'product_masterlist(ifs)'!A:I,7,FALSE)</f>
        <v>180</v>
      </c>
    </row>
    <row r="481" spans="1:11" x14ac:dyDescent="0.35">
      <c r="A481" t="s">
        <v>710</v>
      </c>
      <c r="B481" t="s">
        <v>711</v>
      </c>
      <c r="C481" t="s">
        <v>42</v>
      </c>
      <c r="D481">
        <v>7</v>
      </c>
      <c r="E481" t="s">
        <v>22</v>
      </c>
      <c r="F481" t="s">
        <v>13</v>
      </c>
      <c r="G481">
        <v>175</v>
      </c>
      <c r="H481">
        <v>21</v>
      </c>
      <c r="I481" t="s">
        <v>14</v>
      </c>
      <c r="J481" t="str">
        <f>_xlfn.XLOOKUP(C481,'product_masterlist(ifs)'!A:A,'product_masterlist(ifs)'!C:C,"N/A",0)</f>
        <v>Contact Lenses</v>
      </c>
      <c r="K481">
        <f>VLOOKUP(C481,'product_masterlist(ifs)'!A:I,7,FALSE)</f>
        <v>120</v>
      </c>
    </row>
    <row r="482" spans="1:11" x14ac:dyDescent="0.35">
      <c r="A482" t="s">
        <v>712</v>
      </c>
      <c r="B482" t="s">
        <v>599</v>
      </c>
      <c r="C482" t="s">
        <v>11</v>
      </c>
      <c r="D482">
        <v>23</v>
      </c>
      <c r="E482" t="s">
        <v>37</v>
      </c>
      <c r="F482" t="s">
        <v>18</v>
      </c>
      <c r="G482">
        <v>1955</v>
      </c>
      <c r="H482">
        <v>30</v>
      </c>
      <c r="I482" t="s">
        <v>14</v>
      </c>
      <c r="J482" t="str">
        <f>_xlfn.XLOOKUP(C482,'product_masterlist(ifs)'!A:A,'product_masterlist(ifs)'!C:C,"N/A",0)</f>
        <v>Surgical</v>
      </c>
      <c r="K482">
        <f>VLOOKUP(C482,'product_masterlist(ifs)'!A:I,7,FALSE)</f>
        <v>40</v>
      </c>
    </row>
    <row r="483" spans="1:11" x14ac:dyDescent="0.35">
      <c r="A483" t="s">
        <v>713</v>
      </c>
      <c r="B483" t="s">
        <v>688</v>
      </c>
      <c r="C483" t="s">
        <v>53</v>
      </c>
      <c r="D483">
        <v>20</v>
      </c>
      <c r="E483" t="s">
        <v>37</v>
      </c>
      <c r="F483" t="s">
        <v>18</v>
      </c>
      <c r="G483">
        <v>85</v>
      </c>
      <c r="H483">
        <v>7</v>
      </c>
      <c r="I483" t="s">
        <v>28</v>
      </c>
      <c r="J483" t="str">
        <f>_xlfn.XLOOKUP(C483,'product_masterlist(ifs)'!A:A,'product_masterlist(ifs)'!C:C,"N/A",0)</f>
        <v>Solutions</v>
      </c>
      <c r="K483">
        <f>VLOOKUP(C483,'product_masterlist(ifs)'!A:I,7,FALSE)</f>
        <v>800</v>
      </c>
    </row>
    <row r="484" spans="1:11" x14ac:dyDescent="0.35">
      <c r="A484" t="s">
        <v>714</v>
      </c>
      <c r="B484" s="1">
        <v>45789</v>
      </c>
      <c r="C484" t="s">
        <v>90</v>
      </c>
      <c r="D484">
        <v>19</v>
      </c>
      <c r="E484" t="s">
        <v>12</v>
      </c>
      <c r="F484" t="s">
        <v>31</v>
      </c>
      <c r="G484" t="s">
        <v>504</v>
      </c>
      <c r="H484">
        <v>30</v>
      </c>
      <c r="I484" t="s">
        <v>14</v>
      </c>
      <c r="J484" t="str">
        <f>_xlfn.XLOOKUP(C484,'product_masterlist(ifs)'!A:A,'product_masterlist(ifs)'!C:C,"N/A",0)</f>
        <v>Frames</v>
      </c>
      <c r="K484">
        <f>VLOOKUP(C484,'product_masterlist(ifs)'!A:I,7,FALSE)</f>
        <v>180</v>
      </c>
    </row>
    <row r="485" spans="1:11" x14ac:dyDescent="0.35">
      <c r="A485" t="s">
        <v>715</v>
      </c>
      <c r="B485" t="s">
        <v>716</v>
      </c>
      <c r="C485" t="s">
        <v>11</v>
      </c>
      <c r="D485">
        <v>7</v>
      </c>
      <c r="E485" t="s">
        <v>22</v>
      </c>
      <c r="F485" t="s">
        <v>31</v>
      </c>
      <c r="G485">
        <v>595</v>
      </c>
      <c r="H485">
        <v>30</v>
      </c>
      <c r="I485" t="s">
        <v>14</v>
      </c>
      <c r="J485" t="str">
        <f>_xlfn.XLOOKUP(C485,'product_masterlist(ifs)'!A:A,'product_masterlist(ifs)'!C:C,"N/A",0)</f>
        <v>Surgical</v>
      </c>
      <c r="K485">
        <f>VLOOKUP(C485,'product_masterlist(ifs)'!A:I,7,FALSE)</f>
        <v>40</v>
      </c>
    </row>
    <row r="486" spans="1:11" x14ac:dyDescent="0.35">
      <c r="A486" t="s">
        <v>717</v>
      </c>
      <c r="B486" t="s">
        <v>186</v>
      </c>
      <c r="C486" t="s">
        <v>90</v>
      </c>
      <c r="D486">
        <v>2</v>
      </c>
      <c r="E486" t="s">
        <v>12</v>
      </c>
      <c r="F486" t="s">
        <v>31</v>
      </c>
      <c r="G486">
        <v>97</v>
      </c>
      <c r="H486">
        <v>30</v>
      </c>
      <c r="I486" t="s">
        <v>14</v>
      </c>
      <c r="J486" t="str">
        <f>_xlfn.XLOOKUP(C486,'product_masterlist(ifs)'!A:A,'product_masterlist(ifs)'!C:C,"N/A",0)</f>
        <v>Frames</v>
      </c>
      <c r="K486">
        <f>VLOOKUP(C486,'product_masterlist(ifs)'!A:I,7,FALSE)</f>
        <v>180</v>
      </c>
    </row>
    <row r="487" spans="1:11" x14ac:dyDescent="0.35">
      <c r="A487" t="s">
        <v>718</v>
      </c>
      <c r="B487" s="1">
        <v>45911</v>
      </c>
      <c r="C487" t="s">
        <v>11</v>
      </c>
      <c r="D487">
        <v>11</v>
      </c>
      <c r="E487" t="s">
        <v>20</v>
      </c>
      <c r="F487" t="s">
        <v>13</v>
      </c>
      <c r="G487">
        <v>935</v>
      </c>
      <c r="H487">
        <v>30</v>
      </c>
      <c r="I487" t="s">
        <v>14</v>
      </c>
      <c r="J487" t="str">
        <f>_xlfn.XLOOKUP(C487,'product_masterlist(ifs)'!A:A,'product_masterlist(ifs)'!C:C,"N/A",0)</f>
        <v>Surgical</v>
      </c>
      <c r="K487">
        <f>VLOOKUP(C487,'product_masterlist(ifs)'!A:I,7,FALSE)</f>
        <v>40</v>
      </c>
    </row>
    <row r="488" spans="1:11" x14ac:dyDescent="0.35">
      <c r="A488" t="s">
        <v>719</v>
      </c>
      <c r="B488" t="s">
        <v>315</v>
      </c>
      <c r="C488" t="s">
        <v>26</v>
      </c>
      <c r="D488">
        <v>12</v>
      </c>
      <c r="E488" t="s">
        <v>37</v>
      </c>
      <c r="F488" t="s">
        <v>23</v>
      </c>
      <c r="G488">
        <v>150</v>
      </c>
      <c r="H488">
        <v>14</v>
      </c>
      <c r="I488" t="s">
        <v>28</v>
      </c>
      <c r="J488" t="str">
        <f>_xlfn.XLOOKUP(C488,'product_masterlist(ifs)'!A:A,'product_masterlist(ifs)'!C:C,"N/A",0)</f>
        <v>Contact Lenses</v>
      </c>
      <c r="K488">
        <f>VLOOKUP(C488,'product_masterlist(ifs)'!A:I,7,FALSE)</f>
        <v>450</v>
      </c>
    </row>
    <row r="489" spans="1:11" x14ac:dyDescent="0.35">
      <c r="A489" t="s">
        <v>720</v>
      </c>
      <c r="B489" s="1">
        <v>45880</v>
      </c>
      <c r="C489" t="s">
        <v>26</v>
      </c>
      <c r="D489">
        <v>20</v>
      </c>
      <c r="E489" t="s">
        <v>20</v>
      </c>
      <c r="F489" t="s">
        <v>31</v>
      </c>
      <c r="G489">
        <v>250</v>
      </c>
      <c r="H489">
        <v>14</v>
      </c>
      <c r="I489" t="s">
        <v>28</v>
      </c>
      <c r="J489" t="str">
        <f>_xlfn.XLOOKUP(C489,'product_masterlist(ifs)'!A:A,'product_masterlist(ifs)'!C:C,"N/A",0)</f>
        <v>Contact Lenses</v>
      </c>
      <c r="K489">
        <f>VLOOKUP(C489,'product_masterlist(ifs)'!A:I,7,FALSE)</f>
        <v>450</v>
      </c>
    </row>
    <row r="490" spans="1:11" x14ac:dyDescent="0.35">
      <c r="A490" t="s">
        <v>721</v>
      </c>
      <c r="B490" s="1">
        <v>45875</v>
      </c>
      <c r="C490" t="s">
        <v>11</v>
      </c>
      <c r="D490">
        <v>11</v>
      </c>
      <c r="E490" t="s">
        <v>37</v>
      </c>
      <c r="F490" t="s">
        <v>13</v>
      </c>
      <c r="G490">
        <v>935</v>
      </c>
      <c r="H490">
        <v>30</v>
      </c>
      <c r="I490" t="s">
        <v>14</v>
      </c>
      <c r="J490" t="str">
        <f>_xlfn.XLOOKUP(C490,'product_masterlist(ifs)'!A:A,'product_masterlist(ifs)'!C:C,"N/A",0)</f>
        <v>Surgical</v>
      </c>
      <c r="K490">
        <f>VLOOKUP(C490,'product_masterlist(ifs)'!A:I,7,FALSE)</f>
        <v>40</v>
      </c>
    </row>
    <row r="491" spans="1:11" x14ac:dyDescent="0.35">
      <c r="A491" t="s">
        <v>722</v>
      </c>
      <c r="B491" t="s">
        <v>723</v>
      </c>
      <c r="C491" t="s">
        <v>90</v>
      </c>
      <c r="D491">
        <v>13</v>
      </c>
      <c r="E491" t="s">
        <v>12</v>
      </c>
      <c r="F491" t="s">
        <v>18</v>
      </c>
      <c r="G491" t="s">
        <v>262</v>
      </c>
      <c r="H491">
        <v>30</v>
      </c>
      <c r="I491" t="s">
        <v>14</v>
      </c>
      <c r="J491" t="str">
        <f>_xlfn.XLOOKUP(C491,'product_masterlist(ifs)'!A:A,'product_masterlist(ifs)'!C:C,"N/A",0)</f>
        <v>Frames</v>
      </c>
      <c r="K491">
        <f>VLOOKUP(C491,'product_masterlist(ifs)'!A:I,7,FALSE)</f>
        <v>180</v>
      </c>
    </row>
    <row r="492" spans="1:11" x14ac:dyDescent="0.35">
      <c r="A492" t="s">
        <v>724</v>
      </c>
      <c r="B492" s="1">
        <v>45818</v>
      </c>
      <c r="C492" t="s">
        <v>42</v>
      </c>
      <c r="D492">
        <v>18</v>
      </c>
      <c r="E492" t="s">
        <v>37</v>
      </c>
      <c r="F492" t="s">
        <v>31</v>
      </c>
      <c r="G492">
        <v>450</v>
      </c>
      <c r="H492">
        <v>21</v>
      </c>
      <c r="I492" t="s">
        <v>14</v>
      </c>
      <c r="J492" t="str">
        <f>_xlfn.XLOOKUP(C492,'product_masterlist(ifs)'!A:A,'product_masterlist(ifs)'!C:C,"N/A",0)</f>
        <v>Contact Lenses</v>
      </c>
      <c r="K492">
        <f>VLOOKUP(C492,'product_masterlist(ifs)'!A:I,7,FALSE)</f>
        <v>120</v>
      </c>
    </row>
    <row r="493" spans="1:11" x14ac:dyDescent="0.35">
      <c r="A493" t="s">
        <v>725</v>
      </c>
      <c r="B493" s="1">
        <v>45997</v>
      </c>
      <c r="C493" t="s">
        <v>17</v>
      </c>
      <c r="D493">
        <v>13</v>
      </c>
      <c r="E493" t="s">
        <v>22</v>
      </c>
      <c r="F493" t="s">
        <v>13</v>
      </c>
      <c r="G493">
        <v>585</v>
      </c>
      <c r="H493">
        <v>30</v>
      </c>
      <c r="I493" t="s">
        <v>14</v>
      </c>
      <c r="J493" t="str">
        <f>_xlfn.XLOOKUP(C493,'product_masterlist(ifs)'!A:A,'product_masterlist(ifs)'!C:C,"N/A",0)</f>
        <v>Frames</v>
      </c>
      <c r="K493">
        <f>VLOOKUP(C493,'product_masterlist(ifs)'!A:I,7,FALSE)</f>
        <v>45</v>
      </c>
    </row>
    <row r="494" spans="1:11" x14ac:dyDescent="0.35">
      <c r="A494" t="s">
        <v>726</v>
      </c>
      <c r="B494" s="1">
        <v>45843</v>
      </c>
      <c r="C494" t="s">
        <v>53</v>
      </c>
      <c r="D494">
        <v>3</v>
      </c>
      <c r="E494" t="s">
        <v>12</v>
      </c>
      <c r="F494" t="s">
        <v>13</v>
      </c>
      <c r="G494" t="s">
        <v>278</v>
      </c>
      <c r="H494">
        <v>7</v>
      </c>
      <c r="I494" t="s">
        <v>28</v>
      </c>
      <c r="J494" t="str">
        <f>_xlfn.XLOOKUP(C494,'product_masterlist(ifs)'!A:A,'product_masterlist(ifs)'!C:C,"N/A",0)</f>
        <v>Solutions</v>
      </c>
      <c r="K494">
        <f>VLOOKUP(C494,'product_masterlist(ifs)'!A:I,7,FALSE)</f>
        <v>800</v>
      </c>
    </row>
    <row r="495" spans="1:11" x14ac:dyDescent="0.35">
      <c r="A495" t="s">
        <v>727</v>
      </c>
      <c r="B495" s="1">
        <v>45724</v>
      </c>
      <c r="C495" t="s">
        <v>53</v>
      </c>
      <c r="D495">
        <v>3</v>
      </c>
      <c r="E495" t="s">
        <v>20</v>
      </c>
      <c r="F495" t="s">
        <v>13</v>
      </c>
      <c r="G495" t="s">
        <v>278</v>
      </c>
      <c r="H495">
        <v>7</v>
      </c>
      <c r="I495" t="s">
        <v>28</v>
      </c>
      <c r="J495" t="str">
        <f>_xlfn.XLOOKUP(C495,'product_masterlist(ifs)'!A:A,'product_masterlist(ifs)'!C:C,"N/A",0)</f>
        <v>Solutions</v>
      </c>
      <c r="K495">
        <f>VLOOKUP(C495,'product_masterlist(ifs)'!A:I,7,FALSE)</f>
        <v>800</v>
      </c>
    </row>
    <row r="496" spans="1:11" x14ac:dyDescent="0.35">
      <c r="A496" t="s">
        <v>728</v>
      </c>
      <c r="B496" t="s">
        <v>65</v>
      </c>
      <c r="C496" t="s">
        <v>17</v>
      </c>
      <c r="D496">
        <v>7</v>
      </c>
      <c r="E496" t="s">
        <v>20</v>
      </c>
      <c r="F496" t="s">
        <v>13</v>
      </c>
      <c r="G496">
        <v>315</v>
      </c>
      <c r="H496">
        <v>30</v>
      </c>
      <c r="I496" t="s">
        <v>14</v>
      </c>
      <c r="J496" t="str">
        <f>_xlfn.XLOOKUP(C496,'product_masterlist(ifs)'!A:A,'product_masterlist(ifs)'!C:C,"N/A",0)</f>
        <v>Frames</v>
      </c>
      <c r="K496">
        <f>VLOOKUP(C496,'product_masterlist(ifs)'!A:I,7,FALSE)</f>
        <v>45</v>
      </c>
    </row>
    <row r="497" spans="1:11" x14ac:dyDescent="0.35">
      <c r="A497" t="s">
        <v>729</v>
      </c>
      <c r="B497" t="s">
        <v>242</v>
      </c>
      <c r="C497" t="s">
        <v>11</v>
      </c>
      <c r="D497">
        <v>11</v>
      </c>
      <c r="E497" t="s">
        <v>37</v>
      </c>
      <c r="F497" t="s">
        <v>23</v>
      </c>
      <c r="G497">
        <v>935</v>
      </c>
      <c r="H497">
        <v>30</v>
      </c>
      <c r="I497" t="s">
        <v>14</v>
      </c>
      <c r="J497" t="str">
        <f>_xlfn.XLOOKUP(C497,'product_masterlist(ifs)'!A:A,'product_masterlist(ifs)'!C:C,"N/A",0)</f>
        <v>Surgical</v>
      </c>
      <c r="K497">
        <f>VLOOKUP(C497,'product_masterlist(ifs)'!A:I,7,FALSE)</f>
        <v>40</v>
      </c>
    </row>
    <row r="498" spans="1:11" x14ac:dyDescent="0.35">
      <c r="A498" t="s">
        <v>730</v>
      </c>
      <c r="B498" s="1">
        <v>45965</v>
      </c>
      <c r="C498" t="s">
        <v>33</v>
      </c>
      <c r="D498">
        <v>17</v>
      </c>
      <c r="E498" t="s">
        <v>22</v>
      </c>
      <c r="F498" t="s">
        <v>31</v>
      </c>
      <c r="G498">
        <v>2550</v>
      </c>
      <c r="H498">
        <v>45</v>
      </c>
      <c r="I498" t="s">
        <v>34</v>
      </c>
      <c r="J498" t="str">
        <f>_xlfn.XLOOKUP(C498,'product_masterlist(ifs)'!A:A,'product_masterlist(ifs)'!C:C,"N/A",0)</f>
        <v>Surgical</v>
      </c>
      <c r="K498">
        <f>VLOOKUP(C498,'product_masterlist(ifs)'!A:I,7,FALSE)</f>
        <v>15</v>
      </c>
    </row>
    <row r="499" spans="1:11" x14ac:dyDescent="0.35">
      <c r="A499" t="s">
        <v>731</v>
      </c>
      <c r="B499" s="1">
        <v>45840</v>
      </c>
      <c r="C499" t="s">
        <v>26</v>
      </c>
      <c r="D499">
        <v>22</v>
      </c>
      <c r="E499" t="s">
        <v>22</v>
      </c>
      <c r="F499" t="s">
        <v>13</v>
      </c>
      <c r="G499">
        <v>275</v>
      </c>
      <c r="H499">
        <v>14</v>
      </c>
      <c r="I499" t="s">
        <v>28</v>
      </c>
      <c r="J499" t="str">
        <f>_xlfn.XLOOKUP(C499,'product_masterlist(ifs)'!A:A,'product_masterlist(ifs)'!C:C,"N/A",0)</f>
        <v>Contact Lenses</v>
      </c>
      <c r="K499">
        <f>VLOOKUP(C499,'product_masterlist(ifs)'!A:I,7,FALSE)</f>
        <v>450</v>
      </c>
    </row>
    <row r="500" spans="1:11" x14ac:dyDescent="0.35">
      <c r="A500" t="s">
        <v>732</v>
      </c>
      <c r="B500" t="s">
        <v>436</v>
      </c>
      <c r="C500" t="s">
        <v>90</v>
      </c>
      <c r="D500">
        <v>19</v>
      </c>
      <c r="E500" t="s">
        <v>22</v>
      </c>
      <c r="F500" t="s">
        <v>23</v>
      </c>
      <c r="G500" t="s">
        <v>504</v>
      </c>
      <c r="H500">
        <v>30</v>
      </c>
      <c r="I500" t="s">
        <v>14</v>
      </c>
      <c r="J500" t="str">
        <f>_xlfn.XLOOKUP(C500,'product_masterlist(ifs)'!A:A,'product_masterlist(ifs)'!C:C,"N/A",0)</f>
        <v>Frames</v>
      </c>
      <c r="K500">
        <f>VLOOKUP(C500,'product_masterlist(ifs)'!A:I,7,FALSE)</f>
        <v>180</v>
      </c>
    </row>
    <row r="501" spans="1:11" x14ac:dyDescent="0.35">
      <c r="A501" t="s">
        <v>733</v>
      </c>
      <c r="B501" t="s">
        <v>310</v>
      </c>
      <c r="C501" t="s">
        <v>33</v>
      </c>
      <c r="D501">
        <v>22</v>
      </c>
      <c r="E501" t="s">
        <v>20</v>
      </c>
      <c r="F501" t="s">
        <v>31</v>
      </c>
      <c r="G501">
        <v>3300</v>
      </c>
      <c r="H501">
        <v>45</v>
      </c>
      <c r="I501" t="s">
        <v>34</v>
      </c>
      <c r="J501" t="str">
        <f>_xlfn.XLOOKUP(C501,'product_masterlist(ifs)'!A:A,'product_masterlist(ifs)'!C:C,"N/A",0)</f>
        <v>Surgical</v>
      </c>
      <c r="K501">
        <f>VLOOKUP(C501,'product_masterlist(ifs)'!A:I,7,FALSE)</f>
        <v>15</v>
      </c>
    </row>
    <row r="502" spans="1:11" x14ac:dyDescent="0.35">
      <c r="A502" t="s">
        <v>734</v>
      </c>
      <c r="B502" s="1">
        <v>45813</v>
      </c>
      <c r="C502" t="s">
        <v>42</v>
      </c>
      <c r="D502">
        <v>25</v>
      </c>
      <c r="E502" t="s">
        <v>22</v>
      </c>
      <c r="F502" t="s">
        <v>31</v>
      </c>
      <c r="G502">
        <v>625</v>
      </c>
      <c r="H502">
        <v>21</v>
      </c>
      <c r="I502" t="s">
        <v>14</v>
      </c>
      <c r="J502" t="str">
        <f>_xlfn.XLOOKUP(C502,'product_masterlist(ifs)'!A:A,'product_masterlist(ifs)'!C:C,"N/A",0)</f>
        <v>Contact Lenses</v>
      </c>
      <c r="K502">
        <f>VLOOKUP(C502,'product_masterlist(ifs)'!A:I,7,FALSE)</f>
        <v>120</v>
      </c>
    </row>
    <row r="503" spans="1:11" x14ac:dyDescent="0.35">
      <c r="A503" t="s">
        <v>735</v>
      </c>
      <c r="B503" s="1">
        <v>45667</v>
      </c>
      <c r="C503" t="s">
        <v>11</v>
      </c>
      <c r="D503">
        <v>12</v>
      </c>
      <c r="E503" t="s">
        <v>20</v>
      </c>
      <c r="F503" t="s">
        <v>18</v>
      </c>
      <c r="G503">
        <v>1020</v>
      </c>
      <c r="H503">
        <v>30</v>
      </c>
      <c r="I503" t="s">
        <v>14</v>
      </c>
      <c r="J503" t="str">
        <f>_xlfn.XLOOKUP(C503,'product_masterlist(ifs)'!A:A,'product_masterlist(ifs)'!C:C,"N/A",0)</f>
        <v>Surgical</v>
      </c>
      <c r="K503">
        <f>VLOOKUP(C503,'product_masterlist(ifs)'!A:I,7,FALSE)</f>
        <v>40</v>
      </c>
    </row>
    <row r="504" spans="1:11" x14ac:dyDescent="0.35">
      <c r="A504" t="s">
        <v>736</v>
      </c>
      <c r="B504" t="s">
        <v>737</v>
      </c>
      <c r="C504" t="s">
        <v>26</v>
      </c>
      <c r="D504">
        <v>3</v>
      </c>
      <c r="E504" t="s">
        <v>22</v>
      </c>
      <c r="F504" t="s">
        <v>13</v>
      </c>
      <c r="G504" t="s">
        <v>40</v>
      </c>
      <c r="H504">
        <v>14</v>
      </c>
      <c r="I504" t="s">
        <v>28</v>
      </c>
      <c r="J504" t="str">
        <f>_xlfn.XLOOKUP(C504,'product_masterlist(ifs)'!A:A,'product_masterlist(ifs)'!C:C,"N/A",0)</f>
        <v>Contact Lenses</v>
      </c>
      <c r="K504">
        <f>VLOOKUP(C504,'product_masterlist(ifs)'!A:I,7,FALSE)</f>
        <v>450</v>
      </c>
    </row>
    <row r="505" spans="1:11" x14ac:dyDescent="0.35">
      <c r="A505" t="s">
        <v>738</v>
      </c>
      <c r="B505" s="1">
        <v>45871</v>
      </c>
      <c r="C505" t="s">
        <v>90</v>
      </c>
      <c r="D505">
        <v>25</v>
      </c>
      <c r="E505" t="s">
        <v>20</v>
      </c>
      <c r="F505" t="s">
        <v>23</v>
      </c>
      <c r="G505" t="s">
        <v>308</v>
      </c>
      <c r="H505">
        <v>30</v>
      </c>
      <c r="I505" t="s">
        <v>14</v>
      </c>
      <c r="J505" t="str">
        <f>_xlfn.XLOOKUP(C505,'product_masterlist(ifs)'!A:A,'product_masterlist(ifs)'!C:C,"N/A",0)</f>
        <v>Frames</v>
      </c>
      <c r="K505">
        <f>VLOOKUP(C505,'product_masterlist(ifs)'!A:I,7,FALSE)</f>
        <v>180</v>
      </c>
    </row>
    <row r="506" spans="1:11" x14ac:dyDescent="0.35">
      <c r="A506" t="s">
        <v>739</v>
      </c>
      <c r="B506" t="s">
        <v>231</v>
      </c>
      <c r="C506" t="s">
        <v>17</v>
      </c>
      <c r="D506">
        <v>14</v>
      </c>
      <c r="E506" t="s">
        <v>20</v>
      </c>
      <c r="F506" t="s">
        <v>13</v>
      </c>
      <c r="G506">
        <v>630</v>
      </c>
      <c r="H506">
        <v>30</v>
      </c>
      <c r="I506" t="s">
        <v>14</v>
      </c>
      <c r="J506" t="str">
        <f>_xlfn.XLOOKUP(C506,'product_masterlist(ifs)'!A:A,'product_masterlist(ifs)'!C:C,"N/A",0)</f>
        <v>Frames</v>
      </c>
      <c r="K506">
        <f>VLOOKUP(C506,'product_masterlist(ifs)'!A:I,7,FALSE)</f>
        <v>45</v>
      </c>
    </row>
    <row r="507" spans="1:11" x14ac:dyDescent="0.35">
      <c r="A507" t="s">
        <v>740</v>
      </c>
      <c r="B507" t="s">
        <v>379</v>
      </c>
      <c r="C507" t="s">
        <v>42</v>
      </c>
      <c r="D507">
        <v>11</v>
      </c>
      <c r="E507" t="s">
        <v>20</v>
      </c>
      <c r="F507" t="s">
        <v>23</v>
      </c>
      <c r="G507">
        <v>275</v>
      </c>
      <c r="H507">
        <v>21</v>
      </c>
      <c r="I507" t="s">
        <v>14</v>
      </c>
      <c r="J507" t="str">
        <f>_xlfn.XLOOKUP(C507,'product_masterlist(ifs)'!A:A,'product_masterlist(ifs)'!C:C,"N/A",0)</f>
        <v>Contact Lenses</v>
      </c>
      <c r="K507">
        <f>VLOOKUP(C507,'product_masterlist(ifs)'!A:I,7,FALSE)</f>
        <v>120</v>
      </c>
    </row>
    <row r="508" spans="1:11" x14ac:dyDescent="0.35">
      <c r="A508" t="s">
        <v>741</v>
      </c>
      <c r="B508" t="s">
        <v>742</v>
      </c>
      <c r="C508" t="s">
        <v>26</v>
      </c>
      <c r="D508">
        <v>12</v>
      </c>
      <c r="E508" t="s">
        <v>20</v>
      </c>
      <c r="F508" t="s">
        <v>18</v>
      </c>
      <c r="G508">
        <v>150</v>
      </c>
      <c r="H508">
        <v>14</v>
      </c>
      <c r="I508" t="s">
        <v>28</v>
      </c>
      <c r="J508" t="str">
        <f>_xlfn.XLOOKUP(C508,'product_masterlist(ifs)'!A:A,'product_masterlist(ifs)'!C:C,"N/A",0)</f>
        <v>Contact Lenses</v>
      </c>
      <c r="K508">
        <f>VLOOKUP(C508,'product_masterlist(ifs)'!A:I,7,FALSE)</f>
        <v>450</v>
      </c>
    </row>
    <row r="509" spans="1:11" x14ac:dyDescent="0.35">
      <c r="A509" t="s">
        <v>743</v>
      </c>
      <c r="B509" t="s">
        <v>744</v>
      </c>
      <c r="C509" t="s">
        <v>53</v>
      </c>
      <c r="D509">
        <v>9</v>
      </c>
      <c r="E509" t="s">
        <v>22</v>
      </c>
      <c r="F509" t="s">
        <v>23</v>
      </c>
      <c r="G509" t="s">
        <v>75</v>
      </c>
      <c r="H509">
        <v>7</v>
      </c>
      <c r="I509" t="s">
        <v>28</v>
      </c>
      <c r="J509" t="str">
        <f>_xlfn.XLOOKUP(C509,'product_masterlist(ifs)'!A:A,'product_masterlist(ifs)'!C:C,"N/A",0)</f>
        <v>Solutions</v>
      </c>
      <c r="K509">
        <f>VLOOKUP(C509,'product_masterlist(ifs)'!A:I,7,FALSE)</f>
        <v>800</v>
      </c>
    </row>
    <row r="510" spans="1:11" x14ac:dyDescent="0.35">
      <c r="A510" t="s">
        <v>745</v>
      </c>
      <c r="B510" s="1">
        <v>45758</v>
      </c>
      <c r="C510" t="s">
        <v>26</v>
      </c>
      <c r="D510">
        <v>1</v>
      </c>
      <c r="E510" t="s">
        <v>22</v>
      </c>
      <c r="F510" t="s">
        <v>13</v>
      </c>
      <c r="G510" t="s">
        <v>101</v>
      </c>
      <c r="H510">
        <v>14</v>
      </c>
      <c r="I510" t="s">
        <v>28</v>
      </c>
      <c r="J510" t="str">
        <f>_xlfn.XLOOKUP(C510,'product_masterlist(ifs)'!A:A,'product_masterlist(ifs)'!C:C,"N/A",0)</f>
        <v>Contact Lenses</v>
      </c>
      <c r="K510">
        <f>VLOOKUP(C510,'product_masterlist(ifs)'!A:I,7,FALSE)</f>
        <v>450</v>
      </c>
    </row>
    <row r="511" spans="1:11" x14ac:dyDescent="0.35">
      <c r="A511" t="s">
        <v>746</v>
      </c>
      <c r="B511" t="s">
        <v>747</v>
      </c>
      <c r="C511" t="s">
        <v>17</v>
      </c>
      <c r="D511">
        <v>6</v>
      </c>
      <c r="E511" t="s">
        <v>37</v>
      </c>
      <c r="F511" t="s">
        <v>31</v>
      </c>
      <c r="G511">
        <v>270</v>
      </c>
      <c r="H511">
        <v>30</v>
      </c>
      <c r="I511" t="s">
        <v>14</v>
      </c>
      <c r="J511" t="str">
        <f>_xlfn.XLOOKUP(C511,'product_masterlist(ifs)'!A:A,'product_masterlist(ifs)'!C:C,"N/A",0)</f>
        <v>Frames</v>
      </c>
      <c r="K511">
        <f>VLOOKUP(C511,'product_masterlist(ifs)'!A:I,7,FALSE)</f>
        <v>45</v>
      </c>
    </row>
    <row r="512" spans="1:11" x14ac:dyDescent="0.35">
      <c r="A512" t="s">
        <v>748</v>
      </c>
      <c r="B512" t="s">
        <v>323</v>
      </c>
      <c r="C512" t="s">
        <v>90</v>
      </c>
      <c r="D512">
        <v>3</v>
      </c>
      <c r="E512" t="s">
        <v>20</v>
      </c>
      <c r="F512" t="s">
        <v>31</v>
      </c>
      <c r="G512" t="s">
        <v>375</v>
      </c>
      <c r="H512">
        <v>30</v>
      </c>
      <c r="I512" t="s">
        <v>14</v>
      </c>
      <c r="J512" t="str">
        <f>_xlfn.XLOOKUP(C512,'product_masterlist(ifs)'!A:A,'product_masterlist(ifs)'!C:C,"N/A",0)</f>
        <v>Frames</v>
      </c>
      <c r="K512">
        <f>VLOOKUP(C512,'product_masterlist(ifs)'!A:I,7,FALSE)</f>
        <v>180</v>
      </c>
    </row>
    <row r="513" spans="1:11" x14ac:dyDescent="0.35">
      <c r="A513" t="s">
        <v>749</v>
      </c>
      <c r="B513" s="1">
        <v>45964</v>
      </c>
      <c r="C513" t="s">
        <v>90</v>
      </c>
      <c r="D513">
        <v>25</v>
      </c>
      <c r="E513" t="s">
        <v>22</v>
      </c>
      <c r="F513" t="s">
        <v>23</v>
      </c>
      <c r="G513" t="s">
        <v>308</v>
      </c>
      <c r="H513">
        <v>30</v>
      </c>
      <c r="I513" t="s">
        <v>14</v>
      </c>
      <c r="J513" t="str">
        <f>_xlfn.XLOOKUP(C513,'product_masterlist(ifs)'!A:A,'product_masterlist(ifs)'!C:C,"N/A",0)</f>
        <v>Frames</v>
      </c>
      <c r="K513">
        <f>VLOOKUP(C513,'product_masterlist(ifs)'!A:I,7,FALSE)</f>
        <v>180</v>
      </c>
    </row>
    <row r="514" spans="1:11" x14ac:dyDescent="0.35">
      <c r="A514" t="s">
        <v>750</v>
      </c>
      <c r="B514" s="1">
        <v>45973</v>
      </c>
      <c r="C514" t="s">
        <v>53</v>
      </c>
      <c r="D514">
        <v>20</v>
      </c>
      <c r="E514" t="s">
        <v>12</v>
      </c>
      <c r="F514" t="s">
        <v>31</v>
      </c>
      <c r="G514">
        <v>85</v>
      </c>
      <c r="H514">
        <v>7</v>
      </c>
      <c r="I514" t="s">
        <v>28</v>
      </c>
      <c r="J514" t="str">
        <f>_xlfn.XLOOKUP(C514,'product_masterlist(ifs)'!A:A,'product_masterlist(ifs)'!C:C,"N/A",0)</f>
        <v>Solutions</v>
      </c>
      <c r="K514">
        <f>VLOOKUP(C514,'product_masterlist(ifs)'!A:I,7,FALSE)</f>
        <v>800</v>
      </c>
    </row>
    <row r="515" spans="1:11" x14ac:dyDescent="0.35">
      <c r="A515" t="s">
        <v>751</v>
      </c>
      <c r="B515" t="s">
        <v>752</v>
      </c>
      <c r="C515" t="s">
        <v>53</v>
      </c>
      <c r="D515">
        <v>20</v>
      </c>
      <c r="E515" t="s">
        <v>20</v>
      </c>
      <c r="F515" t="s">
        <v>31</v>
      </c>
      <c r="G515">
        <v>85</v>
      </c>
      <c r="H515">
        <v>7</v>
      </c>
      <c r="I515" t="s">
        <v>28</v>
      </c>
      <c r="J515" t="str">
        <f>_xlfn.XLOOKUP(C515,'product_masterlist(ifs)'!A:A,'product_masterlist(ifs)'!C:C,"N/A",0)</f>
        <v>Solutions</v>
      </c>
      <c r="K515">
        <f>VLOOKUP(C515,'product_masterlist(ifs)'!A:I,7,FALSE)</f>
        <v>800</v>
      </c>
    </row>
    <row r="516" spans="1:11" x14ac:dyDescent="0.35">
      <c r="A516" t="s">
        <v>753</v>
      </c>
      <c r="B516" t="s">
        <v>165</v>
      </c>
      <c r="C516" t="s">
        <v>26</v>
      </c>
      <c r="D516">
        <v>13</v>
      </c>
      <c r="E516" t="s">
        <v>37</v>
      </c>
      <c r="F516" t="s">
        <v>18</v>
      </c>
      <c r="G516" t="s">
        <v>437</v>
      </c>
      <c r="H516">
        <v>14</v>
      </c>
      <c r="I516" t="s">
        <v>28</v>
      </c>
      <c r="J516" t="str">
        <f>_xlfn.XLOOKUP(C516,'product_masterlist(ifs)'!A:A,'product_masterlist(ifs)'!C:C,"N/A",0)</f>
        <v>Contact Lenses</v>
      </c>
      <c r="K516">
        <f>VLOOKUP(C516,'product_masterlist(ifs)'!A:I,7,FALSE)</f>
        <v>450</v>
      </c>
    </row>
    <row r="517" spans="1:11" x14ac:dyDescent="0.35">
      <c r="A517" t="s">
        <v>754</v>
      </c>
      <c r="B517" t="s">
        <v>196</v>
      </c>
      <c r="C517" t="s">
        <v>26</v>
      </c>
      <c r="D517">
        <v>6</v>
      </c>
      <c r="E517" t="s">
        <v>12</v>
      </c>
      <c r="F517" t="s">
        <v>18</v>
      </c>
      <c r="G517">
        <v>75</v>
      </c>
      <c r="H517">
        <v>14</v>
      </c>
      <c r="I517" t="s">
        <v>28</v>
      </c>
      <c r="J517" t="str">
        <f>_xlfn.XLOOKUP(C517,'product_masterlist(ifs)'!A:A,'product_masterlist(ifs)'!C:C,"N/A",0)</f>
        <v>Contact Lenses</v>
      </c>
      <c r="K517">
        <f>VLOOKUP(C517,'product_masterlist(ifs)'!A:I,7,FALSE)</f>
        <v>450</v>
      </c>
    </row>
    <row r="518" spans="1:11" x14ac:dyDescent="0.35">
      <c r="A518" t="s">
        <v>755</v>
      </c>
      <c r="B518" s="1">
        <v>45724</v>
      </c>
      <c r="C518" t="s">
        <v>53</v>
      </c>
      <c r="D518">
        <v>7</v>
      </c>
      <c r="E518" t="s">
        <v>22</v>
      </c>
      <c r="F518" t="s">
        <v>13</v>
      </c>
      <c r="G518" t="s">
        <v>320</v>
      </c>
      <c r="H518">
        <v>7</v>
      </c>
      <c r="I518" t="s">
        <v>28</v>
      </c>
      <c r="J518" t="str">
        <f>_xlfn.XLOOKUP(C518,'product_masterlist(ifs)'!A:A,'product_masterlist(ifs)'!C:C,"N/A",0)</f>
        <v>Solutions</v>
      </c>
      <c r="K518">
        <f>VLOOKUP(C518,'product_masterlist(ifs)'!A:I,7,FALSE)</f>
        <v>800</v>
      </c>
    </row>
    <row r="519" spans="1:11" x14ac:dyDescent="0.35">
      <c r="A519" t="s">
        <v>756</v>
      </c>
      <c r="B519" t="s">
        <v>757</v>
      </c>
      <c r="C519" t="s">
        <v>53</v>
      </c>
      <c r="D519">
        <v>25</v>
      </c>
      <c r="E519" t="s">
        <v>22</v>
      </c>
      <c r="F519" t="s">
        <v>13</v>
      </c>
      <c r="G519" t="s">
        <v>304</v>
      </c>
      <c r="H519">
        <v>7</v>
      </c>
      <c r="I519" t="s">
        <v>28</v>
      </c>
      <c r="J519" t="str">
        <f>_xlfn.XLOOKUP(C519,'product_masterlist(ifs)'!A:A,'product_masterlist(ifs)'!C:C,"N/A",0)</f>
        <v>Solutions</v>
      </c>
      <c r="K519">
        <f>VLOOKUP(C519,'product_masterlist(ifs)'!A:I,7,FALSE)</f>
        <v>800</v>
      </c>
    </row>
    <row r="520" spans="1:11" x14ac:dyDescent="0.35">
      <c r="A520" t="s">
        <v>758</v>
      </c>
      <c r="B520" t="s">
        <v>192</v>
      </c>
      <c r="C520" t="s">
        <v>17</v>
      </c>
      <c r="D520">
        <v>10</v>
      </c>
      <c r="E520" t="s">
        <v>20</v>
      </c>
      <c r="F520" t="s">
        <v>31</v>
      </c>
      <c r="G520">
        <v>450</v>
      </c>
      <c r="H520">
        <v>30</v>
      </c>
      <c r="I520" t="s">
        <v>14</v>
      </c>
      <c r="J520" t="str">
        <f>_xlfn.XLOOKUP(C520,'product_masterlist(ifs)'!A:A,'product_masterlist(ifs)'!C:C,"N/A",0)</f>
        <v>Frames</v>
      </c>
      <c r="K520">
        <f>VLOOKUP(C520,'product_masterlist(ifs)'!A:I,7,FALSE)</f>
        <v>45</v>
      </c>
    </row>
    <row r="521" spans="1:11" x14ac:dyDescent="0.35">
      <c r="A521" t="s">
        <v>759</v>
      </c>
      <c r="B521" t="s">
        <v>135</v>
      </c>
      <c r="C521" t="s">
        <v>26</v>
      </c>
      <c r="D521">
        <v>17</v>
      </c>
      <c r="E521" t="s">
        <v>12</v>
      </c>
      <c r="F521" t="s">
        <v>31</v>
      </c>
      <c r="G521" t="s">
        <v>152</v>
      </c>
      <c r="H521">
        <v>14</v>
      </c>
      <c r="I521" t="s">
        <v>28</v>
      </c>
      <c r="J521" t="str">
        <f>_xlfn.XLOOKUP(C521,'product_masterlist(ifs)'!A:A,'product_masterlist(ifs)'!C:C,"N/A",0)</f>
        <v>Contact Lenses</v>
      </c>
      <c r="K521">
        <f>VLOOKUP(C521,'product_masterlist(ifs)'!A:I,7,FALSE)</f>
        <v>450</v>
      </c>
    </row>
    <row r="522" spans="1:11" x14ac:dyDescent="0.35">
      <c r="A522" t="s">
        <v>760</v>
      </c>
      <c r="B522" t="s">
        <v>168</v>
      </c>
      <c r="C522" t="s">
        <v>90</v>
      </c>
      <c r="D522">
        <v>9</v>
      </c>
      <c r="E522" t="s">
        <v>20</v>
      </c>
      <c r="F522" t="s">
        <v>18</v>
      </c>
      <c r="G522" t="s">
        <v>91</v>
      </c>
      <c r="H522">
        <v>30</v>
      </c>
      <c r="I522" t="s">
        <v>14</v>
      </c>
      <c r="J522" t="str">
        <f>_xlfn.XLOOKUP(C522,'product_masterlist(ifs)'!A:A,'product_masterlist(ifs)'!C:C,"N/A",0)</f>
        <v>Frames</v>
      </c>
      <c r="K522">
        <f>VLOOKUP(C522,'product_masterlist(ifs)'!A:I,7,FALSE)</f>
        <v>180</v>
      </c>
    </row>
    <row r="523" spans="1:11" x14ac:dyDescent="0.35">
      <c r="A523" t="s">
        <v>761</v>
      </c>
      <c r="B523" t="s">
        <v>575</v>
      </c>
      <c r="C523" t="s">
        <v>42</v>
      </c>
      <c r="D523">
        <v>15</v>
      </c>
      <c r="E523" t="s">
        <v>37</v>
      </c>
      <c r="F523" t="s">
        <v>23</v>
      </c>
      <c r="G523">
        <v>375</v>
      </c>
      <c r="H523">
        <v>21</v>
      </c>
      <c r="I523" t="s">
        <v>14</v>
      </c>
      <c r="J523" t="str">
        <f>_xlfn.XLOOKUP(C523,'product_masterlist(ifs)'!A:A,'product_masterlist(ifs)'!C:C,"N/A",0)</f>
        <v>Contact Lenses</v>
      </c>
      <c r="K523">
        <f>VLOOKUP(C523,'product_masterlist(ifs)'!A:I,7,FALSE)</f>
        <v>120</v>
      </c>
    </row>
    <row r="524" spans="1:11" x14ac:dyDescent="0.35">
      <c r="A524" t="s">
        <v>762</v>
      </c>
      <c r="B524" t="s">
        <v>763</v>
      </c>
      <c r="C524" t="s">
        <v>26</v>
      </c>
      <c r="D524">
        <v>15</v>
      </c>
      <c r="E524" t="s">
        <v>22</v>
      </c>
      <c r="F524" t="s">
        <v>13</v>
      </c>
      <c r="G524" t="s">
        <v>513</v>
      </c>
      <c r="H524">
        <v>14</v>
      </c>
      <c r="I524" t="s">
        <v>28</v>
      </c>
      <c r="J524" t="str">
        <f>_xlfn.XLOOKUP(C524,'product_masterlist(ifs)'!A:A,'product_masterlist(ifs)'!C:C,"N/A",0)</f>
        <v>Contact Lenses</v>
      </c>
      <c r="K524">
        <f>VLOOKUP(C524,'product_masterlist(ifs)'!A:I,7,FALSE)</f>
        <v>450</v>
      </c>
    </row>
    <row r="525" spans="1:11" x14ac:dyDescent="0.35">
      <c r="A525" t="s">
        <v>764</v>
      </c>
      <c r="B525" t="s">
        <v>612</v>
      </c>
      <c r="C525" t="s">
        <v>42</v>
      </c>
      <c r="D525">
        <v>24</v>
      </c>
      <c r="E525" t="s">
        <v>20</v>
      </c>
      <c r="F525" t="s">
        <v>31</v>
      </c>
      <c r="G525">
        <v>600</v>
      </c>
      <c r="H525">
        <v>21</v>
      </c>
      <c r="I525" t="s">
        <v>14</v>
      </c>
      <c r="J525" t="str">
        <f>_xlfn.XLOOKUP(C525,'product_masterlist(ifs)'!A:A,'product_masterlist(ifs)'!C:C,"N/A",0)</f>
        <v>Contact Lenses</v>
      </c>
      <c r="K525">
        <f>VLOOKUP(C525,'product_masterlist(ifs)'!A:I,7,FALSE)</f>
        <v>120</v>
      </c>
    </row>
    <row r="526" spans="1:11" x14ac:dyDescent="0.35">
      <c r="A526" t="s">
        <v>765</v>
      </c>
      <c r="B526" t="s">
        <v>186</v>
      </c>
      <c r="C526" t="s">
        <v>26</v>
      </c>
      <c r="D526">
        <v>11</v>
      </c>
      <c r="E526" t="s">
        <v>22</v>
      </c>
      <c r="F526" t="s">
        <v>13</v>
      </c>
      <c r="G526" t="s">
        <v>47</v>
      </c>
      <c r="H526">
        <v>14</v>
      </c>
      <c r="I526" t="s">
        <v>28</v>
      </c>
      <c r="J526" t="str">
        <f>_xlfn.XLOOKUP(C526,'product_masterlist(ifs)'!A:A,'product_masterlist(ifs)'!C:C,"N/A",0)</f>
        <v>Contact Lenses</v>
      </c>
      <c r="K526">
        <f>VLOOKUP(C526,'product_masterlist(ifs)'!A:I,7,FALSE)</f>
        <v>450</v>
      </c>
    </row>
    <row r="527" spans="1:11" x14ac:dyDescent="0.35">
      <c r="A527" t="s">
        <v>766</v>
      </c>
      <c r="B527" t="s">
        <v>651</v>
      </c>
      <c r="C527" t="s">
        <v>33</v>
      </c>
      <c r="D527">
        <v>23</v>
      </c>
      <c r="E527" t="s">
        <v>20</v>
      </c>
      <c r="F527" t="s">
        <v>23</v>
      </c>
      <c r="G527">
        <v>3450</v>
      </c>
      <c r="H527">
        <v>45</v>
      </c>
      <c r="I527" t="s">
        <v>34</v>
      </c>
      <c r="J527" t="str">
        <f>_xlfn.XLOOKUP(C527,'product_masterlist(ifs)'!A:A,'product_masterlist(ifs)'!C:C,"N/A",0)</f>
        <v>Surgical</v>
      </c>
      <c r="K527">
        <f>VLOOKUP(C527,'product_masterlist(ifs)'!A:I,7,FALSE)</f>
        <v>15</v>
      </c>
    </row>
    <row r="528" spans="1:11" x14ac:dyDescent="0.35">
      <c r="A528" t="s">
        <v>767</v>
      </c>
      <c r="B528" t="s">
        <v>146</v>
      </c>
      <c r="C528" t="s">
        <v>53</v>
      </c>
      <c r="D528">
        <v>24</v>
      </c>
      <c r="E528" t="s">
        <v>12</v>
      </c>
      <c r="F528" t="s">
        <v>18</v>
      </c>
      <c r="G528">
        <v>102</v>
      </c>
      <c r="H528">
        <v>7</v>
      </c>
      <c r="I528" t="s">
        <v>28</v>
      </c>
      <c r="J528" t="str">
        <f>_xlfn.XLOOKUP(C528,'product_masterlist(ifs)'!A:A,'product_masterlist(ifs)'!C:C,"N/A",0)</f>
        <v>Solutions</v>
      </c>
      <c r="K528">
        <f>VLOOKUP(C528,'product_masterlist(ifs)'!A:I,7,FALSE)</f>
        <v>800</v>
      </c>
    </row>
    <row r="529" spans="1:11" x14ac:dyDescent="0.35">
      <c r="A529" t="s">
        <v>768</v>
      </c>
      <c r="B529" s="1">
        <v>45870</v>
      </c>
      <c r="C529" t="s">
        <v>90</v>
      </c>
      <c r="D529">
        <v>1</v>
      </c>
      <c r="E529" t="s">
        <v>12</v>
      </c>
      <c r="F529" t="s">
        <v>18</v>
      </c>
      <c r="G529" t="s">
        <v>109</v>
      </c>
      <c r="H529">
        <v>30</v>
      </c>
      <c r="I529" t="s">
        <v>14</v>
      </c>
      <c r="J529" t="str">
        <f>_xlfn.XLOOKUP(C529,'product_masterlist(ifs)'!A:A,'product_masterlist(ifs)'!C:C,"N/A",0)</f>
        <v>Frames</v>
      </c>
      <c r="K529">
        <f>VLOOKUP(C529,'product_masterlist(ifs)'!A:I,7,FALSE)</f>
        <v>180</v>
      </c>
    </row>
    <row r="530" spans="1:11" x14ac:dyDescent="0.35">
      <c r="A530" t="s">
        <v>769</v>
      </c>
      <c r="B530" t="s">
        <v>770</v>
      </c>
      <c r="C530" t="s">
        <v>26</v>
      </c>
      <c r="D530">
        <v>24</v>
      </c>
      <c r="E530" t="s">
        <v>20</v>
      </c>
      <c r="F530" t="s">
        <v>31</v>
      </c>
      <c r="G530">
        <v>300</v>
      </c>
      <c r="H530">
        <v>14</v>
      </c>
      <c r="I530" t="s">
        <v>28</v>
      </c>
      <c r="J530" t="str">
        <f>_xlfn.XLOOKUP(C530,'product_masterlist(ifs)'!A:A,'product_masterlist(ifs)'!C:C,"N/A",0)</f>
        <v>Contact Lenses</v>
      </c>
      <c r="K530">
        <f>VLOOKUP(C530,'product_masterlist(ifs)'!A:I,7,FALSE)</f>
        <v>450</v>
      </c>
    </row>
    <row r="531" spans="1:11" x14ac:dyDescent="0.35">
      <c r="A531" t="s">
        <v>771</v>
      </c>
      <c r="B531" s="1">
        <v>45973</v>
      </c>
      <c r="C531" t="s">
        <v>53</v>
      </c>
      <c r="D531">
        <v>19</v>
      </c>
      <c r="E531" t="s">
        <v>22</v>
      </c>
      <c r="F531" t="s">
        <v>31</v>
      </c>
      <c r="G531" t="s">
        <v>54</v>
      </c>
      <c r="H531">
        <v>7</v>
      </c>
      <c r="I531" t="s">
        <v>28</v>
      </c>
      <c r="J531" t="str">
        <f>_xlfn.XLOOKUP(C531,'product_masterlist(ifs)'!A:A,'product_masterlist(ifs)'!C:C,"N/A",0)</f>
        <v>Solutions</v>
      </c>
      <c r="K531">
        <f>VLOOKUP(C531,'product_masterlist(ifs)'!A:I,7,FALSE)</f>
        <v>800</v>
      </c>
    </row>
    <row r="532" spans="1:11" x14ac:dyDescent="0.35">
      <c r="A532" t="s">
        <v>772</v>
      </c>
      <c r="B532" t="s">
        <v>408</v>
      </c>
      <c r="C532" t="s">
        <v>42</v>
      </c>
      <c r="D532">
        <v>10</v>
      </c>
      <c r="E532" t="s">
        <v>22</v>
      </c>
      <c r="F532" t="s">
        <v>13</v>
      </c>
      <c r="G532">
        <v>250</v>
      </c>
      <c r="H532">
        <v>21</v>
      </c>
      <c r="I532" t="s">
        <v>14</v>
      </c>
      <c r="J532" t="str">
        <f>_xlfn.XLOOKUP(C532,'product_masterlist(ifs)'!A:A,'product_masterlist(ifs)'!C:C,"N/A",0)</f>
        <v>Contact Lenses</v>
      </c>
      <c r="K532">
        <f>VLOOKUP(C532,'product_masterlist(ifs)'!A:I,7,FALSE)</f>
        <v>120</v>
      </c>
    </row>
    <row r="533" spans="1:11" x14ac:dyDescent="0.35">
      <c r="A533" t="s">
        <v>773</v>
      </c>
      <c r="B533" t="s">
        <v>89</v>
      </c>
      <c r="C533" t="s">
        <v>53</v>
      </c>
      <c r="D533">
        <v>24</v>
      </c>
      <c r="E533" t="s">
        <v>20</v>
      </c>
      <c r="F533" t="s">
        <v>31</v>
      </c>
      <c r="G533">
        <v>102</v>
      </c>
      <c r="H533">
        <v>7</v>
      </c>
      <c r="I533" t="s">
        <v>28</v>
      </c>
      <c r="J533" t="str">
        <f>_xlfn.XLOOKUP(C533,'product_masterlist(ifs)'!A:A,'product_masterlist(ifs)'!C:C,"N/A",0)</f>
        <v>Solutions</v>
      </c>
      <c r="K533">
        <f>VLOOKUP(C533,'product_masterlist(ifs)'!A:I,7,FALSE)</f>
        <v>800</v>
      </c>
    </row>
    <row r="534" spans="1:11" x14ac:dyDescent="0.35">
      <c r="A534" t="s">
        <v>774</v>
      </c>
      <c r="B534" t="s">
        <v>87</v>
      </c>
      <c r="C534" t="s">
        <v>90</v>
      </c>
      <c r="D534">
        <v>11</v>
      </c>
      <c r="E534" t="s">
        <v>37</v>
      </c>
      <c r="F534" t="s">
        <v>31</v>
      </c>
      <c r="G534" t="s">
        <v>238</v>
      </c>
      <c r="H534">
        <v>30</v>
      </c>
      <c r="I534" t="s">
        <v>14</v>
      </c>
      <c r="J534" t="str">
        <f>_xlfn.XLOOKUP(C534,'product_masterlist(ifs)'!A:A,'product_masterlist(ifs)'!C:C,"N/A",0)</f>
        <v>Frames</v>
      </c>
      <c r="K534">
        <f>VLOOKUP(C534,'product_masterlist(ifs)'!A:I,7,FALSE)</f>
        <v>180</v>
      </c>
    </row>
    <row r="535" spans="1:11" x14ac:dyDescent="0.35">
      <c r="A535" t="s">
        <v>775</v>
      </c>
      <c r="B535" t="s">
        <v>258</v>
      </c>
      <c r="C535" t="s">
        <v>42</v>
      </c>
      <c r="D535">
        <v>4</v>
      </c>
      <c r="E535" t="s">
        <v>22</v>
      </c>
      <c r="F535" t="s">
        <v>18</v>
      </c>
      <c r="G535">
        <v>100</v>
      </c>
      <c r="H535">
        <v>21</v>
      </c>
      <c r="I535" t="s">
        <v>14</v>
      </c>
      <c r="J535" t="str">
        <f>_xlfn.XLOOKUP(C535,'product_masterlist(ifs)'!A:A,'product_masterlist(ifs)'!C:C,"N/A",0)</f>
        <v>Contact Lenses</v>
      </c>
      <c r="K535">
        <f>VLOOKUP(C535,'product_masterlist(ifs)'!A:I,7,FALSE)</f>
        <v>120</v>
      </c>
    </row>
    <row r="536" spans="1:11" x14ac:dyDescent="0.35">
      <c r="A536" t="s">
        <v>776</v>
      </c>
      <c r="B536" t="s">
        <v>770</v>
      </c>
      <c r="C536" t="s">
        <v>17</v>
      </c>
      <c r="D536">
        <v>16</v>
      </c>
      <c r="E536" t="s">
        <v>20</v>
      </c>
      <c r="F536" t="s">
        <v>13</v>
      </c>
      <c r="G536">
        <v>720</v>
      </c>
      <c r="H536">
        <v>30</v>
      </c>
      <c r="I536" t="s">
        <v>14</v>
      </c>
      <c r="J536" t="str">
        <f>_xlfn.XLOOKUP(C536,'product_masterlist(ifs)'!A:A,'product_masterlist(ifs)'!C:C,"N/A",0)</f>
        <v>Frames</v>
      </c>
      <c r="K536">
        <f>VLOOKUP(C536,'product_masterlist(ifs)'!A:I,7,FALSE)</f>
        <v>45</v>
      </c>
    </row>
    <row r="537" spans="1:11" x14ac:dyDescent="0.35">
      <c r="A537" t="s">
        <v>777</v>
      </c>
      <c r="B537" t="s">
        <v>354</v>
      </c>
      <c r="C537" t="s">
        <v>11</v>
      </c>
      <c r="D537">
        <v>6</v>
      </c>
      <c r="E537" t="s">
        <v>20</v>
      </c>
      <c r="F537" t="s">
        <v>23</v>
      </c>
      <c r="G537">
        <v>510</v>
      </c>
      <c r="H537">
        <v>30</v>
      </c>
      <c r="I537" t="s">
        <v>14</v>
      </c>
      <c r="J537" t="str">
        <f>_xlfn.XLOOKUP(C537,'product_masterlist(ifs)'!A:A,'product_masterlist(ifs)'!C:C,"N/A",0)</f>
        <v>Surgical</v>
      </c>
      <c r="K537">
        <f>VLOOKUP(C537,'product_masterlist(ifs)'!A:I,7,FALSE)</f>
        <v>40</v>
      </c>
    </row>
    <row r="538" spans="1:11" x14ac:dyDescent="0.35">
      <c r="A538" t="s">
        <v>778</v>
      </c>
      <c r="B538" t="s">
        <v>475</v>
      </c>
      <c r="C538" t="s">
        <v>42</v>
      </c>
      <c r="D538">
        <v>15</v>
      </c>
      <c r="E538" t="s">
        <v>12</v>
      </c>
      <c r="F538" t="s">
        <v>23</v>
      </c>
      <c r="G538">
        <v>375</v>
      </c>
      <c r="H538">
        <v>21</v>
      </c>
      <c r="I538" t="s">
        <v>14</v>
      </c>
      <c r="J538" t="str">
        <f>_xlfn.XLOOKUP(C538,'product_masterlist(ifs)'!A:A,'product_masterlist(ifs)'!C:C,"N/A",0)</f>
        <v>Contact Lenses</v>
      </c>
      <c r="K538">
        <f>VLOOKUP(C538,'product_masterlist(ifs)'!A:I,7,FALSE)</f>
        <v>120</v>
      </c>
    </row>
    <row r="539" spans="1:11" x14ac:dyDescent="0.35">
      <c r="A539" t="s">
        <v>779</v>
      </c>
      <c r="B539" s="1">
        <v>46003</v>
      </c>
      <c r="C539" t="s">
        <v>11</v>
      </c>
      <c r="D539">
        <v>6</v>
      </c>
      <c r="E539" t="s">
        <v>20</v>
      </c>
      <c r="F539" t="s">
        <v>18</v>
      </c>
      <c r="G539">
        <v>510</v>
      </c>
      <c r="H539">
        <v>30</v>
      </c>
      <c r="I539" t="s">
        <v>14</v>
      </c>
      <c r="J539" t="str">
        <f>_xlfn.XLOOKUP(C539,'product_masterlist(ifs)'!A:A,'product_masterlist(ifs)'!C:C,"N/A",0)</f>
        <v>Surgical</v>
      </c>
      <c r="K539">
        <f>VLOOKUP(C539,'product_masterlist(ifs)'!A:I,7,FALSE)</f>
        <v>40</v>
      </c>
    </row>
    <row r="540" spans="1:11" x14ac:dyDescent="0.35">
      <c r="A540" t="s">
        <v>780</v>
      </c>
      <c r="B540" t="s">
        <v>485</v>
      </c>
      <c r="C540" t="s">
        <v>90</v>
      </c>
      <c r="D540">
        <v>11</v>
      </c>
      <c r="E540" t="s">
        <v>37</v>
      </c>
      <c r="F540" t="s">
        <v>13</v>
      </c>
      <c r="G540" t="s">
        <v>238</v>
      </c>
      <c r="H540">
        <v>30</v>
      </c>
      <c r="I540" t="s">
        <v>14</v>
      </c>
      <c r="J540" t="str">
        <f>_xlfn.XLOOKUP(C540,'product_masterlist(ifs)'!A:A,'product_masterlist(ifs)'!C:C,"N/A",0)</f>
        <v>Frames</v>
      </c>
      <c r="K540">
        <f>VLOOKUP(C540,'product_masterlist(ifs)'!A:I,7,FALSE)</f>
        <v>180</v>
      </c>
    </row>
    <row r="541" spans="1:11" x14ac:dyDescent="0.35">
      <c r="A541" t="s">
        <v>781</v>
      </c>
      <c r="B541" t="s">
        <v>398</v>
      </c>
      <c r="C541" t="s">
        <v>53</v>
      </c>
      <c r="D541">
        <v>3</v>
      </c>
      <c r="E541" t="s">
        <v>22</v>
      </c>
      <c r="F541" t="s">
        <v>13</v>
      </c>
      <c r="G541" t="s">
        <v>278</v>
      </c>
      <c r="H541">
        <v>7</v>
      </c>
      <c r="I541" t="s">
        <v>28</v>
      </c>
      <c r="J541" t="str">
        <f>_xlfn.XLOOKUP(C541,'product_masterlist(ifs)'!A:A,'product_masterlist(ifs)'!C:C,"N/A",0)</f>
        <v>Solutions</v>
      </c>
      <c r="K541">
        <f>VLOOKUP(C541,'product_masterlist(ifs)'!A:I,7,FALSE)</f>
        <v>800</v>
      </c>
    </row>
    <row r="542" spans="1:11" x14ac:dyDescent="0.35">
      <c r="A542" t="s">
        <v>782</v>
      </c>
      <c r="B542" s="1">
        <v>45724</v>
      </c>
      <c r="C542" t="s">
        <v>90</v>
      </c>
      <c r="D542">
        <v>2</v>
      </c>
      <c r="E542" t="s">
        <v>22</v>
      </c>
      <c r="F542" t="s">
        <v>23</v>
      </c>
      <c r="G542">
        <v>97</v>
      </c>
      <c r="H542">
        <v>30</v>
      </c>
      <c r="I542" t="s">
        <v>14</v>
      </c>
      <c r="J542" t="str">
        <f>_xlfn.XLOOKUP(C542,'product_masterlist(ifs)'!A:A,'product_masterlist(ifs)'!C:C,"N/A",0)</f>
        <v>Frames</v>
      </c>
      <c r="K542">
        <f>VLOOKUP(C542,'product_masterlist(ifs)'!A:I,7,FALSE)</f>
        <v>180</v>
      </c>
    </row>
    <row r="543" spans="1:11" x14ac:dyDescent="0.35">
      <c r="A543" t="s">
        <v>783</v>
      </c>
      <c r="B543" s="1">
        <v>45879</v>
      </c>
      <c r="C543" t="s">
        <v>53</v>
      </c>
      <c r="D543">
        <v>10</v>
      </c>
      <c r="E543" t="s">
        <v>20</v>
      </c>
      <c r="F543" t="s">
        <v>31</v>
      </c>
      <c r="G543" t="s">
        <v>95</v>
      </c>
      <c r="H543">
        <v>7</v>
      </c>
      <c r="I543" t="s">
        <v>28</v>
      </c>
      <c r="J543" t="str">
        <f>_xlfn.XLOOKUP(C543,'product_masterlist(ifs)'!A:A,'product_masterlist(ifs)'!C:C,"N/A",0)</f>
        <v>Solutions</v>
      </c>
      <c r="K543">
        <f>VLOOKUP(C543,'product_masterlist(ifs)'!A:I,7,FALSE)</f>
        <v>800</v>
      </c>
    </row>
    <row r="544" spans="1:11" x14ac:dyDescent="0.35">
      <c r="A544" t="s">
        <v>784</v>
      </c>
      <c r="B544" s="1">
        <v>45784</v>
      </c>
      <c r="C544" t="s">
        <v>53</v>
      </c>
      <c r="D544">
        <v>2</v>
      </c>
      <c r="E544" t="s">
        <v>12</v>
      </c>
      <c r="F544" t="s">
        <v>31</v>
      </c>
      <c r="G544" t="s">
        <v>291</v>
      </c>
      <c r="H544">
        <v>7</v>
      </c>
      <c r="I544" t="s">
        <v>28</v>
      </c>
      <c r="J544" t="str">
        <f>_xlfn.XLOOKUP(C544,'product_masterlist(ifs)'!A:A,'product_masterlist(ifs)'!C:C,"N/A",0)</f>
        <v>Solutions</v>
      </c>
      <c r="K544">
        <f>VLOOKUP(C544,'product_masterlist(ifs)'!A:I,7,FALSE)</f>
        <v>800</v>
      </c>
    </row>
    <row r="545" spans="1:11" x14ac:dyDescent="0.35">
      <c r="A545" t="s">
        <v>785</v>
      </c>
      <c r="B545" s="1">
        <v>46003</v>
      </c>
      <c r="C545" t="s">
        <v>90</v>
      </c>
      <c r="D545">
        <v>11</v>
      </c>
      <c r="E545" t="s">
        <v>37</v>
      </c>
      <c r="F545" t="s">
        <v>13</v>
      </c>
      <c r="G545" t="s">
        <v>238</v>
      </c>
      <c r="H545">
        <v>30</v>
      </c>
      <c r="I545" t="s">
        <v>14</v>
      </c>
      <c r="J545" t="str">
        <f>_xlfn.XLOOKUP(C545,'product_masterlist(ifs)'!A:A,'product_masterlist(ifs)'!C:C,"N/A",0)</f>
        <v>Frames</v>
      </c>
      <c r="K545">
        <f>VLOOKUP(C545,'product_masterlist(ifs)'!A:I,7,FALSE)</f>
        <v>180</v>
      </c>
    </row>
    <row r="546" spans="1:11" x14ac:dyDescent="0.35">
      <c r="A546" t="s">
        <v>786</v>
      </c>
      <c r="B546" s="1">
        <v>45662</v>
      </c>
      <c r="C546" t="s">
        <v>17</v>
      </c>
      <c r="D546">
        <v>3</v>
      </c>
      <c r="E546" t="s">
        <v>22</v>
      </c>
      <c r="F546" t="s">
        <v>23</v>
      </c>
      <c r="G546">
        <v>135</v>
      </c>
      <c r="H546">
        <v>30</v>
      </c>
      <c r="I546" t="s">
        <v>14</v>
      </c>
      <c r="J546" t="str">
        <f>_xlfn.XLOOKUP(C546,'product_masterlist(ifs)'!A:A,'product_masterlist(ifs)'!C:C,"N/A",0)</f>
        <v>Frames</v>
      </c>
      <c r="K546">
        <f>VLOOKUP(C546,'product_masterlist(ifs)'!A:I,7,FALSE)</f>
        <v>45</v>
      </c>
    </row>
    <row r="547" spans="1:11" x14ac:dyDescent="0.35">
      <c r="A547" t="s">
        <v>787</v>
      </c>
      <c r="B547" t="s">
        <v>237</v>
      </c>
      <c r="C547" t="s">
        <v>90</v>
      </c>
      <c r="D547">
        <v>23</v>
      </c>
      <c r="E547" t="s">
        <v>20</v>
      </c>
      <c r="F547" t="s">
        <v>31</v>
      </c>
      <c r="G547" t="s">
        <v>123</v>
      </c>
      <c r="H547">
        <v>30</v>
      </c>
      <c r="I547" t="s">
        <v>14</v>
      </c>
      <c r="J547" t="str">
        <f>_xlfn.XLOOKUP(C547,'product_masterlist(ifs)'!A:A,'product_masterlist(ifs)'!C:C,"N/A",0)</f>
        <v>Frames</v>
      </c>
      <c r="K547">
        <f>VLOOKUP(C547,'product_masterlist(ifs)'!A:I,7,FALSE)</f>
        <v>180</v>
      </c>
    </row>
    <row r="548" spans="1:11" x14ac:dyDescent="0.35">
      <c r="A548" t="s">
        <v>788</v>
      </c>
      <c r="B548" s="1">
        <v>45694</v>
      </c>
      <c r="C548" t="s">
        <v>90</v>
      </c>
      <c r="D548">
        <v>22</v>
      </c>
      <c r="E548" t="s">
        <v>20</v>
      </c>
      <c r="F548" t="s">
        <v>18</v>
      </c>
      <c r="G548">
        <v>1067</v>
      </c>
      <c r="H548">
        <v>30</v>
      </c>
      <c r="I548" t="s">
        <v>14</v>
      </c>
      <c r="J548" t="str">
        <f>_xlfn.XLOOKUP(C548,'product_masterlist(ifs)'!A:A,'product_masterlist(ifs)'!C:C,"N/A",0)</f>
        <v>Frames</v>
      </c>
      <c r="K548">
        <f>VLOOKUP(C548,'product_masterlist(ifs)'!A:I,7,FALSE)</f>
        <v>180</v>
      </c>
    </row>
    <row r="549" spans="1:11" x14ac:dyDescent="0.35">
      <c r="A549" t="s">
        <v>789</v>
      </c>
      <c r="B549" t="s">
        <v>25</v>
      </c>
      <c r="C549" t="s">
        <v>17</v>
      </c>
      <c r="D549">
        <v>8</v>
      </c>
      <c r="E549" t="s">
        <v>20</v>
      </c>
      <c r="F549" t="s">
        <v>13</v>
      </c>
      <c r="G549">
        <v>360</v>
      </c>
      <c r="H549">
        <v>30</v>
      </c>
      <c r="I549" t="s">
        <v>14</v>
      </c>
      <c r="J549" t="str">
        <f>_xlfn.XLOOKUP(C549,'product_masterlist(ifs)'!A:A,'product_masterlist(ifs)'!C:C,"N/A",0)</f>
        <v>Frames</v>
      </c>
      <c r="K549">
        <f>VLOOKUP(C549,'product_masterlist(ifs)'!A:I,7,FALSE)</f>
        <v>45</v>
      </c>
    </row>
    <row r="550" spans="1:11" x14ac:dyDescent="0.35">
      <c r="A550" t="s">
        <v>790</v>
      </c>
      <c r="B550" s="1">
        <v>45966</v>
      </c>
      <c r="C550" t="s">
        <v>26</v>
      </c>
      <c r="D550">
        <v>11</v>
      </c>
      <c r="E550" t="s">
        <v>37</v>
      </c>
      <c r="F550" t="s">
        <v>18</v>
      </c>
      <c r="G550" t="s">
        <v>47</v>
      </c>
      <c r="H550">
        <v>14</v>
      </c>
      <c r="I550" t="s">
        <v>28</v>
      </c>
      <c r="J550" t="str">
        <f>_xlfn.XLOOKUP(C550,'product_masterlist(ifs)'!A:A,'product_masterlist(ifs)'!C:C,"N/A",0)</f>
        <v>Contact Lenses</v>
      </c>
      <c r="K550">
        <f>VLOOKUP(C550,'product_masterlist(ifs)'!A:I,7,FALSE)</f>
        <v>450</v>
      </c>
    </row>
    <row r="551" spans="1:11" x14ac:dyDescent="0.35">
      <c r="A551" t="s">
        <v>791</v>
      </c>
      <c r="B551" s="1">
        <v>45718</v>
      </c>
      <c r="C551" t="s">
        <v>17</v>
      </c>
      <c r="D551">
        <v>14</v>
      </c>
      <c r="E551" t="s">
        <v>37</v>
      </c>
      <c r="F551" t="s">
        <v>18</v>
      </c>
      <c r="G551">
        <v>630</v>
      </c>
      <c r="H551">
        <v>30</v>
      </c>
      <c r="I551" t="s">
        <v>14</v>
      </c>
      <c r="J551" t="str">
        <f>_xlfn.XLOOKUP(C551,'product_masterlist(ifs)'!A:A,'product_masterlist(ifs)'!C:C,"N/A",0)</f>
        <v>Frames</v>
      </c>
      <c r="K551">
        <f>VLOOKUP(C551,'product_masterlist(ifs)'!A:I,7,FALSE)</f>
        <v>45</v>
      </c>
    </row>
    <row r="552" spans="1:11" x14ac:dyDescent="0.35">
      <c r="A552" t="s">
        <v>792</v>
      </c>
      <c r="B552" s="1">
        <v>45665</v>
      </c>
      <c r="C552" t="s">
        <v>42</v>
      </c>
      <c r="D552">
        <v>13</v>
      </c>
      <c r="E552" t="s">
        <v>37</v>
      </c>
      <c r="F552" t="s">
        <v>31</v>
      </c>
      <c r="G552">
        <v>325</v>
      </c>
      <c r="H552">
        <v>21</v>
      </c>
      <c r="I552" t="s">
        <v>14</v>
      </c>
      <c r="J552" t="str">
        <f>_xlfn.XLOOKUP(C552,'product_masterlist(ifs)'!A:A,'product_masterlist(ifs)'!C:C,"N/A",0)</f>
        <v>Contact Lenses</v>
      </c>
      <c r="K552">
        <f>VLOOKUP(C552,'product_masterlist(ifs)'!A:I,7,FALSE)</f>
        <v>120</v>
      </c>
    </row>
    <row r="553" spans="1:11" x14ac:dyDescent="0.35">
      <c r="A553" t="s">
        <v>793</v>
      </c>
      <c r="B553" t="s">
        <v>612</v>
      </c>
      <c r="C553" t="s">
        <v>42</v>
      </c>
      <c r="D553">
        <v>14</v>
      </c>
      <c r="E553" t="s">
        <v>22</v>
      </c>
      <c r="F553" t="s">
        <v>23</v>
      </c>
      <c r="G553">
        <v>350</v>
      </c>
      <c r="H553">
        <v>21</v>
      </c>
      <c r="I553" t="s">
        <v>14</v>
      </c>
      <c r="J553" t="str">
        <f>_xlfn.XLOOKUP(C553,'product_masterlist(ifs)'!A:A,'product_masterlist(ifs)'!C:C,"N/A",0)</f>
        <v>Contact Lenses</v>
      </c>
      <c r="K553">
        <f>VLOOKUP(C553,'product_masterlist(ifs)'!A:I,7,FALSE)</f>
        <v>120</v>
      </c>
    </row>
    <row r="554" spans="1:11" x14ac:dyDescent="0.35">
      <c r="A554" t="s">
        <v>794</v>
      </c>
      <c r="B554" s="1">
        <v>45881</v>
      </c>
      <c r="C554" t="s">
        <v>26</v>
      </c>
      <c r="D554">
        <v>17</v>
      </c>
      <c r="E554" t="s">
        <v>22</v>
      </c>
      <c r="F554" t="s">
        <v>18</v>
      </c>
      <c r="G554" t="s">
        <v>152</v>
      </c>
      <c r="H554">
        <v>14</v>
      </c>
      <c r="I554" t="s">
        <v>28</v>
      </c>
      <c r="J554" t="str">
        <f>_xlfn.XLOOKUP(C554,'product_masterlist(ifs)'!A:A,'product_masterlist(ifs)'!C:C,"N/A",0)</f>
        <v>Contact Lenses</v>
      </c>
      <c r="K554">
        <f>VLOOKUP(C554,'product_masterlist(ifs)'!A:I,7,FALSE)</f>
        <v>450</v>
      </c>
    </row>
    <row r="555" spans="1:11" x14ac:dyDescent="0.35">
      <c r="A555" t="s">
        <v>795</v>
      </c>
      <c r="B555" s="1">
        <v>45789</v>
      </c>
      <c r="C555" t="s">
        <v>26</v>
      </c>
      <c r="D555">
        <v>14</v>
      </c>
      <c r="E555" t="s">
        <v>20</v>
      </c>
      <c r="F555" t="s">
        <v>13</v>
      </c>
      <c r="G555">
        <v>175</v>
      </c>
      <c r="H555">
        <v>14</v>
      </c>
      <c r="I555" t="s">
        <v>28</v>
      </c>
      <c r="J555" t="str">
        <f>_xlfn.XLOOKUP(C555,'product_masterlist(ifs)'!A:A,'product_masterlist(ifs)'!C:C,"N/A",0)</f>
        <v>Contact Lenses</v>
      </c>
      <c r="K555">
        <f>VLOOKUP(C555,'product_masterlist(ifs)'!A:I,7,FALSE)</f>
        <v>450</v>
      </c>
    </row>
    <row r="556" spans="1:11" x14ac:dyDescent="0.35">
      <c r="A556" t="s">
        <v>796</v>
      </c>
      <c r="B556" t="s">
        <v>797</v>
      </c>
      <c r="C556" t="s">
        <v>90</v>
      </c>
      <c r="D556">
        <v>6</v>
      </c>
      <c r="E556" t="s">
        <v>20</v>
      </c>
      <c r="F556" t="s">
        <v>18</v>
      </c>
      <c r="G556">
        <v>291</v>
      </c>
      <c r="H556">
        <v>30</v>
      </c>
      <c r="I556" t="s">
        <v>14</v>
      </c>
      <c r="J556" t="str">
        <f>_xlfn.XLOOKUP(C556,'product_masterlist(ifs)'!A:A,'product_masterlist(ifs)'!C:C,"N/A",0)</f>
        <v>Frames</v>
      </c>
      <c r="K556">
        <f>VLOOKUP(C556,'product_masterlist(ifs)'!A:I,7,FALSE)</f>
        <v>180</v>
      </c>
    </row>
    <row r="557" spans="1:11" x14ac:dyDescent="0.35">
      <c r="A557" t="s">
        <v>798</v>
      </c>
      <c r="B557" t="s">
        <v>194</v>
      </c>
      <c r="C557" t="s">
        <v>17</v>
      </c>
      <c r="D557">
        <v>14</v>
      </c>
      <c r="E557" t="s">
        <v>22</v>
      </c>
      <c r="F557" t="s">
        <v>18</v>
      </c>
      <c r="G557">
        <v>630</v>
      </c>
      <c r="H557">
        <v>30</v>
      </c>
      <c r="I557" t="s">
        <v>14</v>
      </c>
      <c r="J557" t="str">
        <f>_xlfn.XLOOKUP(C557,'product_masterlist(ifs)'!A:A,'product_masterlist(ifs)'!C:C,"N/A",0)</f>
        <v>Frames</v>
      </c>
      <c r="K557">
        <f>VLOOKUP(C557,'product_masterlist(ifs)'!A:I,7,FALSE)</f>
        <v>45</v>
      </c>
    </row>
    <row r="558" spans="1:11" x14ac:dyDescent="0.35">
      <c r="A558" t="s">
        <v>799</v>
      </c>
      <c r="B558" t="s">
        <v>224</v>
      </c>
      <c r="C558" t="s">
        <v>26</v>
      </c>
      <c r="D558">
        <v>21</v>
      </c>
      <c r="E558" t="s">
        <v>37</v>
      </c>
      <c r="F558" t="s">
        <v>31</v>
      </c>
      <c r="G558" t="s">
        <v>366</v>
      </c>
      <c r="H558">
        <v>14</v>
      </c>
      <c r="I558" t="s">
        <v>28</v>
      </c>
      <c r="J558" t="str">
        <f>_xlfn.XLOOKUP(C558,'product_masterlist(ifs)'!A:A,'product_masterlist(ifs)'!C:C,"N/A",0)</f>
        <v>Contact Lenses</v>
      </c>
      <c r="K558">
        <f>VLOOKUP(C558,'product_masterlist(ifs)'!A:I,7,FALSE)</f>
        <v>450</v>
      </c>
    </row>
    <row r="559" spans="1:11" x14ac:dyDescent="0.35">
      <c r="A559" t="s">
        <v>800</v>
      </c>
      <c r="B559" t="s">
        <v>74</v>
      </c>
      <c r="C559" t="s">
        <v>90</v>
      </c>
      <c r="D559">
        <v>7</v>
      </c>
      <c r="E559" t="s">
        <v>12</v>
      </c>
      <c r="F559" t="s">
        <v>23</v>
      </c>
      <c r="G559" t="s">
        <v>181</v>
      </c>
      <c r="H559">
        <v>30</v>
      </c>
      <c r="I559" t="s">
        <v>14</v>
      </c>
      <c r="J559" t="str">
        <f>_xlfn.XLOOKUP(C559,'product_masterlist(ifs)'!A:A,'product_masterlist(ifs)'!C:C,"N/A",0)</f>
        <v>Frames</v>
      </c>
      <c r="K559">
        <f>VLOOKUP(C559,'product_masterlist(ifs)'!A:I,7,FALSE)</f>
        <v>180</v>
      </c>
    </row>
    <row r="560" spans="1:11" x14ac:dyDescent="0.35">
      <c r="A560" t="s">
        <v>801</v>
      </c>
      <c r="B560" t="s">
        <v>802</v>
      </c>
      <c r="C560" t="s">
        <v>11</v>
      </c>
      <c r="D560">
        <v>11</v>
      </c>
      <c r="E560" t="s">
        <v>37</v>
      </c>
      <c r="F560" t="s">
        <v>13</v>
      </c>
      <c r="G560">
        <v>935</v>
      </c>
      <c r="H560">
        <v>30</v>
      </c>
      <c r="I560" t="s">
        <v>14</v>
      </c>
      <c r="J560" t="str">
        <f>_xlfn.XLOOKUP(C560,'product_masterlist(ifs)'!A:A,'product_masterlist(ifs)'!C:C,"N/A",0)</f>
        <v>Surgical</v>
      </c>
      <c r="K560">
        <f>VLOOKUP(C560,'product_masterlist(ifs)'!A:I,7,FALSE)</f>
        <v>40</v>
      </c>
    </row>
    <row r="561" spans="1:11" x14ac:dyDescent="0.35">
      <c r="A561" t="s">
        <v>803</v>
      </c>
      <c r="B561" t="s">
        <v>122</v>
      </c>
      <c r="C561" t="s">
        <v>33</v>
      </c>
      <c r="D561">
        <v>5</v>
      </c>
      <c r="E561" t="s">
        <v>20</v>
      </c>
      <c r="F561" t="s">
        <v>18</v>
      </c>
      <c r="G561">
        <v>750</v>
      </c>
      <c r="H561">
        <v>45</v>
      </c>
      <c r="I561" t="s">
        <v>34</v>
      </c>
      <c r="J561" t="str">
        <f>_xlfn.XLOOKUP(C561,'product_masterlist(ifs)'!A:A,'product_masterlist(ifs)'!C:C,"N/A",0)</f>
        <v>Surgical</v>
      </c>
      <c r="K561">
        <f>VLOOKUP(C561,'product_masterlist(ifs)'!A:I,7,FALSE)</f>
        <v>15</v>
      </c>
    </row>
    <row r="562" spans="1:11" x14ac:dyDescent="0.35">
      <c r="A562" t="s">
        <v>804</v>
      </c>
      <c r="B562" s="1">
        <v>45912</v>
      </c>
      <c r="C562" t="s">
        <v>33</v>
      </c>
      <c r="D562">
        <v>25</v>
      </c>
      <c r="E562" t="s">
        <v>20</v>
      </c>
      <c r="F562" t="s">
        <v>13</v>
      </c>
      <c r="G562">
        <v>3750</v>
      </c>
      <c r="H562">
        <v>45</v>
      </c>
      <c r="I562" t="s">
        <v>34</v>
      </c>
      <c r="J562" t="str">
        <f>_xlfn.XLOOKUP(C562,'product_masterlist(ifs)'!A:A,'product_masterlist(ifs)'!C:C,"N/A",0)</f>
        <v>Surgical</v>
      </c>
      <c r="K562">
        <f>VLOOKUP(C562,'product_masterlist(ifs)'!A:I,7,FALSE)</f>
        <v>15</v>
      </c>
    </row>
    <row r="563" spans="1:11" x14ac:dyDescent="0.35">
      <c r="A563" t="s">
        <v>805</v>
      </c>
      <c r="B563" s="1">
        <v>45932</v>
      </c>
      <c r="C563" t="s">
        <v>42</v>
      </c>
      <c r="D563">
        <v>24</v>
      </c>
      <c r="E563" t="s">
        <v>20</v>
      </c>
      <c r="F563" t="s">
        <v>31</v>
      </c>
      <c r="G563">
        <v>600</v>
      </c>
      <c r="H563">
        <v>21</v>
      </c>
      <c r="I563" t="s">
        <v>14</v>
      </c>
      <c r="J563" t="str">
        <f>_xlfn.XLOOKUP(C563,'product_masterlist(ifs)'!A:A,'product_masterlist(ifs)'!C:C,"N/A",0)</f>
        <v>Contact Lenses</v>
      </c>
      <c r="K563">
        <f>VLOOKUP(C563,'product_masterlist(ifs)'!A:I,7,FALSE)</f>
        <v>120</v>
      </c>
    </row>
    <row r="564" spans="1:11" x14ac:dyDescent="0.35">
      <c r="A564" t="s">
        <v>806</v>
      </c>
      <c r="B564" s="1">
        <v>45723</v>
      </c>
      <c r="C564" t="s">
        <v>90</v>
      </c>
      <c r="D564">
        <v>21</v>
      </c>
      <c r="E564" t="s">
        <v>22</v>
      </c>
      <c r="F564" t="s">
        <v>18</v>
      </c>
      <c r="G564" t="s">
        <v>120</v>
      </c>
      <c r="H564">
        <v>30</v>
      </c>
      <c r="I564" t="s">
        <v>14</v>
      </c>
      <c r="J564" t="str">
        <f>_xlfn.XLOOKUP(C564,'product_masterlist(ifs)'!A:A,'product_masterlist(ifs)'!C:C,"N/A",0)</f>
        <v>Frames</v>
      </c>
      <c r="K564">
        <f>VLOOKUP(C564,'product_masterlist(ifs)'!A:I,7,FALSE)</f>
        <v>180</v>
      </c>
    </row>
    <row r="565" spans="1:11" x14ac:dyDescent="0.35">
      <c r="A565" t="s">
        <v>807</v>
      </c>
      <c r="B565" t="s">
        <v>808</v>
      </c>
      <c r="C565" t="s">
        <v>11</v>
      </c>
      <c r="D565">
        <v>15</v>
      </c>
      <c r="E565" t="s">
        <v>22</v>
      </c>
      <c r="F565" t="s">
        <v>31</v>
      </c>
      <c r="G565">
        <v>1275</v>
      </c>
      <c r="H565">
        <v>30</v>
      </c>
      <c r="I565" t="s">
        <v>14</v>
      </c>
      <c r="J565" t="str">
        <f>_xlfn.XLOOKUP(C565,'product_masterlist(ifs)'!A:A,'product_masterlist(ifs)'!C:C,"N/A",0)</f>
        <v>Surgical</v>
      </c>
      <c r="K565">
        <f>VLOOKUP(C565,'product_masterlist(ifs)'!A:I,7,FALSE)</f>
        <v>40</v>
      </c>
    </row>
    <row r="566" spans="1:11" x14ac:dyDescent="0.35">
      <c r="A566" t="s">
        <v>809</v>
      </c>
      <c r="B566" t="s">
        <v>203</v>
      </c>
      <c r="C566" t="s">
        <v>33</v>
      </c>
      <c r="D566">
        <v>10</v>
      </c>
      <c r="E566" t="s">
        <v>22</v>
      </c>
      <c r="F566" t="s">
        <v>23</v>
      </c>
      <c r="G566">
        <v>1500</v>
      </c>
      <c r="H566">
        <v>45</v>
      </c>
      <c r="I566" t="s">
        <v>34</v>
      </c>
      <c r="J566" t="str">
        <f>_xlfn.XLOOKUP(C566,'product_masterlist(ifs)'!A:A,'product_masterlist(ifs)'!C:C,"N/A",0)</f>
        <v>Surgical</v>
      </c>
      <c r="K566">
        <f>VLOOKUP(C566,'product_masterlist(ifs)'!A:I,7,FALSE)</f>
        <v>15</v>
      </c>
    </row>
    <row r="567" spans="1:11" x14ac:dyDescent="0.35">
      <c r="A567" t="s">
        <v>810</v>
      </c>
      <c r="B567" t="s">
        <v>723</v>
      </c>
      <c r="C567" t="s">
        <v>26</v>
      </c>
      <c r="D567">
        <v>13</v>
      </c>
      <c r="E567" t="s">
        <v>12</v>
      </c>
      <c r="F567" t="s">
        <v>13</v>
      </c>
      <c r="G567" t="s">
        <v>437</v>
      </c>
      <c r="H567">
        <v>14</v>
      </c>
      <c r="I567" t="s">
        <v>28</v>
      </c>
      <c r="J567" t="str">
        <f>_xlfn.XLOOKUP(C567,'product_masterlist(ifs)'!A:A,'product_masterlist(ifs)'!C:C,"N/A",0)</f>
        <v>Contact Lenses</v>
      </c>
      <c r="K567">
        <f>VLOOKUP(C567,'product_masterlist(ifs)'!A:I,7,FALSE)</f>
        <v>450</v>
      </c>
    </row>
    <row r="568" spans="1:11" x14ac:dyDescent="0.35">
      <c r="A568" t="s">
        <v>811</v>
      </c>
      <c r="B568" s="1">
        <v>45992</v>
      </c>
      <c r="C568" t="s">
        <v>90</v>
      </c>
      <c r="D568">
        <v>12</v>
      </c>
      <c r="E568" t="s">
        <v>20</v>
      </c>
      <c r="F568" t="s">
        <v>13</v>
      </c>
      <c r="G568">
        <v>582</v>
      </c>
      <c r="H568">
        <v>30</v>
      </c>
      <c r="I568" t="s">
        <v>14</v>
      </c>
      <c r="J568" t="str">
        <f>_xlfn.XLOOKUP(C568,'product_masterlist(ifs)'!A:A,'product_masterlist(ifs)'!C:C,"N/A",0)</f>
        <v>Frames</v>
      </c>
      <c r="K568">
        <f>VLOOKUP(C568,'product_masterlist(ifs)'!A:I,7,FALSE)</f>
        <v>180</v>
      </c>
    </row>
    <row r="569" spans="1:11" x14ac:dyDescent="0.35">
      <c r="A569" t="s">
        <v>812</v>
      </c>
      <c r="B569" t="s">
        <v>52</v>
      </c>
      <c r="C569" t="s">
        <v>90</v>
      </c>
      <c r="D569">
        <v>1</v>
      </c>
      <c r="E569" t="s">
        <v>22</v>
      </c>
      <c r="F569" t="s">
        <v>18</v>
      </c>
      <c r="G569" t="s">
        <v>109</v>
      </c>
      <c r="H569">
        <v>30</v>
      </c>
      <c r="I569" t="s">
        <v>14</v>
      </c>
      <c r="J569" t="str">
        <f>_xlfn.XLOOKUP(C569,'product_masterlist(ifs)'!A:A,'product_masterlist(ifs)'!C:C,"N/A",0)</f>
        <v>Frames</v>
      </c>
      <c r="K569">
        <f>VLOOKUP(C569,'product_masterlist(ifs)'!A:I,7,FALSE)</f>
        <v>180</v>
      </c>
    </row>
    <row r="570" spans="1:11" x14ac:dyDescent="0.35">
      <c r="A570" t="s">
        <v>813</v>
      </c>
      <c r="B570" t="s">
        <v>667</v>
      </c>
      <c r="C570" t="s">
        <v>42</v>
      </c>
      <c r="D570">
        <v>22</v>
      </c>
      <c r="E570" t="s">
        <v>12</v>
      </c>
      <c r="F570" t="s">
        <v>18</v>
      </c>
      <c r="G570">
        <v>550</v>
      </c>
      <c r="H570">
        <v>21</v>
      </c>
      <c r="I570" t="s">
        <v>14</v>
      </c>
      <c r="J570" t="str">
        <f>_xlfn.XLOOKUP(C570,'product_masterlist(ifs)'!A:A,'product_masterlist(ifs)'!C:C,"N/A",0)</f>
        <v>Contact Lenses</v>
      </c>
      <c r="K570">
        <f>VLOOKUP(C570,'product_masterlist(ifs)'!A:I,7,FALSE)</f>
        <v>120</v>
      </c>
    </row>
    <row r="571" spans="1:11" x14ac:dyDescent="0.35">
      <c r="A571" t="s">
        <v>814</v>
      </c>
      <c r="B571" t="s">
        <v>815</v>
      </c>
      <c r="C571" t="s">
        <v>42</v>
      </c>
      <c r="D571">
        <v>15</v>
      </c>
      <c r="E571" t="s">
        <v>37</v>
      </c>
      <c r="F571" t="s">
        <v>18</v>
      </c>
      <c r="G571">
        <v>375</v>
      </c>
      <c r="H571">
        <v>21</v>
      </c>
      <c r="I571" t="s">
        <v>14</v>
      </c>
      <c r="J571" t="str">
        <f>_xlfn.XLOOKUP(C571,'product_masterlist(ifs)'!A:A,'product_masterlist(ifs)'!C:C,"N/A",0)</f>
        <v>Contact Lenses</v>
      </c>
      <c r="K571">
        <f>VLOOKUP(C571,'product_masterlist(ifs)'!A:I,7,FALSE)</f>
        <v>120</v>
      </c>
    </row>
    <row r="572" spans="1:11" x14ac:dyDescent="0.35">
      <c r="A572" t="s">
        <v>816</v>
      </c>
      <c r="B572" s="1">
        <v>45912</v>
      </c>
      <c r="C572" t="s">
        <v>90</v>
      </c>
      <c r="D572">
        <v>16</v>
      </c>
      <c r="E572" t="s">
        <v>22</v>
      </c>
      <c r="F572" t="s">
        <v>23</v>
      </c>
      <c r="G572">
        <v>776</v>
      </c>
      <c r="H572">
        <v>30</v>
      </c>
      <c r="I572" t="s">
        <v>14</v>
      </c>
      <c r="J572" t="str">
        <f>_xlfn.XLOOKUP(C572,'product_masterlist(ifs)'!A:A,'product_masterlist(ifs)'!C:C,"N/A",0)</f>
        <v>Frames</v>
      </c>
      <c r="K572">
        <f>VLOOKUP(C572,'product_masterlist(ifs)'!A:I,7,FALSE)</f>
        <v>180</v>
      </c>
    </row>
    <row r="573" spans="1:11" x14ac:dyDescent="0.35">
      <c r="A573" t="s">
        <v>817</v>
      </c>
      <c r="B573" s="1">
        <v>45756</v>
      </c>
      <c r="C573" t="s">
        <v>90</v>
      </c>
      <c r="D573">
        <v>1</v>
      </c>
      <c r="E573" t="s">
        <v>37</v>
      </c>
      <c r="F573" t="s">
        <v>31</v>
      </c>
      <c r="G573" t="s">
        <v>109</v>
      </c>
      <c r="H573">
        <v>30</v>
      </c>
      <c r="I573" t="s">
        <v>14</v>
      </c>
      <c r="J573" t="str">
        <f>_xlfn.XLOOKUP(C573,'product_masterlist(ifs)'!A:A,'product_masterlist(ifs)'!C:C,"N/A",0)</f>
        <v>Frames</v>
      </c>
      <c r="K573">
        <f>VLOOKUP(C573,'product_masterlist(ifs)'!A:I,7,FALSE)</f>
        <v>180</v>
      </c>
    </row>
    <row r="574" spans="1:11" x14ac:dyDescent="0.35">
      <c r="A574" t="s">
        <v>818</v>
      </c>
      <c r="B574" s="1">
        <v>45935</v>
      </c>
      <c r="C574" t="s">
        <v>53</v>
      </c>
      <c r="D574">
        <v>7</v>
      </c>
      <c r="E574" t="s">
        <v>37</v>
      </c>
      <c r="F574" t="s">
        <v>13</v>
      </c>
      <c r="G574" t="s">
        <v>320</v>
      </c>
      <c r="H574">
        <v>7</v>
      </c>
      <c r="I574" t="s">
        <v>28</v>
      </c>
      <c r="J574" t="str">
        <f>_xlfn.XLOOKUP(C574,'product_masterlist(ifs)'!A:A,'product_masterlist(ifs)'!C:C,"N/A",0)</f>
        <v>Solutions</v>
      </c>
      <c r="K574">
        <f>VLOOKUP(C574,'product_masterlist(ifs)'!A:I,7,FALSE)</f>
        <v>800</v>
      </c>
    </row>
    <row r="575" spans="1:11" x14ac:dyDescent="0.35">
      <c r="A575" t="s">
        <v>819</v>
      </c>
      <c r="B575" t="s">
        <v>569</v>
      </c>
      <c r="C575" t="s">
        <v>11</v>
      </c>
      <c r="D575">
        <v>3</v>
      </c>
      <c r="E575" t="s">
        <v>22</v>
      </c>
      <c r="F575" t="s">
        <v>18</v>
      </c>
      <c r="G575">
        <v>255</v>
      </c>
      <c r="H575">
        <v>30</v>
      </c>
      <c r="I575" t="s">
        <v>14</v>
      </c>
      <c r="J575" t="str">
        <f>_xlfn.XLOOKUP(C575,'product_masterlist(ifs)'!A:A,'product_masterlist(ifs)'!C:C,"N/A",0)</f>
        <v>Surgical</v>
      </c>
      <c r="K575">
        <f>VLOOKUP(C575,'product_masterlist(ifs)'!A:I,7,FALSE)</f>
        <v>40</v>
      </c>
    </row>
    <row r="576" spans="1:11" x14ac:dyDescent="0.35">
      <c r="A576" t="s">
        <v>820</v>
      </c>
      <c r="B576" t="s">
        <v>354</v>
      </c>
      <c r="C576" t="s">
        <v>26</v>
      </c>
      <c r="D576">
        <v>11</v>
      </c>
      <c r="E576" t="s">
        <v>20</v>
      </c>
      <c r="F576" t="s">
        <v>31</v>
      </c>
      <c r="G576" t="s">
        <v>47</v>
      </c>
      <c r="H576">
        <v>14</v>
      </c>
      <c r="I576" t="s">
        <v>28</v>
      </c>
      <c r="J576" t="str">
        <f>_xlfn.XLOOKUP(C576,'product_masterlist(ifs)'!A:A,'product_masterlist(ifs)'!C:C,"N/A",0)</f>
        <v>Contact Lenses</v>
      </c>
      <c r="K576">
        <f>VLOOKUP(C576,'product_masterlist(ifs)'!A:I,7,FALSE)</f>
        <v>450</v>
      </c>
    </row>
    <row r="577" spans="1:11" x14ac:dyDescent="0.35">
      <c r="A577" t="s">
        <v>821</v>
      </c>
      <c r="B577" t="s">
        <v>205</v>
      </c>
      <c r="C577" t="s">
        <v>26</v>
      </c>
      <c r="D577">
        <v>24</v>
      </c>
      <c r="E577" t="s">
        <v>37</v>
      </c>
      <c r="F577" t="s">
        <v>23</v>
      </c>
      <c r="G577">
        <v>300</v>
      </c>
      <c r="H577">
        <v>14</v>
      </c>
      <c r="I577" t="s">
        <v>28</v>
      </c>
      <c r="J577" t="str">
        <f>_xlfn.XLOOKUP(C577,'product_masterlist(ifs)'!A:A,'product_masterlist(ifs)'!C:C,"N/A",0)</f>
        <v>Contact Lenses</v>
      </c>
      <c r="K577">
        <f>VLOOKUP(C577,'product_masterlist(ifs)'!A:I,7,FALSE)</f>
        <v>450</v>
      </c>
    </row>
    <row r="578" spans="1:11" x14ac:dyDescent="0.35">
      <c r="A578" t="s">
        <v>822</v>
      </c>
      <c r="B578" t="s">
        <v>823</v>
      </c>
      <c r="C578" t="s">
        <v>42</v>
      </c>
      <c r="D578">
        <v>16</v>
      </c>
      <c r="E578" t="s">
        <v>20</v>
      </c>
      <c r="F578" t="s">
        <v>13</v>
      </c>
      <c r="G578">
        <v>400</v>
      </c>
      <c r="H578">
        <v>21</v>
      </c>
      <c r="I578" t="s">
        <v>14</v>
      </c>
      <c r="J578" t="str">
        <f>_xlfn.XLOOKUP(C578,'product_masterlist(ifs)'!A:A,'product_masterlist(ifs)'!C:C,"N/A",0)</f>
        <v>Contact Lenses</v>
      </c>
      <c r="K578">
        <f>VLOOKUP(C578,'product_masterlist(ifs)'!A:I,7,FALSE)</f>
        <v>120</v>
      </c>
    </row>
    <row r="579" spans="1:11" x14ac:dyDescent="0.35">
      <c r="A579" t="s">
        <v>824</v>
      </c>
      <c r="B579" s="1">
        <v>45721</v>
      </c>
      <c r="C579" t="s">
        <v>53</v>
      </c>
      <c r="D579">
        <v>11</v>
      </c>
      <c r="E579" t="s">
        <v>12</v>
      </c>
      <c r="F579" t="s">
        <v>23</v>
      </c>
      <c r="G579" t="s">
        <v>240</v>
      </c>
      <c r="H579">
        <v>7</v>
      </c>
      <c r="I579" t="s">
        <v>28</v>
      </c>
      <c r="J579" t="str">
        <f>_xlfn.XLOOKUP(C579,'product_masterlist(ifs)'!A:A,'product_masterlist(ifs)'!C:C,"N/A",0)</f>
        <v>Solutions</v>
      </c>
      <c r="K579">
        <f>VLOOKUP(C579,'product_masterlist(ifs)'!A:I,7,FALSE)</f>
        <v>800</v>
      </c>
    </row>
    <row r="580" spans="1:11" x14ac:dyDescent="0.35">
      <c r="A580" t="s">
        <v>825</v>
      </c>
      <c r="B580" t="s">
        <v>417</v>
      </c>
      <c r="C580" t="s">
        <v>53</v>
      </c>
      <c r="D580">
        <v>6</v>
      </c>
      <c r="E580" t="s">
        <v>37</v>
      </c>
      <c r="F580" t="s">
        <v>23</v>
      </c>
      <c r="G580" t="s">
        <v>369</v>
      </c>
      <c r="H580">
        <v>7</v>
      </c>
      <c r="I580" t="s">
        <v>28</v>
      </c>
      <c r="J580" t="str">
        <f>_xlfn.XLOOKUP(C580,'product_masterlist(ifs)'!A:A,'product_masterlist(ifs)'!C:C,"N/A",0)</f>
        <v>Solutions</v>
      </c>
      <c r="K580">
        <f>VLOOKUP(C580,'product_masterlist(ifs)'!A:I,7,FALSE)</f>
        <v>800</v>
      </c>
    </row>
    <row r="581" spans="1:11" x14ac:dyDescent="0.35">
      <c r="A581" t="s">
        <v>826</v>
      </c>
      <c r="B581" t="s">
        <v>87</v>
      </c>
      <c r="C581" t="s">
        <v>42</v>
      </c>
      <c r="D581">
        <v>7</v>
      </c>
      <c r="E581" t="s">
        <v>37</v>
      </c>
      <c r="F581" t="s">
        <v>18</v>
      </c>
      <c r="G581">
        <v>175</v>
      </c>
      <c r="H581">
        <v>21</v>
      </c>
      <c r="I581" t="s">
        <v>14</v>
      </c>
      <c r="J581" t="str">
        <f>_xlfn.XLOOKUP(C581,'product_masterlist(ifs)'!A:A,'product_masterlist(ifs)'!C:C,"N/A",0)</f>
        <v>Contact Lenses</v>
      </c>
      <c r="K581">
        <f>VLOOKUP(C581,'product_masterlist(ifs)'!A:I,7,FALSE)</f>
        <v>120</v>
      </c>
    </row>
    <row r="582" spans="1:11" x14ac:dyDescent="0.35">
      <c r="A582" t="s">
        <v>827</v>
      </c>
      <c r="B582" s="1">
        <v>45780</v>
      </c>
      <c r="C582" t="s">
        <v>17</v>
      </c>
      <c r="D582">
        <v>22</v>
      </c>
      <c r="E582" t="s">
        <v>20</v>
      </c>
      <c r="F582" t="s">
        <v>23</v>
      </c>
      <c r="G582">
        <v>990</v>
      </c>
      <c r="H582">
        <v>30</v>
      </c>
      <c r="I582" t="s">
        <v>14</v>
      </c>
      <c r="J582" t="str">
        <f>_xlfn.XLOOKUP(C582,'product_masterlist(ifs)'!A:A,'product_masterlist(ifs)'!C:C,"N/A",0)</f>
        <v>Frames</v>
      </c>
      <c r="K582">
        <f>VLOOKUP(C582,'product_masterlist(ifs)'!A:I,7,FALSE)</f>
        <v>45</v>
      </c>
    </row>
    <row r="583" spans="1:11" x14ac:dyDescent="0.35">
      <c r="A583" t="s">
        <v>828</v>
      </c>
      <c r="B583" t="s">
        <v>619</v>
      </c>
      <c r="C583" t="s">
        <v>33</v>
      </c>
      <c r="D583">
        <v>25</v>
      </c>
      <c r="E583" t="s">
        <v>20</v>
      </c>
      <c r="F583" t="s">
        <v>13</v>
      </c>
      <c r="G583">
        <v>3750</v>
      </c>
      <c r="H583">
        <v>45</v>
      </c>
      <c r="I583" t="s">
        <v>34</v>
      </c>
      <c r="J583" t="str">
        <f>_xlfn.XLOOKUP(C583,'product_masterlist(ifs)'!A:A,'product_masterlist(ifs)'!C:C,"N/A",0)</f>
        <v>Surgical</v>
      </c>
      <c r="K583">
        <f>VLOOKUP(C583,'product_masterlist(ifs)'!A:I,7,FALSE)</f>
        <v>15</v>
      </c>
    </row>
    <row r="584" spans="1:11" x14ac:dyDescent="0.35">
      <c r="A584" t="s">
        <v>829</v>
      </c>
      <c r="B584" t="s">
        <v>168</v>
      </c>
      <c r="C584" t="s">
        <v>17</v>
      </c>
      <c r="D584">
        <v>5</v>
      </c>
      <c r="E584" t="s">
        <v>20</v>
      </c>
      <c r="F584" t="s">
        <v>31</v>
      </c>
      <c r="G584">
        <v>225</v>
      </c>
      <c r="H584">
        <v>30</v>
      </c>
      <c r="I584" t="s">
        <v>14</v>
      </c>
      <c r="J584" t="str">
        <f>_xlfn.XLOOKUP(C584,'product_masterlist(ifs)'!A:A,'product_masterlist(ifs)'!C:C,"N/A",0)</f>
        <v>Frames</v>
      </c>
      <c r="K584">
        <f>VLOOKUP(C584,'product_masterlist(ifs)'!A:I,7,FALSE)</f>
        <v>45</v>
      </c>
    </row>
    <row r="585" spans="1:11" x14ac:dyDescent="0.35">
      <c r="A585" t="s">
        <v>830</v>
      </c>
      <c r="B585" s="1">
        <v>45879</v>
      </c>
      <c r="C585" t="s">
        <v>90</v>
      </c>
      <c r="D585">
        <v>14</v>
      </c>
      <c r="E585" t="s">
        <v>22</v>
      </c>
      <c r="F585" t="s">
        <v>13</v>
      </c>
      <c r="G585">
        <v>679</v>
      </c>
      <c r="H585">
        <v>30</v>
      </c>
      <c r="I585" t="s">
        <v>14</v>
      </c>
      <c r="J585" t="str">
        <f>_xlfn.XLOOKUP(C585,'product_masterlist(ifs)'!A:A,'product_masterlist(ifs)'!C:C,"N/A",0)</f>
        <v>Frames</v>
      </c>
      <c r="K585">
        <f>VLOOKUP(C585,'product_masterlist(ifs)'!A:I,7,FALSE)</f>
        <v>180</v>
      </c>
    </row>
    <row r="586" spans="1:11" x14ac:dyDescent="0.35">
      <c r="A586" t="s">
        <v>831</v>
      </c>
      <c r="B586" s="1">
        <v>45849</v>
      </c>
      <c r="C586" t="s">
        <v>42</v>
      </c>
      <c r="D586">
        <v>20</v>
      </c>
      <c r="E586" t="s">
        <v>20</v>
      </c>
      <c r="F586" t="s">
        <v>13</v>
      </c>
      <c r="G586">
        <v>500</v>
      </c>
      <c r="H586">
        <v>21</v>
      </c>
      <c r="I586" t="s">
        <v>14</v>
      </c>
      <c r="J586" t="str">
        <f>_xlfn.XLOOKUP(C586,'product_masterlist(ifs)'!A:A,'product_masterlist(ifs)'!C:C,"N/A",0)</f>
        <v>Contact Lenses</v>
      </c>
      <c r="K586">
        <f>VLOOKUP(C586,'product_masterlist(ifs)'!A:I,7,FALSE)</f>
        <v>120</v>
      </c>
    </row>
    <row r="587" spans="1:11" x14ac:dyDescent="0.35">
      <c r="A587" t="s">
        <v>832</v>
      </c>
      <c r="B587" t="s">
        <v>352</v>
      </c>
      <c r="C587" t="s">
        <v>90</v>
      </c>
      <c r="D587">
        <v>15</v>
      </c>
      <c r="E587" t="s">
        <v>20</v>
      </c>
      <c r="F587" t="s">
        <v>18</v>
      </c>
      <c r="G587" t="s">
        <v>250</v>
      </c>
      <c r="H587">
        <v>30</v>
      </c>
      <c r="I587" t="s">
        <v>14</v>
      </c>
      <c r="J587" t="str">
        <f>_xlfn.XLOOKUP(C587,'product_masterlist(ifs)'!A:A,'product_masterlist(ifs)'!C:C,"N/A",0)</f>
        <v>Frames</v>
      </c>
      <c r="K587">
        <f>VLOOKUP(C587,'product_masterlist(ifs)'!A:I,7,FALSE)</f>
        <v>180</v>
      </c>
    </row>
    <row r="588" spans="1:11" x14ac:dyDescent="0.35">
      <c r="A588" t="s">
        <v>833</v>
      </c>
      <c r="B588" t="s">
        <v>489</v>
      </c>
      <c r="C588" t="s">
        <v>17</v>
      </c>
      <c r="D588">
        <v>2</v>
      </c>
      <c r="E588" t="s">
        <v>22</v>
      </c>
      <c r="F588" t="s">
        <v>23</v>
      </c>
      <c r="G588">
        <v>90</v>
      </c>
      <c r="H588">
        <v>30</v>
      </c>
      <c r="I588" t="s">
        <v>14</v>
      </c>
      <c r="J588" t="str">
        <f>_xlfn.XLOOKUP(C588,'product_masterlist(ifs)'!A:A,'product_masterlist(ifs)'!C:C,"N/A",0)</f>
        <v>Frames</v>
      </c>
      <c r="K588">
        <f>VLOOKUP(C588,'product_masterlist(ifs)'!A:I,7,FALSE)</f>
        <v>45</v>
      </c>
    </row>
    <row r="589" spans="1:11" x14ac:dyDescent="0.35">
      <c r="A589" t="s">
        <v>834</v>
      </c>
      <c r="B589" t="s">
        <v>499</v>
      </c>
      <c r="C589" t="s">
        <v>17</v>
      </c>
      <c r="D589">
        <v>4</v>
      </c>
      <c r="E589" t="s">
        <v>37</v>
      </c>
      <c r="F589" t="s">
        <v>31</v>
      </c>
      <c r="G589">
        <v>180</v>
      </c>
      <c r="H589">
        <v>30</v>
      </c>
      <c r="I589" t="s">
        <v>14</v>
      </c>
      <c r="J589" t="str">
        <f>_xlfn.XLOOKUP(C589,'product_masterlist(ifs)'!A:A,'product_masterlist(ifs)'!C:C,"N/A",0)</f>
        <v>Frames</v>
      </c>
      <c r="K589">
        <f>VLOOKUP(C589,'product_masterlist(ifs)'!A:I,7,FALSE)</f>
        <v>45</v>
      </c>
    </row>
    <row r="590" spans="1:11" x14ac:dyDescent="0.35">
      <c r="A590" t="s">
        <v>835</v>
      </c>
      <c r="B590" s="1">
        <v>45815</v>
      </c>
      <c r="C590" t="s">
        <v>90</v>
      </c>
      <c r="D590">
        <v>20</v>
      </c>
      <c r="E590" t="s">
        <v>20</v>
      </c>
      <c r="F590" t="s">
        <v>23</v>
      </c>
      <c r="G590">
        <v>970</v>
      </c>
      <c r="H590">
        <v>30</v>
      </c>
      <c r="I590" t="s">
        <v>14</v>
      </c>
      <c r="J590" t="str">
        <f>_xlfn.XLOOKUP(C590,'product_masterlist(ifs)'!A:A,'product_masterlist(ifs)'!C:C,"N/A",0)</f>
        <v>Frames</v>
      </c>
      <c r="K590">
        <f>VLOOKUP(C590,'product_masterlist(ifs)'!A:I,7,FALSE)</f>
        <v>180</v>
      </c>
    </row>
    <row r="591" spans="1:11" x14ac:dyDescent="0.35">
      <c r="A591" t="s">
        <v>836</v>
      </c>
      <c r="B591" t="s">
        <v>141</v>
      </c>
      <c r="C591" t="s">
        <v>33</v>
      </c>
      <c r="D591">
        <v>21</v>
      </c>
      <c r="E591" t="s">
        <v>22</v>
      </c>
      <c r="F591" t="s">
        <v>18</v>
      </c>
      <c r="G591">
        <v>3150</v>
      </c>
      <c r="H591">
        <v>45</v>
      </c>
      <c r="I591" t="s">
        <v>34</v>
      </c>
      <c r="J591" t="str">
        <f>_xlfn.XLOOKUP(C591,'product_masterlist(ifs)'!A:A,'product_masterlist(ifs)'!C:C,"N/A",0)</f>
        <v>Surgical</v>
      </c>
      <c r="K591">
        <f>VLOOKUP(C591,'product_masterlist(ifs)'!A:I,7,FALSE)</f>
        <v>15</v>
      </c>
    </row>
    <row r="592" spans="1:11" x14ac:dyDescent="0.35">
      <c r="A592" t="s">
        <v>837</v>
      </c>
      <c r="B592" t="s">
        <v>838</v>
      </c>
      <c r="C592" t="s">
        <v>17</v>
      </c>
      <c r="D592">
        <v>16</v>
      </c>
      <c r="E592" t="s">
        <v>37</v>
      </c>
      <c r="F592" t="s">
        <v>13</v>
      </c>
      <c r="G592">
        <v>720</v>
      </c>
      <c r="H592">
        <v>30</v>
      </c>
      <c r="I592" t="s">
        <v>14</v>
      </c>
      <c r="J592" t="str">
        <f>_xlfn.XLOOKUP(C592,'product_masterlist(ifs)'!A:A,'product_masterlist(ifs)'!C:C,"N/A",0)</f>
        <v>Frames</v>
      </c>
      <c r="K592">
        <f>VLOOKUP(C592,'product_masterlist(ifs)'!A:I,7,FALSE)</f>
        <v>45</v>
      </c>
    </row>
    <row r="593" spans="1:11" x14ac:dyDescent="0.35">
      <c r="A593" t="s">
        <v>839</v>
      </c>
      <c r="B593" s="1">
        <v>45689</v>
      </c>
      <c r="C593" t="s">
        <v>53</v>
      </c>
      <c r="D593">
        <v>22</v>
      </c>
      <c r="E593" t="s">
        <v>37</v>
      </c>
      <c r="F593" t="s">
        <v>23</v>
      </c>
      <c r="G593" t="s">
        <v>176</v>
      </c>
      <c r="H593">
        <v>7</v>
      </c>
      <c r="I593" t="s">
        <v>28</v>
      </c>
      <c r="J593" t="str">
        <f>_xlfn.XLOOKUP(C593,'product_masterlist(ifs)'!A:A,'product_masterlist(ifs)'!C:C,"N/A",0)</f>
        <v>Solutions</v>
      </c>
      <c r="K593">
        <f>VLOOKUP(C593,'product_masterlist(ifs)'!A:I,7,FALSE)</f>
        <v>800</v>
      </c>
    </row>
    <row r="594" spans="1:11" x14ac:dyDescent="0.35">
      <c r="A594" t="s">
        <v>840</v>
      </c>
      <c r="B594" s="1">
        <v>45809</v>
      </c>
      <c r="C594" t="s">
        <v>17</v>
      </c>
      <c r="D594">
        <v>12</v>
      </c>
      <c r="E594" t="s">
        <v>22</v>
      </c>
      <c r="F594" t="s">
        <v>18</v>
      </c>
      <c r="G594">
        <v>540</v>
      </c>
      <c r="H594">
        <v>30</v>
      </c>
      <c r="I594" t="s">
        <v>14</v>
      </c>
      <c r="J594" t="str">
        <f>_xlfn.XLOOKUP(C594,'product_masterlist(ifs)'!A:A,'product_masterlist(ifs)'!C:C,"N/A",0)</f>
        <v>Frames</v>
      </c>
      <c r="K594">
        <f>VLOOKUP(C594,'product_masterlist(ifs)'!A:I,7,FALSE)</f>
        <v>45</v>
      </c>
    </row>
    <row r="595" spans="1:11" x14ac:dyDescent="0.35">
      <c r="A595" t="s">
        <v>841</v>
      </c>
      <c r="B595" t="s">
        <v>842</v>
      </c>
      <c r="C595" t="s">
        <v>26</v>
      </c>
      <c r="D595">
        <v>12</v>
      </c>
      <c r="E595" t="s">
        <v>22</v>
      </c>
      <c r="F595" t="s">
        <v>23</v>
      </c>
      <c r="G595">
        <v>150</v>
      </c>
      <c r="H595">
        <v>14</v>
      </c>
      <c r="I595" t="s">
        <v>28</v>
      </c>
      <c r="J595" t="str">
        <f>_xlfn.XLOOKUP(C595,'product_masterlist(ifs)'!A:A,'product_masterlist(ifs)'!C:C,"N/A",0)</f>
        <v>Contact Lenses</v>
      </c>
      <c r="K595">
        <f>VLOOKUP(C595,'product_masterlist(ifs)'!A:I,7,FALSE)</f>
        <v>450</v>
      </c>
    </row>
    <row r="596" spans="1:11" x14ac:dyDescent="0.35">
      <c r="A596" t="s">
        <v>843</v>
      </c>
      <c r="B596" t="s">
        <v>127</v>
      </c>
      <c r="C596" t="s">
        <v>53</v>
      </c>
      <c r="D596">
        <v>16</v>
      </c>
      <c r="E596" t="s">
        <v>12</v>
      </c>
      <c r="F596" t="s">
        <v>13</v>
      </c>
      <c r="G596">
        <v>68</v>
      </c>
      <c r="H596">
        <v>7</v>
      </c>
      <c r="I596" t="s">
        <v>28</v>
      </c>
      <c r="J596" t="str">
        <f>_xlfn.XLOOKUP(C596,'product_masterlist(ifs)'!A:A,'product_masterlist(ifs)'!C:C,"N/A",0)</f>
        <v>Solutions</v>
      </c>
      <c r="K596">
        <f>VLOOKUP(C596,'product_masterlist(ifs)'!A:I,7,FALSE)</f>
        <v>800</v>
      </c>
    </row>
    <row r="597" spans="1:11" x14ac:dyDescent="0.35">
      <c r="A597" t="s">
        <v>844</v>
      </c>
      <c r="B597" t="s">
        <v>651</v>
      </c>
      <c r="C597" t="s">
        <v>53</v>
      </c>
      <c r="D597">
        <v>17</v>
      </c>
      <c r="E597" t="s">
        <v>12</v>
      </c>
      <c r="F597" t="s">
        <v>31</v>
      </c>
      <c r="G597" t="s">
        <v>698</v>
      </c>
      <c r="H597">
        <v>7</v>
      </c>
      <c r="I597" t="s">
        <v>28</v>
      </c>
      <c r="J597" t="str">
        <f>_xlfn.XLOOKUP(C597,'product_masterlist(ifs)'!A:A,'product_masterlist(ifs)'!C:C,"N/A",0)</f>
        <v>Solutions</v>
      </c>
      <c r="K597">
        <f>VLOOKUP(C597,'product_masterlist(ifs)'!A:I,7,FALSE)</f>
        <v>800</v>
      </c>
    </row>
    <row r="598" spans="1:11" x14ac:dyDescent="0.35">
      <c r="A598" t="s">
        <v>845</v>
      </c>
      <c r="B598" s="1">
        <v>45757</v>
      </c>
      <c r="C598" t="s">
        <v>33</v>
      </c>
      <c r="D598">
        <v>15</v>
      </c>
      <c r="E598" t="s">
        <v>37</v>
      </c>
      <c r="F598" t="s">
        <v>31</v>
      </c>
      <c r="G598">
        <v>2250</v>
      </c>
      <c r="H598">
        <v>45</v>
      </c>
      <c r="I598" t="s">
        <v>34</v>
      </c>
      <c r="J598" t="str">
        <f>_xlfn.XLOOKUP(C598,'product_masterlist(ifs)'!A:A,'product_masterlist(ifs)'!C:C,"N/A",0)</f>
        <v>Surgical</v>
      </c>
      <c r="K598">
        <f>VLOOKUP(C598,'product_masterlist(ifs)'!A:I,7,FALSE)</f>
        <v>15</v>
      </c>
    </row>
    <row r="599" spans="1:11" x14ac:dyDescent="0.35">
      <c r="A599" t="s">
        <v>846</v>
      </c>
      <c r="B599" s="1">
        <v>45902</v>
      </c>
      <c r="C599" t="s">
        <v>33</v>
      </c>
      <c r="D599">
        <v>22</v>
      </c>
      <c r="E599" t="s">
        <v>20</v>
      </c>
      <c r="F599" t="s">
        <v>13</v>
      </c>
      <c r="G599">
        <v>3300</v>
      </c>
      <c r="H599">
        <v>45</v>
      </c>
      <c r="I599" t="s">
        <v>34</v>
      </c>
      <c r="J599" t="str">
        <f>_xlfn.XLOOKUP(C599,'product_masterlist(ifs)'!A:A,'product_masterlist(ifs)'!C:C,"N/A",0)</f>
        <v>Surgical</v>
      </c>
      <c r="K599">
        <f>VLOOKUP(C599,'product_masterlist(ifs)'!A:I,7,FALSE)</f>
        <v>15</v>
      </c>
    </row>
    <row r="600" spans="1:11" x14ac:dyDescent="0.35">
      <c r="A600" t="s">
        <v>847</v>
      </c>
      <c r="B600" t="s">
        <v>115</v>
      </c>
      <c r="C600" t="s">
        <v>42</v>
      </c>
      <c r="D600">
        <v>15</v>
      </c>
      <c r="E600" t="s">
        <v>12</v>
      </c>
      <c r="F600" t="s">
        <v>13</v>
      </c>
      <c r="G600">
        <v>375</v>
      </c>
      <c r="H600">
        <v>21</v>
      </c>
      <c r="I600" t="s">
        <v>14</v>
      </c>
      <c r="J600" t="str">
        <f>_xlfn.XLOOKUP(C600,'product_masterlist(ifs)'!A:A,'product_masterlist(ifs)'!C:C,"N/A",0)</f>
        <v>Contact Lenses</v>
      </c>
      <c r="K600">
        <f>VLOOKUP(C600,'product_masterlist(ifs)'!A:I,7,FALSE)</f>
        <v>120</v>
      </c>
    </row>
    <row r="601" spans="1:11" x14ac:dyDescent="0.35">
      <c r="A601" t="s">
        <v>848</v>
      </c>
      <c r="B601" t="s">
        <v>312</v>
      </c>
      <c r="C601" t="s">
        <v>90</v>
      </c>
      <c r="D601">
        <v>17</v>
      </c>
      <c r="E601" t="s">
        <v>37</v>
      </c>
      <c r="F601" t="s">
        <v>23</v>
      </c>
      <c r="G601" t="s">
        <v>362</v>
      </c>
      <c r="H601">
        <v>30</v>
      </c>
      <c r="I601" t="s">
        <v>14</v>
      </c>
      <c r="J601" t="str">
        <f>_xlfn.XLOOKUP(C601,'product_masterlist(ifs)'!A:A,'product_masterlist(ifs)'!C:C,"N/A",0)</f>
        <v>Frames</v>
      </c>
      <c r="K601">
        <f>VLOOKUP(C601,'product_masterlist(ifs)'!A:I,7,FALSE)</f>
        <v>180</v>
      </c>
    </row>
    <row r="602" spans="1:11" x14ac:dyDescent="0.35">
      <c r="A602" t="s">
        <v>849</v>
      </c>
      <c r="B602" t="s">
        <v>246</v>
      </c>
      <c r="C602" t="s">
        <v>17</v>
      </c>
      <c r="D602">
        <v>16</v>
      </c>
      <c r="E602" t="s">
        <v>20</v>
      </c>
      <c r="F602" t="s">
        <v>13</v>
      </c>
      <c r="G602">
        <v>720</v>
      </c>
      <c r="H602">
        <v>30</v>
      </c>
      <c r="I602" t="s">
        <v>14</v>
      </c>
      <c r="J602" t="str">
        <f>_xlfn.XLOOKUP(C602,'product_masterlist(ifs)'!A:A,'product_masterlist(ifs)'!C:C,"N/A",0)</f>
        <v>Frames</v>
      </c>
      <c r="K602">
        <f>VLOOKUP(C602,'product_masterlist(ifs)'!A:I,7,FALSE)</f>
        <v>45</v>
      </c>
    </row>
    <row r="603" spans="1:11" x14ac:dyDescent="0.35">
      <c r="A603" t="s">
        <v>850</v>
      </c>
      <c r="B603" t="s">
        <v>716</v>
      </c>
      <c r="C603" t="s">
        <v>42</v>
      </c>
      <c r="D603">
        <v>7</v>
      </c>
      <c r="E603" t="s">
        <v>22</v>
      </c>
      <c r="F603" t="s">
        <v>18</v>
      </c>
      <c r="G603">
        <v>175</v>
      </c>
      <c r="H603">
        <v>21</v>
      </c>
      <c r="I603" t="s">
        <v>14</v>
      </c>
      <c r="J603" t="str">
        <f>_xlfn.XLOOKUP(C603,'product_masterlist(ifs)'!A:A,'product_masterlist(ifs)'!C:C,"N/A",0)</f>
        <v>Contact Lenses</v>
      </c>
      <c r="K603">
        <f>VLOOKUP(C603,'product_masterlist(ifs)'!A:I,7,FALSE)</f>
        <v>120</v>
      </c>
    </row>
    <row r="604" spans="1:11" x14ac:dyDescent="0.35">
      <c r="A604" t="s">
        <v>851</v>
      </c>
      <c r="B604" s="1">
        <v>45972</v>
      </c>
      <c r="C604" t="s">
        <v>11</v>
      </c>
      <c r="D604">
        <v>11</v>
      </c>
      <c r="E604" t="s">
        <v>37</v>
      </c>
      <c r="F604" t="s">
        <v>31</v>
      </c>
      <c r="G604">
        <v>935</v>
      </c>
      <c r="H604">
        <v>30</v>
      </c>
      <c r="I604" t="s">
        <v>14</v>
      </c>
      <c r="J604" t="str">
        <f>_xlfn.XLOOKUP(C604,'product_masterlist(ifs)'!A:A,'product_masterlist(ifs)'!C:C,"N/A",0)</f>
        <v>Surgical</v>
      </c>
      <c r="K604">
        <f>VLOOKUP(C604,'product_masterlist(ifs)'!A:I,7,FALSE)</f>
        <v>40</v>
      </c>
    </row>
    <row r="605" spans="1:11" x14ac:dyDescent="0.35">
      <c r="A605" t="s">
        <v>852</v>
      </c>
      <c r="B605" t="s">
        <v>591</v>
      </c>
      <c r="C605" t="s">
        <v>53</v>
      </c>
      <c r="D605">
        <v>18</v>
      </c>
      <c r="E605" t="s">
        <v>37</v>
      </c>
      <c r="F605" t="s">
        <v>13</v>
      </c>
      <c r="G605" t="s">
        <v>336</v>
      </c>
      <c r="H605">
        <v>7</v>
      </c>
      <c r="I605" t="s">
        <v>28</v>
      </c>
      <c r="J605" t="str">
        <f>_xlfn.XLOOKUP(C605,'product_masterlist(ifs)'!A:A,'product_masterlist(ifs)'!C:C,"N/A",0)</f>
        <v>Solutions</v>
      </c>
      <c r="K605">
        <f>VLOOKUP(C605,'product_masterlist(ifs)'!A:I,7,FALSE)</f>
        <v>800</v>
      </c>
    </row>
    <row r="606" spans="1:11" x14ac:dyDescent="0.35">
      <c r="A606" t="s">
        <v>853</v>
      </c>
      <c r="B606" t="s">
        <v>506</v>
      </c>
      <c r="C606" t="s">
        <v>53</v>
      </c>
      <c r="D606">
        <v>5</v>
      </c>
      <c r="E606" t="s">
        <v>37</v>
      </c>
      <c r="F606" t="s">
        <v>31</v>
      </c>
      <c r="G606" t="s">
        <v>854</v>
      </c>
      <c r="H606">
        <v>7</v>
      </c>
      <c r="I606" t="s">
        <v>28</v>
      </c>
      <c r="J606" t="str">
        <f>_xlfn.XLOOKUP(C606,'product_masterlist(ifs)'!A:A,'product_masterlist(ifs)'!C:C,"N/A",0)</f>
        <v>Solutions</v>
      </c>
      <c r="K606">
        <f>VLOOKUP(C606,'product_masterlist(ifs)'!A:I,7,FALSE)</f>
        <v>800</v>
      </c>
    </row>
    <row r="607" spans="1:11" x14ac:dyDescent="0.35">
      <c r="A607" t="s">
        <v>855</v>
      </c>
      <c r="B607" t="s">
        <v>567</v>
      </c>
      <c r="C607" t="s">
        <v>53</v>
      </c>
      <c r="D607">
        <v>2</v>
      </c>
      <c r="E607" t="s">
        <v>12</v>
      </c>
      <c r="F607" t="s">
        <v>18</v>
      </c>
      <c r="G607" t="s">
        <v>291</v>
      </c>
      <c r="H607">
        <v>7</v>
      </c>
      <c r="I607" t="s">
        <v>28</v>
      </c>
      <c r="J607" t="str">
        <f>_xlfn.XLOOKUP(C607,'product_masterlist(ifs)'!A:A,'product_masterlist(ifs)'!C:C,"N/A",0)</f>
        <v>Solutions</v>
      </c>
      <c r="K607">
        <f>VLOOKUP(C607,'product_masterlist(ifs)'!A:I,7,FALSE)</f>
        <v>800</v>
      </c>
    </row>
    <row r="608" spans="1:11" x14ac:dyDescent="0.35">
      <c r="A608" t="s">
        <v>856</v>
      </c>
      <c r="B608" s="1">
        <v>45755</v>
      </c>
      <c r="C608" t="s">
        <v>26</v>
      </c>
      <c r="D608">
        <v>1</v>
      </c>
      <c r="E608" t="s">
        <v>37</v>
      </c>
      <c r="F608" t="s">
        <v>18</v>
      </c>
      <c r="G608" t="s">
        <v>101</v>
      </c>
      <c r="H608">
        <v>14</v>
      </c>
      <c r="I608" t="s">
        <v>28</v>
      </c>
      <c r="J608" t="str">
        <f>_xlfn.XLOOKUP(C608,'product_masterlist(ifs)'!A:A,'product_masterlist(ifs)'!C:C,"N/A",0)</f>
        <v>Contact Lenses</v>
      </c>
      <c r="K608">
        <f>VLOOKUP(C608,'product_masterlist(ifs)'!A:I,7,FALSE)</f>
        <v>450</v>
      </c>
    </row>
    <row r="609" spans="1:11" x14ac:dyDescent="0.35">
      <c r="A609" t="s">
        <v>857</v>
      </c>
      <c r="B609" s="1">
        <v>45700</v>
      </c>
      <c r="C609" t="s">
        <v>53</v>
      </c>
      <c r="D609">
        <v>17</v>
      </c>
      <c r="E609" t="s">
        <v>12</v>
      </c>
      <c r="F609" t="s">
        <v>23</v>
      </c>
      <c r="G609" t="s">
        <v>698</v>
      </c>
      <c r="H609">
        <v>7</v>
      </c>
      <c r="I609" t="s">
        <v>28</v>
      </c>
      <c r="J609" t="str">
        <f>_xlfn.XLOOKUP(C609,'product_masterlist(ifs)'!A:A,'product_masterlist(ifs)'!C:C,"N/A",0)</f>
        <v>Solutions</v>
      </c>
      <c r="K609">
        <f>VLOOKUP(C609,'product_masterlist(ifs)'!A:I,7,FALSE)</f>
        <v>800</v>
      </c>
    </row>
    <row r="610" spans="1:11" x14ac:dyDescent="0.35">
      <c r="A610" t="s">
        <v>858</v>
      </c>
      <c r="B610" s="1">
        <v>45846</v>
      </c>
      <c r="C610" t="s">
        <v>11</v>
      </c>
      <c r="D610">
        <v>12</v>
      </c>
      <c r="E610" t="s">
        <v>37</v>
      </c>
      <c r="F610" t="s">
        <v>18</v>
      </c>
      <c r="G610">
        <v>1020</v>
      </c>
      <c r="H610">
        <v>30</v>
      </c>
      <c r="I610" t="s">
        <v>14</v>
      </c>
      <c r="J610" t="str">
        <f>_xlfn.XLOOKUP(C610,'product_masterlist(ifs)'!A:A,'product_masterlist(ifs)'!C:C,"N/A",0)</f>
        <v>Surgical</v>
      </c>
      <c r="K610">
        <f>VLOOKUP(C610,'product_masterlist(ifs)'!A:I,7,FALSE)</f>
        <v>40</v>
      </c>
    </row>
    <row r="611" spans="1:11" x14ac:dyDescent="0.35">
      <c r="A611" t="s">
        <v>859</v>
      </c>
      <c r="B611" s="1">
        <v>45878</v>
      </c>
      <c r="C611" t="s">
        <v>53</v>
      </c>
      <c r="D611">
        <v>13</v>
      </c>
      <c r="E611" t="s">
        <v>12</v>
      </c>
      <c r="F611" t="s">
        <v>18</v>
      </c>
      <c r="G611" t="s">
        <v>188</v>
      </c>
      <c r="H611">
        <v>7</v>
      </c>
      <c r="I611" t="s">
        <v>28</v>
      </c>
      <c r="J611" t="str">
        <f>_xlfn.XLOOKUP(C611,'product_masterlist(ifs)'!A:A,'product_masterlist(ifs)'!C:C,"N/A",0)</f>
        <v>Solutions</v>
      </c>
      <c r="K611">
        <f>VLOOKUP(C611,'product_masterlist(ifs)'!A:I,7,FALSE)</f>
        <v>800</v>
      </c>
    </row>
    <row r="612" spans="1:11" x14ac:dyDescent="0.35">
      <c r="A612" t="s">
        <v>860</v>
      </c>
      <c r="B612" t="s">
        <v>131</v>
      </c>
      <c r="C612" t="s">
        <v>17</v>
      </c>
      <c r="D612">
        <v>19</v>
      </c>
      <c r="E612" t="s">
        <v>22</v>
      </c>
      <c r="F612" t="s">
        <v>13</v>
      </c>
      <c r="G612">
        <v>855</v>
      </c>
      <c r="H612">
        <v>30</v>
      </c>
      <c r="I612" t="s">
        <v>14</v>
      </c>
      <c r="J612" t="str">
        <f>_xlfn.XLOOKUP(C612,'product_masterlist(ifs)'!A:A,'product_masterlist(ifs)'!C:C,"N/A",0)</f>
        <v>Frames</v>
      </c>
      <c r="K612">
        <f>VLOOKUP(C612,'product_masterlist(ifs)'!A:I,7,FALSE)</f>
        <v>45</v>
      </c>
    </row>
    <row r="613" spans="1:11" x14ac:dyDescent="0.35">
      <c r="A613" t="s">
        <v>861</v>
      </c>
      <c r="B613" t="s">
        <v>436</v>
      </c>
      <c r="C613" t="s">
        <v>53</v>
      </c>
      <c r="D613">
        <v>6</v>
      </c>
      <c r="E613" t="s">
        <v>22</v>
      </c>
      <c r="F613" t="s">
        <v>23</v>
      </c>
      <c r="G613" t="s">
        <v>369</v>
      </c>
      <c r="H613">
        <v>7</v>
      </c>
      <c r="I613" t="s">
        <v>28</v>
      </c>
      <c r="J613" t="str">
        <f>_xlfn.XLOOKUP(C613,'product_masterlist(ifs)'!A:A,'product_masterlist(ifs)'!C:C,"N/A",0)</f>
        <v>Solutions</v>
      </c>
      <c r="K613">
        <f>VLOOKUP(C613,'product_masterlist(ifs)'!A:I,7,FALSE)</f>
        <v>800</v>
      </c>
    </row>
    <row r="614" spans="1:11" x14ac:dyDescent="0.35">
      <c r="A614" t="s">
        <v>862</v>
      </c>
      <c r="B614" t="s">
        <v>131</v>
      </c>
      <c r="C614" t="s">
        <v>42</v>
      </c>
      <c r="D614">
        <v>19</v>
      </c>
      <c r="E614" t="s">
        <v>20</v>
      </c>
      <c r="F614" t="s">
        <v>13</v>
      </c>
      <c r="G614">
        <v>475</v>
      </c>
      <c r="H614">
        <v>21</v>
      </c>
      <c r="I614" t="s">
        <v>14</v>
      </c>
      <c r="J614" t="str">
        <f>_xlfn.XLOOKUP(C614,'product_masterlist(ifs)'!A:A,'product_masterlist(ifs)'!C:C,"N/A",0)</f>
        <v>Contact Lenses</v>
      </c>
      <c r="K614">
        <f>VLOOKUP(C614,'product_masterlist(ifs)'!A:I,7,FALSE)</f>
        <v>120</v>
      </c>
    </row>
    <row r="615" spans="1:11" x14ac:dyDescent="0.35">
      <c r="A615" t="s">
        <v>863</v>
      </c>
      <c r="B615" s="1">
        <v>45969</v>
      </c>
      <c r="C615" t="s">
        <v>90</v>
      </c>
      <c r="D615">
        <v>6</v>
      </c>
      <c r="E615" t="s">
        <v>20</v>
      </c>
      <c r="F615" t="s">
        <v>13</v>
      </c>
      <c r="G615">
        <v>291</v>
      </c>
      <c r="H615">
        <v>30</v>
      </c>
      <c r="I615" t="s">
        <v>14</v>
      </c>
      <c r="J615" t="str">
        <f>_xlfn.XLOOKUP(C615,'product_masterlist(ifs)'!A:A,'product_masterlist(ifs)'!C:C,"N/A",0)</f>
        <v>Frames</v>
      </c>
      <c r="K615">
        <f>VLOOKUP(C615,'product_masterlist(ifs)'!A:I,7,FALSE)</f>
        <v>180</v>
      </c>
    </row>
    <row r="616" spans="1:11" x14ac:dyDescent="0.35">
      <c r="A616" t="s">
        <v>864</v>
      </c>
      <c r="B616" t="s">
        <v>83</v>
      </c>
      <c r="C616" t="s">
        <v>11</v>
      </c>
      <c r="D616">
        <v>4</v>
      </c>
      <c r="E616" t="s">
        <v>20</v>
      </c>
      <c r="F616" t="s">
        <v>31</v>
      </c>
      <c r="G616">
        <v>340</v>
      </c>
      <c r="H616">
        <v>30</v>
      </c>
      <c r="I616" t="s">
        <v>14</v>
      </c>
      <c r="J616" t="str">
        <f>_xlfn.XLOOKUP(C616,'product_masterlist(ifs)'!A:A,'product_masterlist(ifs)'!C:C,"N/A",0)</f>
        <v>Surgical</v>
      </c>
      <c r="K616">
        <f>VLOOKUP(C616,'product_masterlist(ifs)'!A:I,7,FALSE)</f>
        <v>40</v>
      </c>
    </row>
    <row r="617" spans="1:11" x14ac:dyDescent="0.35">
      <c r="A617" t="s">
        <v>865</v>
      </c>
      <c r="B617" s="1">
        <v>45696</v>
      </c>
      <c r="C617" t="s">
        <v>90</v>
      </c>
      <c r="D617">
        <v>19</v>
      </c>
      <c r="E617" t="s">
        <v>22</v>
      </c>
      <c r="F617" t="s">
        <v>13</v>
      </c>
      <c r="G617" t="s">
        <v>504</v>
      </c>
      <c r="H617">
        <v>30</v>
      </c>
      <c r="I617" t="s">
        <v>14</v>
      </c>
      <c r="J617" t="str">
        <f>_xlfn.XLOOKUP(C617,'product_masterlist(ifs)'!A:A,'product_masterlist(ifs)'!C:C,"N/A",0)</f>
        <v>Frames</v>
      </c>
      <c r="K617">
        <f>VLOOKUP(C617,'product_masterlist(ifs)'!A:I,7,FALSE)</f>
        <v>180</v>
      </c>
    </row>
    <row r="618" spans="1:11" x14ac:dyDescent="0.35">
      <c r="A618" t="s">
        <v>866</v>
      </c>
      <c r="B618" t="s">
        <v>448</v>
      </c>
      <c r="C618" t="s">
        <v>11</v>
      </c>
      <c r="D618">
        <v>3</v>
      </c>
      <c r="E618" t="s">
        <v>22</v>
      </c>
      <c r="F618" t="s">
        <v>23</v>
      </c>
      <c r="G618">
        <v>255</v>
      </c>
      <c r="H618">
        <v>30</v>
      </c>
      <c r="I618" t="s">
        <v>14</v>
      </c>
      <c r="J618" t="str">
        <f>_xlfn.XLOOKUP(C618,'product_masterlist(ifs)'!A:A,'product_masterlist(ifs)'!C:C,"N/A",0)</f>
        <v>Surgical</v>
      </c>
      <c r="K618">
        <f>VLOOKUP(C618,'product_masterlist(ifs)'!A:I,7,FALSE)</f>
        <v>40</v>
      </c>
    </row>
    <row r="619" spans="1:11" x14ac:dyDescent="0.35">
      <c r="A619" t="s">
        <v>867</v>
      </c>
      <c r="B619" s="1">
        <v>45942</v>
      </c>
      <c r="C619" t="s">
        <v>90</v>
      </c>
      <c r="D619">
        <v>6</v>
      </c>
      <c r="E619" t="s">
        <v>20</v>
      </c>
      <c r="F619" t="s">
        <v>31</v>
      </c>
      <c r="G619">
        <v>291</v>
      </c>
      <c r="H619">
        <v>30</v>
      </c>
      <c r="I619" t="s">
        <v>14</v>
      </c>
      <c r="J619" t="str">
        <f>_xlfn.XLOOKUP(C619,'product_masterlist(ifs)'!A:A,'product_masterlist(ifs)'!C:C,"N/A",0)</f>
        <v>Frames</v>
      </c>
      <c r="K619">
        <f>VLOOKUP(C619,'product_masterlist(ifs)'!A:I,7,FALSE)</f>
        <v>180</v>
      </c>
    </row>
    <row r="620" spans="1:11" x14ac:dyDescent="0.35">
      <c r="A620" t="s">
        <v>868</v>
      </c>
      <c r="B620" t="s">
        <v>192</v>
      </c>
      <c r="C620" t="s">
        <v>11</v>
      </c>
      <c r="D620">
        <v>25</v>
      </c>
      <c r="E620" t="s">
        <v>12</v>
      </c>
      <c r="F620" t="s">
        <v>23</v>
      </c>
      <c r="G620">
        <v>2125</v>
      </c>
      <c r="H620">
        <v>30</v>
      </c>
      <c r="I620" t="s">
        <v>14</v>
      </c>
      <c r="J620" t="str">
        <f>_xlfn.XLOOKUP(C620,'product_masterlist(ifs)'!A:A,'product_masterlist(ifs)'!C:C,"N/A",0)</f>
        <v>Surgical</v>
      </c>
      <c r="K620">
        <f>VLOOKUP(C620,'product_masterlist(ifs)'!A:I,7,FALSE)</f>
        <v>40</v>
      </c>
    </row>
    <row r="621" spans="1:11" x14ac:dyDescent="0.35">
      <c r="A621" t="s">
        <v>869</v>
      </c>
      <c r="B621" s="1">
        <v>45935</v>
      </c>
      <c r="C621" t="s">
        <v>33</v>
      </c>
      <c r="D621">
        <v>25</v>
      </c>
      <c r="E621" t="s">
        <v>22</v>
      </c>
      <c r="F621" t="s">
        <v>31</v>
      </c>
      <c r="G621">
        <v>3750</v>
      </c>
      <c r="H621">
        <v>45</v>
      </c>
      <c r="I621" t="s">
        <v>34</v>
      </c>
      <c r="J621" t="str">
        <f>_xlfn.XLOOKUP(C621,'product_masterlist(ifs)'!A:A,'product_masterlist(ifs)'!C:C,"N/A",0)</f>
        <v>Surgical</v>
      </c>
      <c r="K621">
        <f>VLOOKUP(C621,'product_masterlist(ifs)'!A:I,7,FALSE)</f>
        <v>15</v>
      </c>
    </row>
    <row r="622" spans="1:11" x14ac:dyDescent="0.35">
      <c r="A622" t="s">
        <v>870</v>
      </c>
      <c r="B622" t="s">
        <v>871</v>
      </c>
      <c r="C622" t="s">
        <v>26</v>
      </c>
      <c r="D622">
        <v>15</v>
      </c>
      <c r="E622" t="s">
        <v>12</v>
      </c>
      <c r="F622" t="s">
        <v>13</v>
      </c>
      <c r="G622" t="s">
        <v>513</v>
      </c>
      <c r="H622">
        <v>14</v>
      </c>
      <c r="I622" t="s">
        <v>28</v>
      </c>
      <c r="J622" t="str">
        <f>_xlfn.XLOOKUP(C622,'product_masterlist(ifs)'!A:A,'product_masterlist(ifs)'!C:C,"N/A",0)</f>
        <v>Contact Lenses</v>
      </c>
      <c r="K622">
        <f>VLOOKUP(C622,'product_masterlist(ifs)'!A:I,7,FALSE)</f>
        <v>450</v>
      </c>
    </row>
    <row r="623" spans="1:11" x14ac:dyDescent="0.35">
      <c r="A623" t="s">
        <v>872</v>
      </c>
      <c r="B623" t="s">
        <v>194</v>
      </c>
      <c r="C623" t="s">
        <v>17</v>
      </c>
      <c r="D623">
        <v>4</v>
      </c>
      <c r="E623" t="s">
        <v>22</v>
      </c>
      <c r="F623" t="s">
        <v>13</v>
      </c>
      <c r="G623">
        <v>180</v>
      </c>
      <c r="H623">
        <v>30</v>
      </c>
      <c r="I623" t="s">
        <v>14</v>
      </c>
      <c r="J623" t="str">
        <f>_xlfn.XLOOKUP(C623,'product_masterlist(ifs)'!A:A,'product_masterlist(ifs)'!C:C,"N/A",0)</f>
        <v>Frames</v>
      </c>
      <c r="K623">
        <f>VLOOKUP(C623,'product_masterlist(ifs)'!A:I,7,FALSE)</f>
        <v>45</v>
      </c>
    </row>
    <row r="624" spans="1:11" x14ac:dyDescent="0.35">
      <c r="A624" t="s">
        <v>873</v>
      </c>
      <c r="B624" t="s">
        <v>46</v>
      </c>
      <c r="C624" t="s">
        <v>90</v>
      </c>
      <c r="D624">
        <v>8</v>
      </c>
      <c r="E624" t="s">
        <v>12</v>
      </c>
      <c r="F624" t="s">
        <v>18</v>
      </c>
      <c r="G624">
        <v>388</v>
      </c>
      <c r="H624">
        <v>30</v>
      </c>
      <c r="I624" t="s">
        <v>14</v>
      </c>
      <c r="J624" t="str">
        <f>_xlfn.XLOOKUP(C624,'product_masterlist(ifs)'!A:A,'product_masterlist(ifs)'!C:C,"N/A",0)</f>
        <v>Frames</v>
      </c>
      <c r="K624">
        <f>VLOOKUP(C624,'product_masterlist(ifs)'!A:I,7,FALSE)</f>
        <v>180</v>
      </c>
    </row>
    <row r="625" spans="1:11" x14ac:dyDescent="0.35">
      <c r="A625" t="s">
        <v>874</v>
      </c>
      <c r="B625" t="s">
        <v>763</v>
      </c>
      <c r="C625" t="s">
        <v>90</v>
      </c>
      <c r="D625">
        <v>2</v>
      </c>
      <c r="E625" t="s">
        <v>20</v>
      </c>
      <c r="F625" t="s">
        <v>18</v>
      </c>
      <c r="G625">
        <v>97</v>
      </c>
      <c r="H625">
        <v>30</v>
      </c>
      <c r="I625" t="s">
        <v>14</v>
      </c>
      <c r="J625" t="str">
        <f>_xlfn.XLOOKUP(C625,'product_masterlist(ifs)'!A:A,'product_masterlist(ifs)'!C:C,"N/A",0)</f>
        <v>Frames</v>
      </c>
      <c r="K625">
        <f>VLOOKUP(C625,'product_masterlist(ifs)'!A:I,7,FALSE)</f>
        <v>180</v>
      </c>
    </row>
    <row r="626" spans="1:11" x14ac:dyDescent="0.35">
      <c r="A626" t="s">
        <v>875</v>
      </c>
      <c r="B626" t="s">
        <v>802</v>
      </c>
      <c r="C626" t="s">
        <v>53</v>
      </c>
      <c r="D626">
        <v>25</v>
      </c>
      <c r="E626" t="s">
        <v>22</v>
      </c>
      <c r="F626" t="s">
        <v>13</v>
      </c>
      <c r="G626" t="s">
        <v>304</v>
      </c>
      <c r="H626">
        <v>7</v>
      </c>
      <c r="I626" t="s">
        <v>28</v>
      </c>
      <c r="J626" t="str">
        <f>_xlfn.XLOOKUP(C626,'product_masterlist(ifs)'!A:A,'product_masterlist(ifs)'!C:C,"N/A",0)</f>
        <v>Solutions</v>
      </c>
      <c r="K626">
        <f>VLOOKUP(C626,'product_masterlist(ifs)'!A:I,7,FALSE)</f>
        <v>800</v>
      </c>
    </row>
    <row r="627" spans="1:11" x14ac:dyDescent="0.35">
      <c r="A627" t="s">
        <v>876</v>
      </c>
      <c r="B627" s="1">
        <v>45748</v>
      </c>
      <c r="C627" t="s">
        <v>90</v>
      </c>
      <c r="D627">
        <v>3</v>
      </c>
      <c r="E627" t="s">
        <v>22</v>
      </c>
      <c r="F627" t="s">
        <v>18</v>
      </c>
      <c r="G627" t="s">
        <v>375</v>
      </c>
      <c r="H627">
        <v>30</v>
      </c>
      <c r="I627" t="s">
        <v>14</v>
      </c>
      <c r="J627" t="str">
        <f>_xlfn.XLOOKUP(C627,'product_masterlist(ifs)'!A:A,'product_masterlist(ifs)'!C:C,"N/A",0)</f>
        <v>Frames</v>
      </c>
      <c r="K627">
        <f>VLOOKUP(C627,'product_masterlist(ifs)'!A:I,7,FALSE)</f>
        <v>180</v>
      </c>
    </row>
    <row r="628" spans="1:11" x14ac:dyDescent="0.35">
      <c r="A628" t="s">
        <v>877</v>
      </c>
      <c r="B628" t="s">
        <v>224</v>
      </c>
      <c r="C628" t="s">
        <v>33</v>
      </c>
      <c r="D628">
        <v>21</v>
      </c>
      <c r="E628" t="s">
        <v>37</v>
      </c>
      <c r="F628" t="s">
        <v>13</v>
      </c>
      <c r="G628">
        <v>3150</v>
      </c>
      <c r="H628">
        <v>45</v>
      </c>
      <c r="I628" t="s">
        <v>34</v>
      </c>
      <c r="J628" t="str">
        <f>_xlfn.XLOOKUP(C628,'product_masterlist(ifs)'!A:A,'product_masterlist(ifs)'!C:C,"N/A",0)</f>
        <v>Surgical</v>
      </c>
      <c r="K628">
        <f>VLOOKUP(C628,'product_masterlist(ifs)'!A:I,7,FALSE)</f>
        <v>15</v>
      </c>
    </row>
    <row r="629" spans="1:11" x14ac:dyDescent="0.35">
      <c r="A629" t="s">
        <v>878</v>
      </c>
      <c r="B629" s="1">
        <v>45875</v>
      </c>
      <c r="C629" t="s">
        <v>17</v>
      </c>
      <c r="D629">
        <v>23</v>
      </c>
      <c r="E629" t="s">
        <v>37</v>
      </c>
      <c r="F629" t="s">
        <v>31</v>
      </c>
      <c r="G629">
        <v>1035</v>
      </c>
      <c r="H629">
        <v>30</v>
      </c>
      <c r="I629" t="s">
        <v>14</v>
      </c>
      <c r="J629" t="str">
        <f>_xlfn.XLOOKUP(C629,'product_masterlist(ifs)'!A:A,'product_masterlist(ifs)'!C:C,"N/A",0)</f>
        <v>Frames</v>
      </c>
      <c r="K629">
        <f>VLOOKUP(C629,'product_masterlist(ifs)'!A:I,7,FALSE)</f>
        <v>45</v>
      </c>
    </row>
    <row r="630" spans="1:11" x14ac:dyDescent="0.35">
      <c r="A630" t="s">
        <v>879</v>
      </c>
      <c r="B630" t="s">
        <v>277</v>
      </c>
      <c r="C630" t="s">
        <v>33</v>
      </c>
      <c r="D630">
        <v>6</v>
      </c>
      <c r="E630" t="s">
        <v>20</v>
      </c>
      <c r="F630" t="s">
        <v>18</v>
      </c>
      <c r="G630">
        <v>900</v>
      </c>
      <c r="H630">
        <v>45</v>
      </c>
      <c r="I630" t="s">
        <v>34</v>
      </c>
      <c r="J630" t="str">
        <f>_xlfn.XLOOKUP(C630,'product_masterlist(ifs)'!A:A,'product_masterlist(ifs)'!C:C,"N/A",0)</f>
        <v>Surgical</v>
      </c>
      <c r="K630">
        <f>VLOOKUP(C630,'product_masterlist(ifs)'!A:I,7,FALSE)</f>
        <v>15</v>
      </c>
    </row>
    <row r="631" spans="1:11" x14ac:dyDescent="0.35">
      <c r="A631" t="s">
        <v>880</v>
      </c>
      <c r="B631" t="s">
        <v>448</v>
      </c>
      <c r="C631" t="s">
        <v>11</v>
      </c>
      <c r="D631">
        <v>16</v>
      </c>
      <c r="E631" t="s">
        <v>37</v>
      </c>
      <c r="F631" t="s">
        <v>13</v>
      </c>
      <c r="G631">
        <v>1360</v>
      </c>
      <c r="H631">
        <v>30</v>
      </c>
      <c r="I631" t="s">
        <v>14</v>
      </c>
      <c r="J631" t="str">
        <f>_xlfn.XLOOKUP(C631,'product_masterlist(ifs)'!A:A,'product_masterlist(ifs)'!C:C,"N/A",0)</f>
        <v>Surgical</v>
      </c>
      <c r="K631">
        <f>VLOOKUP(C631,'product_masterlist(ifs)'!A:I,7,FALSE)</f>
        <v>40</v>
      </c>
    </row>
    <row r="632" spans="1:11" x14ac:dyDescent="0.35">
      <c r="A632" t="s">
        <v>881</v>
      </c>
      <c r="B632" t="s">
        <v>704</v>
      </c>
      <c r="C632" t="s">
        <v>42</v>
      </c>
      <c r="D632">
        <v>16</v>
      </c>
      <c r="E632" t="s">
        <v>22</v>
      </c>
      <c r="F632" t="s">
        <v>23</v>
      </c>
      <c r="G632">
        <v>400</v>
      </c>
      <c r="H632">
        <v>21</v>
      </c>
      <c r="I632" t="s">
        <v>14</v>
      </c>
      <c r="J632" t="str">
        <f>_xlfn.XLOOKUP(C632,'product_masterlist(ifs)'!A:A,'product_masterlist(ifs)'!C:C,"N/A",0)</f>
        <v>Contact Lenses</v>
      </c>
      <c r="K632">
        <f>VLOOKUP(C632,'product_masterlist(ifs)'!A:I,7,FALSE)</f>
        <v>120</v>
      </c>
    </row>
    <row r="633" spans="1:11" x14ac:dyDescent="0.35">
      <c r="A633" t="s">
        <v>882</v>
      </c>
      <c r="B633" t="s">
        <v>323</v>
      </c>
      <c r="C633" t="s">
        <v>33</v>
      </c>
      <c r="D633">
        <v>4</v>
      </c>
      <c r="E633" t="s">
        <v>20</v>
      </c>
      <c r="F633" t="s">
        <v>13</v>
      </c>
      <c r="G633">
        <v>600</v>
      </c>
      <c r="H633">
        <v>45</v>
      </c>
      <c r="I633" t="s">
        <v>34</v>
      </c>
      <c r="J633" t="str">
        <f>_xlfn.XLOOKUP(C633,'product_masterlist(ifs)'!A:A,'product_masterlist(ifs)'!C:C,"N/A",0)</f>
        <v>Surgical</v>
      </c>
      <c r="K633">
        <f>VLOOKUP(C633,'product_masterlist(ifs)'!A:I,7,FALSE)</f>
        <v>15</v>
      </c>
    </row>
    <row r="634" spans="1:11" x14ac:dyDescent="0.35">
      <c r="A634" t="s">
        <v>883</v>
      </c>
      <c r="B634" t="s">
        <v>884</v>
      </c>
      <c r="C634" t="s">
        <v>53</v>
      </c>
      <c r="D634">
        <v>17</v>
      </c>
      <c r="E634" t="s">
        <v>37</v>
      </c>
      <c r="F634" t="s">
        <v>18</v>
      </c>
      <c r="G634" t="s">
        <v>698</v>
      </c>
      <c r="H634">
        <v>7</v>
      </c>
      <c r="I634" t="s">
        <v>28</v>
      </c>
      <c r="J634" t="str">
        <f>_xlfn.XLOOKUP(C634,'product_masterlist(ifs)'!A:A,'product_masterlist(ifs)'!C:C,"N/A",0)</f>
        <v>Solutions</v>
      </c>
      <c r="K634">
        <f>VLOOKUP(C634,'product_masterlist(ifs)'!A:I,7,FALSE)</f>
        <v>800</v>
      </c>
    </row>
    <row r="635" spans="1:11" x14ac:dyDescent="0.35">
      <c r="A635" t="s">
        <v>885</v>
      </c>
      <c r="B635" t="s">
        <v>770</v>
      </c>
      <c r="C635" t="s">
        <v>42</v>
      </c>
      <c r="D635">
        <v>14</v>
      </c>
      <c r="E635" t="s">
        <v>37</v>
      </c>
      <c r="F635" t="s">
        <v>31</v>
      </c>
      <c r="G635">
        <v>350</v>
      </c>
      <c r="H635">
        <v>21</v>
      </c>
      <c r="I635" t="s">
        <v>14</v>
      </c>
      <c r="J635" t="str">
        <f>_xlfn.XLOOKUP(C635,'product_masterlist(ifs)'!A:A,'product_masterlist(ifs)'!C:C,"N/A",0)</f>
        <v>Contact Lenses</v>
      </c>
      <c r="K635">
        <f>VLOOKUP(C635,'product_masterlist(ifs)'!A:I,7,FALSE)</f>
        <v>120</v>
      </c>
    </row>
    <row r="636" spans="1:11" x14ac:dyDescent="0.35">
      <c r="A636" t="s">
        <v>886</v>
      </c>
      <c r="B636" t="s">
        <v>205</v>
      </c>
      <c r="C636" t="s">
        <v>17</v>
      </c>
      <c r="D636">
        <v>22</v>
      </c>
      <c r="E636" t="s">
        <v>12</v>
      </c>
      <c r="F636" t="s">
        <v>18</v>
      </c>
      <c r="G636">
        <v>990</v>
      </c>
      <c r="H636">
        <v>30</v>
      </c>
      <c r="I636" t="s">
        <v>14</v>
      </c>
      <c r="J636" t="str">
        <f>_xlfn.XLOOKUP(C636,'product_masterlist(ifs)'!A:A,'product_masterlist(ifs)'!C:C,"N/A",0)</f>
        <v>Frames</v>
      </c>
      <c r="K636">
        <f>VLOOKUP(C636,'product_masterlist(ifs)'!A:I,7,FALSE)</f>
        <v>45</v>
      </c>
    </row>
    <row r="637" spans="1:11" x14ac:dyDescent="0.35">
      <c r="A637" t="s">
        <v>887</v>
      </c>
      <c r="B637" t="s">
        <v>888</v>
      </c>
      <c r="C637" t="s">
        <v>42</v>
      </c>
      <c r="D637">
        <v>25</v>
      </c>
      <c r="E637" t="s">
        <v>37</v>
      </c>
      <c r="F637" t="s">
        <v>23</v>
      </c>
      <c r="G637">
        <v>625</v>
      </c>
      <c r="H637">
        <v>21</v>
      </c>
      <c r="I637" t="s">
        <v>14</v>
      </c>
      <c r="J637" t="str">
        <f>_xlfn.XLOOKUP(C637,'product_masterlist(ifs)'!A:A,'product_masterlist(ifs)'!C:C,"N/A",0)</f>
        <v>Contact Lenses</v>
      </c>
      <c r="K637">
        <f>VLOOKUP(C637,'product_masterlist(ifs)'!A:I,7,FALSE)</f>
        <v>120</v>
      </c>
    </row>
    <row r="638" spans="1:11" x14ac:dyDescent="0.35">
      <c r="A638" t="s">
        <v>889</v>
      </c>
      <c r="B638" s="1">
        <v>45848</v>
      </c>
      <c r="C638" t="s">
        <v>26</v>
      </c>
      <c r="D638">
        <v>22</v>
      </c>
      <c r="E638" t="s">
        <v>37</v>
      </c>
      <c r="F638" t="s">
        <v>31</v>
      </c>
      <c r="G638">
        <v>275</v>
      </c>
      <c r="H638">
        <v>14</v>
      </c>
      <c r="I638" t="s">
        <v>28</v>
      </c>
      <c r="J638" t="str">
        <f>_xlfn.XLOOKUP(C638,'product_masterlist(ifs)'!A:A,'product_masterlist(ifs)'!C:C,"N/A",0)</f>
        <v>Contact Lenses</v>
      </c>
      <c r="K638">
        <f>VLOOKUP(C638,'product_masterlist(ifs)'!A:I,7,FALSE)</f>
        <v>450</v>
      </c>
    </row>
    <row r="639" spans="1:11" x14ac:dyDescent="0.35">
      <c r="A639" t="s">
        <v>890</v>
      </c>
      <c r="B639" t="s">
        <v>891</v>
      </c>
      <c r="C639" t="s">
        <v>53</v>
      </c>
      <c r="D639">
        <v>11</v>
      </c>
      <c r="E639" t="s">
        <v>37</v>
      </c>
      <c r="F639" t="s">
        <v>13</v>
      </c>
      <c r="G639" t="s">
        <v>240</v>
      </c>
      <c r="H639">
        <v>7</v>
      </c>
      <c r="I639" t="s">
        <v>28</v>
      </c>
      <c r="J639" t="str">
        <f>_xlfn.XLOOKUP(C639,'product_masterlist(ifs)'!A:A,'product_masterlist(ifs)'!C:C,"N/A",0)</f>
        <v>Solutions</v>
      </c>
      <c r="K639">
        <f>VLOOKUP(C639,'product_masterlist(ifs)'!A:I,7,FALSE)</f>
        <v>800</v>
      </c>
    </row>
    <row r="640" spans="1:11" x14ac:dyDescent="0.35">
      <c r="A640" t="s">
        <v>892</v>
      </c>
      <c r="B640" t="s">
        <v>499</v>
      </c>
      <c r="C640" t="s">
        <v>17</v>
      </c>
      <c r="D640">
        <v>18</v>
      </c>
      <c r="E640" t="s">
        <v>20</v>
      </c>
      <c r="F640" t="s">
        <v>23</v>
      </c>
      <c r="G640">
        <v>810</v>
      </c>
      <c r="H640">
        <v>30</v>
      </c>
      <c r="I640" t="s">
        <v>14</v>
      </c>
      <c r="J640" t="str">
        <f>_xlfn.XLOOKUP(C640,'product_masterlist(ifs)'!A:A,'product_masterlist(ifs)'!C:C,"N/A",0)</f>
        <v>Frames</v>
      </c>
      <c r="K640">
        <f>VLOOKUP(C640,'product_masterlist(ifs)'!A:I,7,FALSE)</f>
        <v>45</v>
      </c>
    </row>
    <row r="641" spans="1:11" x14ac:dyDescent="0.35">
      <c r="A641" t="s">
        <v>893</v>
      </c>
      <c r="B641" s="1">
        <v>45718</v>
      </c>
      <c r="C641" t="s">
        <v>42</v>
      </c>
      <c r="D641">
        <v>5</v>
      </c>
      <c r="E641" t="s">
        <v>12</v>
      </c>
      <c r="F641" t="s">
        <v>18</v>
      </c>
      <c r="G641">
        <v>125</v>
      </c>
      <c r="H641">
        <v>21</v>
      </c>
      <c r="I641" t="s">
        <v>14</v>
      </c>
      <c r="J641" t="str">
        <f>_xlfn.XLOOKUP(C641,'product_masterlist(ifs)'!A:A,'product_masterlist(ifs)'!C:C,"N/A",0)</f>
        <v>Contact Lenses</v>
      </c>
      <c r="K641">
        <f>VLOOKUP(C641,'product_masterlist(ifs)'!A:I,7,FALSE)</f>
        <v>120</v>
      </c>
    </row>
    <row r="642" spans="1:11" x14ac:dyDescent="0.35">
      <c r="A642" t="s">
        <v>894</v>
      </c>
      <c r="B642" t="s">
        <v>895</v>
      </c>
      <c r="C642" t="s">
        <v>33</v>
      </c>
      <c r="D642">
        <v>22</v>
      </c>
      <c r="E642" t="s">
        <v>12</v>
      </c>
      <c r="F642" t="s">
        <v>18</v>
      </c>
      <c r="G642">
        <v>3300</v>
      </c>
      <c r="H642">
        <v>45</v>
      </c>
      <c r="I642" t="s">
        <v>34</v>
      </c>
      <c r="J642" t="str">
        <f>_xlfn.XLOOKUP(C642,'product_masterlist(ifs)'!A:A,'product_masterlist(ifs)'!C:C,"N/A",0)</f>
        <v>Surgical</v>
      </c>
      <c r="K642">
        <f>VLOOKUP(C642,'product_masterlist(ifs)'!A:I,7,FALSE)</f>
        <v>15</v>
      </c>
    </row>
    <row r="643" spans="1:11" x14ac:dyDescent="0.35">
      <c r="A643" t="s">
        <v>896</v>
      </c>
      <c r="B643" t="s">
        <v>651</v>
      </c>
      <c r="C643" t="s">
        <v>53</v>
      </c>
      <c r="D643">
        <v>3</v>
      </c>
      <c r="E643" t="s">
        <v>20</v>
      </c>
      <c r="F643" t="s">
        <v>23</v>
      </c>
      <c r="G643" t="s">
        <v>278</v>
      </c>
      <c r="H643">
        <v>7</v>
      </c>
      <c r="I643" t="s">
        <v>28</v>
      </c>
      <c r="J643" t="str">
        <f>_xlfn.XLOOKUP(C643,'product_masterlist(ifs)'!A:A,'product_masterlist(ifs)'!C:C,"N/A",0)</f>
        <v>Solutions</v>
      </c>
      <c r="K643">
        <f>VLOOKUP(C643,'product_masterlist(ifs)'!A:I,7,FALSE)</f>
        <v>800</v>
      </c>
    </row>
    <row r="644" spans="1:11" x14ac:dyDescent="0.35">
      <c r="A644" t="s">
        <v>897</v>
      </c>
      <c r="B644" t="s">
        <v>205</v>
      </c>
      <c r="C644" t="s">
        <v>53</v>
      </c>
      <c r="D644">
        <v>16</v>
      </c>
      <c r="E644" t="s">
        <v>12</v>
      </c>
      <c r="F644" t="s">
        <v>23</v>
      </c>
      <c r="G644">
        <v>68</v>
      </c>
      <c r="H644">
        <v>7</v>
      </c>
      <c r="I644" t="s">
        <v>28</v>
      </c>
      <c r="J644" t="str">
        <f>_xlfn.XLOOKUP(C644,'product_masterlist(ifs)'!A:A,'product_masterlist(ifs)'!C:C,"N/A",0)</f>
        <v>Solutions</v>
      </c>
      <c r="K644">
        <f>VLOOKUP(C644,'product_masterlist(ifs)'!A:I,7,FALSE)</f>
        <v>800</v>
      </c>
    </row>
    <row r="645" spans="1:11" x14ac:dyDescent="0.35">
      <c r="A645" t="s">
        <v>898</v>
      </c>
      <c r="B645" t="s">
        <v>797</v>
      </c>
      <c r="C645" t="s">
        <v>53</v>
      </c>
      <c r="D645">
        <v>9</v>
      </c>
      <c r="E645" t="s">
        <v>12</v>
      </c>
      <c r="F645" t="s">
        <v>13</v>
      </c>
      <c r="G645" t="s">
        <v>75</v>
      </c>
      <c r="H645">
        <v>7</v>
      </c>
      <c r="I645" t="s">
        <v>28</v>
      </c>
      <c r="J645" t="str">
        <f>_xlfn.XLOOKUP(C645,'product_masterlist(ifs)'!A:A,'product_masterlist(ifs)'!C:C,"N/A",0)</f>
        <v>Solutions</v>
      </c>
      <c r="K645">
        <f>VLOOKUP(C645,'product_masterlist(ifs)'!A:I,7,FALSE)</f>
        <v>800</v>
      </c>
    </row>
    <row r="646" spans="1:11" x14ac:dyDescent="0.35">
      <c r="A646" t="s">
        <v>899</v>
      </c>
      <c r="B646" t="s">
        <v>317</v>
      </c>
      <c r="C646" t="s">
        <v>17</v>
      </c>
      <c r="D646">
        <v>19</v>
      </c>
      <c r="E646" t="s">
        <v>12</v>
      </c>
      <c r="F646" t="s">
        <v>31</v>
      </c>
      <c r="G646">
        <v>855</v>
      </c>
      <c r="H646">
        <v>30</v>
      </c>
      <c r="I646" t="s">
        <v>14</v>
      </c>
      <c r="J646" t="str">
        <f>_xlfn.XLOOKUP(C646,'product_masterlist(ifs)'!A:A,'product_masterlist(ifs)'!C:C,"N/A",0)</f>
        <v>Frames</v>
      </c>
      <c r="K646">
        <f>VLOOKUP(C646,'product_masterlist(ifs)'!A:I,7,FALSE)</f>
        <v>45</v>
      </c>
    </row>
    <row r="647" spans="1:11" x14ac:dyDescent="0.35">
      <c r="A647" t="s">
        <v>900</v>
      </c>
      <c r="B647" t="s">
        <v>901</v>
      </c>
      <c r="C647" t="s">
        <v>26</v>
      </c>
      <c r="D647">
        <v>25</v>
      </c>
      <c r="E647" t="s">
        <v>12</v>
      </c>
      <c r="F647" t="s">
        <v>13</v>
      </c>
      <c r="G647" t="s">
        <v>285</v>
      </c>
      <c r="H647">
        <v>14</v>
      </c>
      <c r="I647" t="s">
        <v>28</v>
      </c>
      <c r="J647" t="str">
        <f>_xlfn.XLOOKUP(C647,'product_masterlist(ifs)'!A:A,'product_masterlist(ifs)'!C:C,"N/A",0)</f>
        <v>Contact Lenses</v>
      </c>
      <c r="K647">
        <f>VLOOKUP(C647,'product_masterlist(ifs)'!A:I,7,FALSE)</f>
        <v>450</v>
      </c>
    </row>
    <row r="648" spans="1:11" x14ac:dyDescent="0.35">
      <c r="A648" t="s">
        <v>902</v>
      </c>
      <c r="B648" t="s">
        <v>393</v>
      </c>
      <c r="C648" t="s">
        <v>11</v>
      </c>
      <c r="D648">
        <v>14</v>
      </c>
      <c r="E648" t="s">
        <v>12</v>
      </c>
      <c r="F648" t="s">
        <v>31</v>
      </c>
      <c r="G648">
        <v>1190</v>
      </c>
      <c r="H648">
        <v>30</v>
      </c>
      <c r="I648" t="s">
        <v>14</v>
      </c>
      <c r="J648" t="str">
        <f>_xlfn.XLOOKUP(C648,'product_masterlist(ifs)'!A:A,'product_masterlist(ifs)'!C:C,"N/A",0)</f>
        <v>Surgical</v>
      </c>
      <c r="K648">
        <f>VLOOKUP(C648,'product_masterlist(ifs)'!A:I,7,FALSE)</f>
        <v>40</v>
      </c>
    </row>
    <row r="649" spans="1:11" x14ac:dyDescent="0.35">
      <c r="A649" t="s">
        <v>903</v>
      </c>
      <c r="B649" t="s">
        <v>591</v>
      </c>
      <c r="C649" t="s">
        <v>11</v>
      </c>
      <c r="D649">
        <v>20</v>
      </c>
      <c r="E649" t="s">
        <v>20</v>
      </c>
      <c r="F649" t="s">
        <v>23</v>
      </c>
      <c r="G649">
        <v>1700</v>
      </c>
      <c r="H649">
        <v>30</v>
      </c>
      <c r="I649" t="s">
        <v>14</v>
      </c>
      <c r="J649" t="str">
        <f>_xlfn.XLOOKUP(C649,'product_masterlist(ifs)'!A:A,'product_masterlist(ifs)'!C:C,"N/A",0)</f>
        <v>Surgical</v>
      </c>
      <c r="K649">
        <f>VLOOKUP(C649,'product_masterlist(ifs)'!A:I,7,FALSE)</f>
        <v>40</v>
      </c>
    </row>
    <row r="650" spans="1:11" x14ac:dyDescent="0.35">
      <c r="A650" t="s">
        <v>904</v>
      </c>
      <c r="B650" s="1">
        <v>45659</v>
      </c>
      <c r="C650" t="s">
        <v>11</v>
      </c>
      <c r="D650">
        <v>11</v>
      </c>
      <c r="E650" t="s">
        <v>22</v>
      </c>
      <c r="F650" t="s">
        <v>18</v>
      </c>
      <c r="G650">
        <v>935</v>
      </c>
      <c r="H650">
        <v>30</v>
      </c>
      <c r="I650" t="s">
        <v>14</v>
      </c>
      <c r="J650" t="str">
        <f>_xlfn.XLOOKUP(C650,'product_masterlist(ifs)'!A:A,'product_masterlist(ifs)'!C:C,"N/A",0)</f>
        <v>Surgical</v>
      </c>
      <c r="K650">
        <f>VLOOKUP(C650,'product_masterlist(ifs)'!A:I,7,FALSE)</f>
        <v>40</v>
      </c>
    </row>
    <row r="651" spans="1:11" x14ac:dyDescent="0.35">
      <c r="A651" t="s">
        <v>905</v>
      </c>
      <c r="B651" t="s">
        <v>744</v>
      </c>
      <c r="C651" t="s">
        <v>42</v>
      </c>
      <c r="D651">
        <v>9</v>
      </c>
      <c r="E651" t="s">
        <v>20</v>
      </c>
      <c r="F651" t="s">
        <v>13</v>
      </c>
      <c r="G651">
        <v>225</v>
      </c>
      <c r="H651">
        <v>21</v>
      </c>
      <c r="I651" t="s">
        <v>14</v>
      </c>
      <c r="J651" t="str">
        <f>_xlfn.XLOOKUP(C651,'product_masterlist(ifs)'!A:A,'product_masterlist(ifs)'!C:C,"N/A",0)</f>
        <v>Contact Lenses</v>
      </c>
      <c r="K651">
        <f>VLOOKUP(C651,'product_masterlist(ifs)'!A:I,7,FALSE)</f>
        <v>120</v>
      </c>
    </row>
    <row r="652" spans="1:11" x14ac:dyDescent="0.35">
      <c r="A652" t="s">
        <v>906</v>
      </c>
      <c r="B652" t="s">
        <v>485</v>
      </c>
      <c r="C652" t="s">
        <v>53</v>
      </c>
      <c r="D652">
        <v>23</v>
      </c>
      <c r="E652" t="s">
        <v>22</v>
      </c>
      <c r="F652" t="s">
        <v>23</v>
      </c>
      <c r="G652" t="s">
        <v>576</v>
      </c>
      <c r="H652">
        <v>7</v>
      </c>
      <c r="I652" t="s">
        <v>28</v>
      </c>
      <c r="J652" t="str">
        <f>_xlfn.XLOOKUP(C652,'product_masterlist(ifs)'!A:A,'product_masterlist(ifs)'!C:C,"N/A",0)</f>
        <v>Solutions</v>
      </c>
      <c r="K652">
        <f>VLOOKUP(C652,'product_masterlist(ifs)'!A:I,7,FALSE)</f>
        <v>800</v>
      </c>
    </row>
    <row r="653" spans="1:11" x14ac:dyDescent="0.35">
      <c r="A653" t="s">
        <v>907</v>
      </c>
      <c r="B653" t="s">
        <v>895</v>
      </c>
      <c r="C653" t="s">
        <v>42</v>
      </c>
      <c r="D653">
        <v>22</v>
      </c>
      <c r="E653" t="s">
        <v>22</v>
      </c>
      <c r="F653" t="s">
        <v>31</v>
      </c>
      <c r="G653">
        <v>550</v>
      </c>
      <c r="H653">
        <v>21</v>
      </c>
      <c r="I653" t="s">
        <v>14</v>
      </c>
      <c r="J653" t="str">
        <f>_xlfn.XLOOKUP(C653,'product_masterlist(ifs)'!A:A,'product_masterlist(ifs)'!C:C,"N/A",0)</f>
        <v>Contact Lenses</v>
      </c>
      <c r="K653">
        <f>VLOOKUP(C653,'product_masterlist(ifs)'!A:I,7,FALSE)</f>
        <v>120</v>
      </c>
    </row>
    <row r="654" spans="1:11" x14ac:dyDescent="0.35">
      <c r="A654" t="s">
        <v>908</v>
      </c>
      <c r="B654" s="1">
        <v>45994</v>
      </c>
      <c r="C654" t="s">
        <v>26</v>
      </c>
      <c r="D654">
        <v>9</v>
      </c>
      <c r="E654" t="s">
        <v>12</v>
      </c>
      <c r="F654" t="s">
        <v>31</v>
      </c>
      <c r="G654" t="s">
        <v>170</v>
      </c>
      <c r="H654">
        <v>14</v>
      </c>
      <c r="I654" t="s">
        <v>28</v>
      </c>
      <c r="J654" t="str">
        <f>_xlfn.XLOOKUP(C654,'product_masterlist(ifs)'!A:A,'product_masterlist(ifs)'!C:C,"N/A",0)</f>
        <v>Contact Lenses</v>
      </c>
      <c r="K654">
        <f>VLOOKUP(C654,'product_masterlist(ifs)'!A:I,7,FALSE)</f>
        <v>450</v>
      </c>
    </row>
    <row r="655" spans="1:11" x14ac:dyDescent="0.35">
      <c r="A655" t="s">
        <v>909</v>
      </c>
      <c r="B655" t="s">
        <v>224</v>
      </c>
      <c r="C655" t="s">
        <v>26</v>
      </c>
      <c r="D655">
        <v>20</v>
      </c>
      <c r="E655" t="s">
        <v>22</v>
      </c>
      <c r="F655" t="s">
        <v>18</v>
      </c>
      <c r="G655">
        <v>250</v>
      </c>
      <c r="H655">
        <v>14</v>
      </c>
      <c r="I655" t="s">
        <v>28</v>
      </c>
      <c r="J655" t="str">
        <f>_xlfn.XLOOKUP(C655,'product_masterlist(ifs)'!A:A,'product_masterlist(ifs)'!C:C,"N/A",0)</f>
        <v>Contact Lenses</v>
      </c>
      <c r="K655">
        <f>VLOOKUP(C655,'product_masterlist(ifs)'!A:I,7,FALSE)</f>
        <v>450</v>
      </c>
    </row>
    <row r="656" spans="1:11" x14ac:dyDescent="0.35">
      <c r="A656" t="s">
        <v>910</v>
      </c>
      <c r="B656" t="s">
        <v>277</v>
      </c>
      <c r="C656" t="s">
        <v>90</v>
      </c>
      <c r="D656">
        <v>12</v>
      </c>
      <c r="E656" t="s">
        <v>20</v>
      </c>
      <c r="F656" t="s">
        <v>18</v>
      </c>
      <c r="G656">
        <v>582</v>
      </c>
      <c r="H656">
        <v>30</v>
      </c>
      <c r="I656" t="s">
        <v>14</v>
      </c>
      <c r="J656" t="str">
        <f>_xlfn.XLOOKUP(C656,'product_masterlist(ifs)'!A:A,'product_masterlist(ifs)'!C:C,"N/A",0)</f>
        <v>Frames</v>
      </c>
      <c r="K656">
        <f>VLOOKUP(C656,'product_masterlist(ifs)'!A:I,7,FALSE)</f>
        <v>180</v>
      </c>
    </row>
    <row r="657" spans="1:11" x14ac:dyDescent="0.35">
      <c r="A657" t="s">
        <v>911</v>
      </c>
      <c r="B657" s="1">
        <v>45757</v>
      </c>
      <c r="C657" t="s">
        <v>11</v>
      </c>
      <c r="D657">
        <v>18</v>
      </c>
      <c r="E657" t="s">
        <v>37</v>
      </c>
      <c r="F657" t="s">
        <v>23</v>
      </c>
      <c r="G657">
        <v>1530</v>
      </c>
      <c r="H657">
        <v>30</v>
      </c>
      <c r="I657" t="s">
        <v>14</v>
      </c>
      <c r="J657" t="str">
        <f>_xlfn.XLOOKUP(C657,'product_masterlist(ifs)'!A:A,'product_masterlist(ifs)'!C:C,"N/A",0)</f>
        <v>Surgical</v>
      </c>
      <c r="K657">
        <f>VLOOKUP(C657,'product_masterlist(ifs)'!A:I,7,FALSE)</f>
        <v>40</v>
      </c>
    </row>
    <row r="658" spans="1:11" x14ac:dyDescent="0.35">
      <c r="A658" t="s">
        <v>912</v>
      </c>
      <c r="B658" s="1">
        <v>45904</v>
      </c>
      <c r="C658" t="s">
        <v>53</v>
      </c>
      <c r="D658">
        <v>16</v>
      </c>
      <c r="E658" t="s">
        <v>12</v>
      </c>
      <c r="F658" t="s">
        <v>31</v>
      </c>
      <c r="G658">
        <v>68</v>
      </c>
      <c r="H658">
        <v>7</v>
      </c>
      <c r="I658" t="s">
        <v>28</v>
      </c>
      <c r="J658" t="str">
        <f>_xlfn.XLOOKUP(C658,'product_masterlist(ifs)'!A:A,'product_masterlist(ifs)'!C:C,"N/A",0)</f>
        <v>Solutions</v>
      </c>
      <c r="K658">
        <f>VLOOKUP(C658,'product_masterlist(ifs)'!A:I,7,FALSE)</f>
        <v>800</v>
      </c>
    </row>
    <row r="659" spans="1:11" x14ac:dyDescent="0.35">
      <c r="A659" t="s">
        <v>913</v>
      </c>
      <c r="B659" s="1">
        <v>45938</v>
      </c>
      <c r="C659" t="s">
        <v>53</v>
      </c>
      <c r="D659">
        <v>2</v>
      </c>
      <c r="E659" t="s">
        <v>22</v>
      </c>
      <c r="F659" t="s">
        <v>23</v>
      </c>
      <c r="G659" t="s">
        <v>291</v>
      </c>
      <c r="H659">
        <v>7</v>
      </c>
      <c r="I659" t="s">
        <v>28</v>
      </c>
      <c r="J659" t="str">
        <f>_xlfn.XLOOKUP(C659,'product_masterlist(ifs)'!A:A,'product_masterlist(ifs)'!C:C,"N/A",0)</f>
        <v>Solutions</v>
      </c>
      <c r="K659">
        <f>VLOOKUP(C659,'product_masterlist(ifs)'!A:I,7,FALSE)</f>
        <v>800</v>
      </c>
    </row>
    <row r="660" spans="1:11" x14ac:dyDescent="0.35">
      <c r="A660" t="s">
        <v>914</v>
      </c>
      <c r="B660" t="s">
        <v>350</v>
      </c>
      <c r="C660" t="s">
        <v>17</v>
      </c>
      <c r="D660">
        <v>23</v>
      </c>
      <c r="E660" t="s">
        <v>12</v>
      </c>
      <c r="F660" t="s">
        <v>31</v>
      </c>
      <c r="G660">
        <v>1035</v>
      </c>
      <c r="H660">
        <v>30</v>
      </c>
      <c r="I660" t="s">
        <v>14</v>
      </c>
      <c r="J660" t="str">
        <f>_xlfn.XLOOKUP(C660,'product_masterlist(ifs)'!A:A,'product_masterlist(ifs)'!C:C,"N/A",0)</f>
        <v>Frames</v>
      </c>
      <c r="K660">
        <f>VLOOKUP(C660,'product_masterlist(ifs)'!A:I,7,FALSE)</f>
        <v>45</v>
      </c>
    </row>
    <row r="661" spans="1:11" x14ac:dyDescent="0.35">
      <c r="A661" t="s">
        <v>915</v>
      </c>
      <c r="B661" s="1">
        <v>45840</v>
      </c>
      <c r="C661" t="s">
        <v>42</v>
      </c>
      <c r="D661">
        <v>4</v>
      </c>
      <c r="E661" t="s">
        <v>37</v>
      </c>
      <c r="F661" t="s">
        <v>13</v>
      </c>
      <c r="G661">
        <v>100</v>
      </c>
      <c r="H661">
        <v>21</v>
      </c>
      <c r="I661" t="s">
        <v>14</v>
      </c>
      <c r="J661" t="str">
        <f>_xlfn.XLOOKUP(C661,'product_masterlist(ifs)'!A:A,'product_masterlist(ifs)'!C:C,"N/A",0)</f>
        <v>Contact Lenses</v>
      </c>
      <c r="K661">
        <f>VLOOKUP(C661,'product_masterlist(ifs)'!A:I,7,FALSE)</f>
        <v>120</v>
      </c>
    </row>
    <row r="662" spans="1:11" x14ac:dyDescent="0.35">
      <c r="A662" t="s">
        <v>916</v>
      </c>
      <c r="B662" t="s">
        <v>260</v>
      </c>
      <c r="C662" t="s">
        <v>11</v>
      </c>
      <c r="D662">
        <v>3</v>
      </c>
      <c r="E662" t="s">
        <v>20</v>
      </c>
      <c r="F662" t="s">
        <v>23</v>
      </c>
      <c r="G662">
        <v>255</v>
      </c>
      <c r="H662">
        <v>30</v>
      </c>
      <c r="I662" t="s">
        <v>14</v>
      </c>
      <c r="J662" t="str">
        <f>_xlfn.XLOOKUP(C662,'product_masterlist(ifs)'!A:A,'product_masterlist(ifs)'!C:C,"N/A",0)</f>
        <v>Surgical</v>
      </c>
      <c r="K662">
        <f>VLOOKUP(C662,'product_masterlist(ifs)'!A:I,7,FALSE)</f>
        <v>40</v>
      </c>
    </row>
    <row r="663" spans="1:11" x14ac:dyDescent="0.35">
      <c r="A663" t="s">
        <v>917</v>
      </c>
      <c r="B663" s="1">
        <v>45847</v>
      </c>
      <c r="C663" t="s">
        <v>53</v>
      </c>
      <c r="D663">
        <v>18</v>
      </c>
      <c r="E663" t="s">
        <v>20</v>
      </c>
      <c r="F663" t="s">
        <v>18</v>
      </c>
      <c r="G663" t="s">
        <v>336</v>
      </c>
      <c r="H663">
        <v>7</v>
      </c>
      <c r="I663" t="s">
        <v>28</v>
      </c>
      <c r="J663" t="str">
        <f>_xlfn.XLOOKUP(C663,'product_masterlist(ifs)'!A:A,'product_masterlist(ifs)'!C:C,"N/A",0)</f>
        <v>Solutions</v>
      </c>
      <c r="K663">
        <f>VLOOKUP(C663,'product_masterlist(ifs)'!A:I,7,FALSE)</f>
        <v>800</v>
      </c>
    </row>
    <row r="664" spans="1:11" x14ac:dyDescent="0.35">
      <c r="A664" t="s">
        <v>918</v>
      </c>
      <c r="B664" s="1">
        <v>45998</v>
      </c>
      <c r="C664" t="s">
        <v>26</v>
      </c>
      <c r="D664">
        <v>17</v>
      </c>
      <c r="E664" t="s">
        <v>12</v>
      </c>
      <c r="F664" t="s">
        <v>31</v>
      </c>
      <c r="G664" t="s">
        <v>152</v>
      </c>
      <c r="H664">
        <v>14</v>
      </c>
      <c r="I664" t="s">
        <v>28</v>
      </c>
      <c r="J664" t="str">
        <f>_xlfn.XLOOKUP(C664,'product_masterlist(ifs)'!A:A,'product_masterlist(ifs)'!C:C,"N/A",0)</f>
        <v>Contact Lenses</v>
      </c>
      <c r="K664">
        <f>VLOOKUP(C664,'product_masterlist(ifs)'!A:I,7,FALSE)</f>
        <v>450</v>
      </c>
    </row>
    <row r="665" spans="1:11" x14ac:dyDescent="0.35">
      <c r="A665" t="s">
        <v>919</v>
      </c>
      <c r="B665" t="s">
        <v>920</v>
      </c>
      <c r="C665" t="s">
        <v>42</v>
      </c>
      <c r="D665">
        <v>19</v>
      </c>
      <c r="E665" t="s">
        <v>12</v>
      </c>
      <c r="F665" t="s">
        <v>13</v>
      </c>
      <c r="G665">
        <v>475</v>
      </c>
      <c r="H665">
        <v>21</v>
      </c>
      <c r="I665" t="s">
        <v>14</v>
      </c>
      <c r="J665" t="str">
        <f>_xlfn.XLOOKUP(C665,'product_masterlist(ifs)'!A:A,'product_masterlist(ifs)'!C:C,"N/A",0)</f>
        <v>Contact Lenses</v>
      </c>
      <c r="K665">
        <f>VLOOKUP(C665,'product_masterlist(ifs)'!A:I,7,FALSE)</f>
        <v>120</v>
      </c>
    </row>
    <row r="666" spans="1:11" x14ac:dyDescent="0.35">
      <c r="A666" t="s">
        <v>921</v>
      </c>
      <c r="B666" t="s">
        <v>503</v>
      </c>
      <c r="C666" t="s">
        <v>53</v>
      </c>
      <c r="D666">
        <v>1</v>
      </c>
      <c r="E666" t="s">
        <v>22</v>
      </c>
      <c r="F666" t="s">
        <v>18</v>
      </c>
      <c r="G666" t="s">
        <v>372</v>
      </c>
      <c r="H666">
        <v>7</v>
      </c>
      <c r="I666" t="s">
        <v>28</v>
      </c>
      <c r="J666" t="str">
        <f>_xlfn.XLOOKUP(C666,'product_masterlist(ifs)'!A:A,'product_masterlist(ifs)'!C:C,"N/A",0)</f>
        <v>Solutions</v>
      </c>
      <c r="K666">
        <f>VLOOKUP(C666,'product_masterlist(ifs)'!A:I,7,FALSE)</f>
        <v>800</v>
      </c>
    </row>
    <row r="667" spans="1:11" x14ac:dyDescent="0.35">
      <c r="A667" t="s">
        <v>922</v>
      </c>
      <c r="B667" s="1">
        <v>45973</v>
      </c>
      <c r="C667" t="s">
        <v>90</v>
      </c>
      <c r="D667">
        <v>9</v>
      </c>
      <c r="E667" t="s">
        <v>20</v>
      </c>
      <c r="F667" t="s">
        <v>18</v>
      </c>
      <c r="G667" t="s">
        <v>91</v>
      </c>
      <c r="H667">
        <v>30</v>
      </c>
      <c r="I667" t="s">
        <v>14</v>
      </c>
      <c r="J667" t="str">
        <f>_xlfn.XLOOKUP(C667,'product_masterlist(ifs)'!A:A,'product_masterlist(ifs)'!C:C,"N/A",0)</f>
        <v>Frames</v>
      </c>
      <c r="K667">
        <f>VLOOKUP(C667,'product_masterlist(ifs)'!A:I,7,FALSE)</f>
        <v>180</v>
      </c>
    </row>
    <row r="668" spans="1:11" x14ac:dyDescent="0.35">
      <c r="A668" t="s">
        <v>923</v>
      </c>
      <c r="B668" t="s">
        <v>924</v>
      </c>
      <c r="C668" t="s">
        <v>26</v>
      </c>
      <c r="D668">
        <v>12</v>
      </c>
      <c r="E668" t="s">
        <v>37</v>
      </c>
      <c r="F668" t="s">
        <v>23</v>
      </c>
      <c r="G668">
        <v>150</v>
      </c>
      <c r="H668">
        <v>14</v>
      </c>
      <c r="I668" t="s">
        <v>28</v>
      </c>
      <c r="J668" t="str">
        <f>_xlfn.XLOOKUP(C668,'product_masterlist(ifs)'!A:A,'product_masterlist(ifs)'!C:C,"N/A",0)</f>
        <v>Contact Lenses</v>
      </c>
      <c r="K668">
        <f>VLOOKUP(C668,'product_masterlist(ifs)'!A:I,7,FALSE)</f>
        <v>450</v>
      </c>
    </row>
    <row r="669" spans="1:11" x14ac:dyDescent="0.35">
      <c r="A669" t="s">
        <v>925</v>
      </c>
      <c r="B669" t="s">
        <v>651</v>
      </c>
      <c r="C669" t="s">
        <v>90</v>
      </c>
      <c r="D669">
        <v>6</v>
      </c>
      <c r="E669" t="s">
        <v>37</v>
      </c>
      <c r="F669" t="s">
        <v>18</v>
      </c>
      <c r="G669">
        <v>291</v>
      </c>
      <c r="H669">
        <v>30</v>
      </c>
      <c r="I669" t="s">
        <v>14</v>
      </c>
      <c r="J669" t="str">
        <f>_xlfn.XLOOKUP(C669,'product_masterlist(ifs)'!A:A,'product_masterlist(ifs)'!C:C,"N/A",0)</f>
        <v>Frames</v>
      </c>
      <c r="K669">
        <f>VLOOKUP(C669,'product_masterlist(ifs)'!A:I,7,FALSE)</f>
        <v>180</v>
      </c>
    </row>
    <row r="670" spans="1:11" x14ac:dyDescent="0.35">
      <c r="A670" t="s">
        <v>926</v>
      </c>
      <c r="B670" s="1">
        <v>45698</v>
      </c>
      <c r="C670" t="s">
        <v>90</v>
      </c>
      <c r="D670">
        <v>15</v>
      </c>
      <c r="E670" t="s">
        <v>37</v>
      </c>
      <c r="F670" t="s">
        <v>31</v>
      </c>
      <c r="G670" t="s">
        <v>250</v>
      </c>
      <c r="H670">
        <v>30</v>
      </c>
      <c r="I670" t="s">
        <v>14</v>
      </c>
      <c r="J670" t="str">
        <f>_xlfn.XLOOKUP(C670,'product_masterlist(ifs)'!A:A,'product_masterlist(ifs)'!C:C,"N/A",0)</f>
        <v>Frames</v>
      </c>
      <c r="K670">
        <f>VLOOKUP(C670,'product_masterlist(ifs)'!A:I,7,FALSE)</f>
        <v>180</v>
      </c>
    </row>
    <row r="671" spans="1:11" x14ac:dyDescent="0.35">
      <c r="A671" t="s">
        <v>927</v>
      </c>
      <c r="B671" t="s">
        <v>168</v>
      </c>
      <c r="C671" t="s">
        <v>90</v>
      </c>
      <c r="D671">
        <v>2</v>
      </c>
      <c r="E671" t="s">
        <v>37</v>
      </c>
      <c r="F671" t="s">
        <v>18</v>
      </c>
      <c r="G671">
        <v>97</v>
      </c>
      <c r="H671">
        <v>30</v>
      </c>
      <c r="I671" t="s">
        <v>14</v>
      </c>
      <c r="J671" t="str">
        <f>_xlfn.XLOOKUP(C671,'product_masterlist(ifs)'!A:A,'product_masterlist(ifs)'!C:C,"N/A",0)</f>
        <v>Frames</v>
      </c>
      <c r="K671">
        <f>VLOOKUP(C671,'product_masterlist(ifs)'!A:I,7,FALSE)</f>
        <v>180</v>
      </c>
    </row>
    <row r="672" spans="1:11" x14ac:dyDescent="0.35">
      <c r="A672" t="s">
        <v>928</v>
      </c>
      <c r="B672" s="1">
        <v>45759</v>
      </c>
      <c r="C672" t="s">
        <v>90</v>
      </c>
      <c r="D672">
        <v>1</v>
      </c>
      <c r="E672" t="s">
        <v>37</v>
      </c>
      <c r="F672" t="s">
        <v>13</v>
      </c>
      <c r="G672" t="s">
        <v>109</v>
      </c>
      <c r="H672">
        <v>30</v>
      </c>
      <c r="I672" t="s">
        <v>14</v>
      </c>
      <c r="J672" t="str">
        <f>_xlfn.XLOOKUP(C672,'product_masterlist(ifs)'!A:A,'product_masterlist(ifs)'!C:C,"N/A",0)</f>
        <v>Frames</v>
      </c>
      <c r="K672">
        <f>VLOOKUP(C672,'product_masterlist(ifs)'!A:I,7,FALSE)</f>
        <v>180</v>
      </c>
    </row>
    <row r="673" spans="1:11" x14ac:dyDescent="0.35">
      <c r="A673" t="s">
        <v>929</v>
      </c>
      <c r="B673" s="1">
        <v>45843</v>
      </c>
      <c r="C673" t="s">
        <v>90</v>
      </c>
      <c r="D673">
        <v>13</v>
      </c>
      <c r="E673" t="s">
        <v>22</v>
      </c>
      <c r="F673" t="s">
        <v>13</v>
      </c>
      <c r="G673" t="s">
        <v>262</v>
      </c>
      <c r="H673">
        <v>30</v>
      </c>
      <c r="I673" t="s">
        <v>14</v>
      </c>
      <c r="J673" t="str">
        <f>_xlfn.XLOOKUP(C673,'product_masterlist(ifs)'!A:A,'product_masterlist(ifs)'!C:C,"N/A",0)</f>
        <v>Frames</v>
      </c>
      <c r="K673">
        <f>VLOOKUP(C673,'product_masterlist(ifs)'!A:I,7,FALSE)</f>
        <v>180</v>
      </c>
    </row>
    <row r="674" spans="1:11" x14ac:dyDescent="0.35">
      <c r="A674" t="s">
        <v>930</v>
      </c>
      <c r="B674" s="1">
        <v>45999</v>
      </c>
      <c r="C674" t="s">
        <v>42</v>
      </c>
      <c r="D674">
        <v>21</v>
      </c>
      <c r="E674" t="s">
        <v>22</v>
      </c>
      <c r="F674" t="s">
        <v>18</v>
      </c>
      <c r="G674">
        <v>525</v>
      </c>
      <c r="H674">
        <v>21</v>
      </c>
      <c r="I674" t="s">
        <v>14</v>
      </c>
      <c r="J674" t="str">
        <f>_xlfn.XLOOKUP(C674,'product_masterlist(ifs)'!A:A,'product_masterlist(ifs)'!C:C,"N/A",0)</f>
        <v>Contact Lenses</v>
      </c>
      <c r="K674">
        <f>VLOOKUP(C674,'product_masterlist(ifs)'!A:I,7,FALSE)</f>
        <v>120</v>
      </c>
    </row>
    <row r="675" spans="1:11" x14ac:dyDescent="0.35">
      <c r="A675" t="s">
        <v>931</v>
      </c>
      <c r="B675" t="s">
        <v>83</v>
      </c>
      <c r="C675" t="s">
        <v>17</v>
      </c>
      <c r="D675">
        <v>1</v>
      </c>
      <c r="E675" t="s">
        <v>12</v>
      </c>
      <c r="F675" t="s">
        <v>23</v>
      </c>
      <c r="G675">
        <v>45</v>
      </c>
      <c r="H675">
        <v>30</v>
      </c>
      <c r="I675" t="s">
        <v>14</v>
      </c>
      <c r="J675" t="str">
        <f>_xlfn.XLOOKUP(C675,'product_masterlist(ifs)'!A:A,'product_masterlist(ifs)'!C:C,"N/A",0)</f>
        <v>Frames</v>
      </c>
      <c r="K675">
        <f>VLOOKUP(C675,'product_masterlist(ifs)'!A:I,7,FALSE)</f>
        <v>45</v>
      </c>
    </row>
    <row r="676" spans="1:11" x14ac:dyDescent="0.35">
      <c r="A676" t="s">
        <v>932</v>
      </c>
      <c r="B676" t="s">
        <v>569</v>
      </c>
      <c r="C676" t="s">
        <v>53</v>
      </c>
      <c r="D676">
        <v>8</v>
      </c>
      <c r="E676" t="s">
        <v>22</v>
      </c>
      <c r="F676" t="s">
        <v>31</v>
      </c>
      <c r="G676">
        <v>34</v>
      </c>
      <c r="H676">
        <v>7</v>
      </c>
      <c r="I676" t="s">
        <v>28</v>
      </c>
      <c r="J676" t="str">
        <f>_xlfn.XLOOKUP(C676,'product_masterlist(ifs)'!A:A,'product_masterlist(ifs)'!C:C,"N/A",0)</f>
        <v>Solutions</v>
      </c>
      <c r="K676">
        <f>VLOOKUP(C676,'product_masterlist(ifs)'!A:I,7,FALSE)</f>
        <v>800</v>
      </c>
    </row>
    <row r="677" spans="1:11" x14ac:dyDescent="0.35">
      <c r="A677" t="s">
        <v>933</v>
      </c>
      <c r="B677" t="s">
        <v>569</v>
      </c>
      <c r="C677" t="s">
        <v>90</v>
      </c>
      <c r="D677">
        <v>2</v>
      </c>
      <c r="E677" t="s">
        <v>20</v>
      </c>
      <c r="F677" t="s">
        <v>18</v>
      </c>
      <c r="G677">
        <v>97</v>
      </c>
      <c r="H677">
        <v>30</v>
      </c>
      <c r="I677" t="s">
        <v>14</v>
      </c>
      <c r="J677" t="str">
        <f>_xlfn.XLOOKUP(C677,'product_masterlist(ifs)'!A:A,'product_masterlist(ifs)'!C:C,"N/A",0)</f>
        <v>Frames</v>
      </c>
      <c r="K677">
        <f>VLOOKUP(C677,'product_masterlist(ifs)'!A:I,7,FALSE)</f>
        <v>180</v>
      </c>
    </row>
    <row r="678" spans="1:11" x14ac:dyDescent="0.35">
      <c r="A678" t="s">
        <v>934</v>
      </c>
      <c r="B678" s="1">
        <v>45697</v>
      </c>
      <c r="C678" t="s">
        <v>90</v>
      </c>
      <c r="D678">
        <v>8</v>
      </c>
      <c r="E678" t="s">
        <v>37</v>
      </c>
      <c r="F678" t="s">
        <v>23</v>
      </c>
      <c r="G678">
        <v>388</v>
      </c>
      <c r="H678">
        <v>30</v>
      </c>
      <c r="I678" t="s">
        <v>14</v>
      </c>
      <c r="J678" t="str">
        <f>_xlfn.XLOOKUP(C678,'product_masterlist(ifs)'!A:A,'product_masterlist(ifs)'!C:C,"N/A",0)</f>
        <v>Frames</v>
      </c>
      <c r="K678">
        <f>VLOOKUP(C678,'product_masterlist(ifs)'!A:I,7,FALSE)</f>
        <v>180</v>
      </c>
    </row>
    <row r="679" spans="1:11" x14ac:dyDescent="0.35">
      <c r="A679" t="s">
        <v>935</v>
      </c>
      <c r="B679" s="1">
        <v>45759</v>
      </c>
      <c r="C679" t="s">
        <v>42</v>
      </c>
      <c r="D679">
        <v>21</v>
      </c>
      <c r="E679" t="s">
        <v>37</v>
      </c>
      <c r="F679" t="s">
        <v>18</v>
      </c>
      <c r="G679">
        <v>525</v>
      </c>
      <c r="H679">
        <v>21</v>
      </c>
      <c r="I679" t="s">
        <v>14</v>
      </c>
      <c r="J679" t="str">
        <f>_xlfn.XLOOKUP(C679,'product_masterlist(ifs)'!A:A,'product_masterlist(ifs)'!C:C,"N/A",0)</f>
        <v>Contact Lenses</v>
      </c>
      <c r="K679">
        <f>VLOOKUP(C679,'product_masterlist(ifs)'!A:I,7,FALSE)</f>
        <v>120</v>
      </c>
    </row>
    <row r="680" spans="1:11" x14ac:dyDescent="0.35">
      <c r="A680" t="s">
        <v>936</v>
      </c>
      <c r="B680" s="1">
        <v>45718</v>
      </c>
      <c r="C680" t="s">
        <v>26</v>
      </c>
      <c r="D680">
        <v>21</v>
      </c>
      <c r="E680" t="s">
        <v>20</v>
      </c>
      <c r="F680" t="s">
        <v>13</v>
      </c>
      <c r="G680" t="s">
        <v>366</v>
      </c>
      <c r="H680">
        <v>14</v>
      </c>
      <c r="I680" t="s">
        <v>28</v>
      </c>
      <c r="J680" t="str">
        <f>_xlfn.XLOOKUP(C680,'product_masterlist(ifs)'!A:A,'product_masterlist(ifs)'!C:C,"N/A",0)</f>
        <v>Contact Lenses</v>
      </c>
      <c r="K680">
        <f>VLOOKUP(C680,'product_masterlist(ifs)'!A:I,7,FALSE)</f>
        <v>450</v>
      </c>
    </row>
    <row r="681" spans="1:11" x14ac:dyDescent="0.35">
      <c r="A681" t="s">
        <v>937</v>
      </c>
      <c r="B681" s="1">
        <v>45935</v>
      </c>
      <c r="C681" t="s">
        <v>33</v>
      </c>
      <c r="D681">
        <v>22</v>
      </c>
      <c r="E681" t="s">
        <v>12</v>
      </c>
      <c r="F681" t="s">
        <v>31</v>
      </c>
      <c r="G681">
        <v>3300</v>
      </c>
      <c r="H681">
        <v>45</v>
      </c>
      <c r="I681" t="s">
        <v>34</v>
      </c>
      <c r="J681" t="str">
        <f>_xlfn.XLOOKUP(C681,'product_masterlist(ifs)'!A:A,'product_masterlist(ifs)'!C:C,"N/A",0)</f>
        <v>Surgical</v>
      </c>
      <c r="K681">
        <f>VLOOKUP(C681,'product_masterlist(ifs)'!A:I,7,FALSE)</f>
        <v>15</v>
      </c>
    </row>
    <row r="682" spans="1:11" x14ac:dyDescent="0.35">
      <c r="A682" t="s">
        <v>938</v>
      </c>
      <c r="B682" t="s">
        <v>271</v>
      </c>
      <c r="C682" t="s">
        <v>17</v>
      </c>
      <c r="D682">
        <v>5</v>
      </c>
      <c r="E682" t="s">
        <v>12</v>
      </c>
      <c r="F682" t="s">
        <v>23</v>
      </c>
      <c r="G682">
        <v>225</v>
      </c>
      <c r="H682">
        <v>30</v>
      </c>
      <c r="I682" t="s">
        <v>14</v>
      </c>
      <c r="J682" t="str">
        <f>_xlfn.XLOOKUP(C682,'product_masterlist(ifs)'!A:A,'product_masterlist(ifs)'!C:C,"N/A",0)</f>
        <v>Frames</v>
      </c>
      <c r="K682">
        <f>VLOOKUP(C682,'product_masterlist(ifs)'!A:I,7,FALSE)</f>
        <v>45</v>
      </c>
    </row>
    <row r="683" spans="1:11" x14ac:dyDescent="0.35">
      <c r="A683" t="s">
        <v>939</v>
      </c>
      <c r="B683" s="1">
        <v>45757</v>
      </c>
      <c r="C683" t="s">
        <v>53</v>
      </c>
      <c r="D683">
        <v>13</v>
      </c>
      <c r="E683" t="s">
        <v>20</v>
      </c>
      <c r="F683" t="s">
        <v>31</v>
      </c>
      <c r="G683" t="s">
        <v>188</v>
      </c>
      <c r="H683">
        <v>7</v>
      </c>
      <c r="I683" t="s">
        <v>28</v>
      </c>
      <c r="J683" t="str">
        <f>_xlfn.XLOOKUP(C683,'product_masterlist(ifs)'!A:A,'product_masterlist(ifs)'!C:C,"N/A",0)</f>
        <v>Solutions</v>
      </c>
      <c r="K683">
        <f>VLOOKUP(C683,'product_masterlist(ifs)'!A:I,7,FALSE)</f>
        <v>800</v>
      </c>
    </row>
    <row r="684" spans="1:11" x14ac:dyDescent="0.35">
      <c r="A684" t="s">
        <v>940</v>
      </c>
      <c r="B684" t="s">
        <v>888</v>
      </c>
      <c r="C684" t="s">
        <v>90</v>
      </c>
      <c r="D684">
        <v>25</v>
      </c>
      <c r="E684" t="s">
        <v>20</v>
      </c>
      <c r="F684" t="s">
        <v>31</v>
      </c>
      <c r="G684" t="s">
        <v>308</v>
      </c>
      <c r="H684">
        <v>30</v>
      </c>
      <c r="I684" t="s">
        <v>14</v>
      </c>
      <c r="J684" t="str">
        <f>_xlfn.XLOOKUP(C684,'product_masterlist(ifs)'!A:A,'product_masterlist(ifs)'!C:C,"N/A",0)</f>
        <v>Frames</v>
      </c>
      <c r="K684">
        <f>VLOOKUP(C684,'product_masterlist(ifs)'!A:I,7,FALSE)</f>
        <v>180</v>
      </c>
    </row>
    <row r="685" spans="1:11" x14ac:dyDescent="0.35">
      <c r="A685" t="s">
        <v>941</v>
      </c>
      <c r="B685" s="1">
        <v>45724</v>
      </c>
      <c r="C685" t="s">
        <v>17</v>
      </c>
      <c r="D685">
        <v>23</v>
      </c>
      <c r="E685" t="s">
        <v>12</v>
      </c>
      <c r="F685" t="s">
        <v>13</v>
      </c>
      <c r="G685">
        <v>1035</v>
      </c>
      <c r="H685">
        <v>30</v>
      </c>
      <c r="I685" t="s">
        <v>14</v>
      </c>
      <c r="J685" t="str">
        <f>_xlfn.XLOOKUP(C685,'product_masterlist(ifs)'!A:A,'product_masterlist(ifs)'!C:C,"N/A",0)</f>
        <v>Frames</v>
      </c>
      <c r="K685">
        <f>VLOOKUP(C685,'product_masterlist(ifs)'!A:I,7,FALSE)</f>
        <v>45</v>
      </c>
    </row>
    <row r="686" spans="1:11" x14ac:dyDescent="0.35">
      <c r="A686" t="s">
        <v>942</v>
      </c>
      <c r="B686" s="1">
        <v>45752</v>
      </c>
      <c r="C686" t="s">
        <v>53</v>
      </c>
      <c r="D686">
        <v>15</v>
      </c>
      <c r="E686" t="s">
        <v>22</v>
      </c>
      <c r="F686" t="s">
        <v>18</v>
      </c>
      <c r="G686" t="s">
        <v>93</v>
      </c>
      <c r="H686">
        <v>7</v>
      </c>
      <c r="I686" t="s">
        <v>28</v>
      </c>
      <c r="J686" t="str">
        <f>_xlfn.XLOOKUP(C686,'product_masterlist(ifs)'!A:A,'product_masterlist(ifs)'!C:C,"N/A",0)</f>
        <v>Solutions</v>
      </c>
      <c r="K686">
        <f>VLOOKUP(C686,'product_masterlist(ifs)'!A:I,7,FALSE)</f>
        <v>800</v>
      </c>
    </row>
    <row r="687" spans="1:11" x14ac:dyDescent="0.35">
      <c r="A687" t="s">
        <v>943</v>
      </c>
      <c r="B687" t="s">
        <v>547</v>
      </c>
      <c r="C687" t="s">
        <v>33</v>
      </c>
      <c r="D687">
        <v>23</v>
      </c>
      <c r="E687" t="s">
        <v>12</v>
      </c>
      <c r="F687" t="s">
        <v>31</v>
      </c>
      <c r="G687">
        <v>3450</v>
      </c>
      <c r="H687">
        <v>45</v>
      </c>
      <c r="I687" t="s">
        <v>34</v>
      </c>
      <c r="J687" t="str">
        <f>_xlfn.XLOOKUP(C687,'product_masterlist(ifs)'!A:A,'product_masterlist(ifs)'!C:C,"N/A",0)</f>
        <v>Surgical</v>
      </c>
      <c r="K687">
        <f>VLOOKUP(C687,'product_masterlist(ifs)'!A:I,7,FALSE)</f>
        <v>15</v>
      </c>
    </row>
    <row r="688" spans="1:11" x14ac:dyDescent="0.35">
      <c r="A688" t="s">
        <v>944</v>
      </c>
      <c r="B688" s="1">
        <v>45659</v>
      </c>
      <c r="C688" t="s">
        <v>53</v>
      </c>
      <c r="D688">
        <v>23</v>
      </c>
      <c r="E688" t="s">
        <v>12</v>
      </c>
      <c r="F688" t="s">
        <v>23</v>
      </c>
      <c r="G688" t="s">
        <v>576</v>
      </c>
      <c r="H688">
        <v>7</v>
      </c>
      <c r="I688" t="s">
        <v>28</v>
      </c>
      <c r="J688" t="str">
        <f>_xlfn.XLOOKUP(C688,'product_masterlist(ifs)'!A:A,'product_masterlist(ifs)'!C:C,"N/A",0)</f>
        <v>Solutions</v>
      </c>
      <c r="K688">
        <f>VLOOKUP(C688,'product_masterlist(ifs)'!A:I,7,FALSE)</f>
        <v>800</v>
      </c>
    </row>
    <row r="689" spans="1:11" x14ac:dyDescent="0.35">
      <c r="A689" t="s">
        <v>945</v>
      </c>
      <c r="B689" t="s">
        <v>884</v>
      </c>
      <c r="C689" t="s">
        <v>53</v>
      </c>
      <c r="D689">
        <v>17</v>
      </c>
      <c r="E689" t="s">
        <v>12</v>
      </c>
      <c r="F689" t="s">
        <v>31</v>
      </c>
      <c r="G689" t="s">
        <v>698</v>
      </c>
      <c r="H689">
        <v>7</v>
      </c>
      <c r="I689" t="s">
        <v>28</v>
      </c>
      <c r="J689" t="str">
        <f>_xlfn.XLOOKUP(C689,'product_masterlist(ifs)'!A:A,'product_masterlist(ifs)'!C:C,"N/A",0)</f>
        <v>Solutions</v>
      </c>
      <c r="K689">
        <f>VLOOKUP(C689,'product_masterlist(ifs)'!A:I,7,FALSE)</f>
        <v>800</v>
      </c>
    </row>
    <row r="690" spans="1:11" x14ac:dyDescent="0.35">
      <c r="A690" t="s">
        <v>946</v>
      </c>
      <c r="B690" s="1">
        <v>45820</v>
      </c>
      <c r="C690" t="s">
        <v>42</v>
      </c>
      <c r="D690">
        <v>17</v>
      </c>
      <c r="E690" t="s">
        <v>20</v>
      </c>
      <c r="F690" t="s">
        <v>18</v>
      </c>
      <c r="G690">
        <v>425</v>
      </c>
      <c r="H690">
        <v>21</v>
      </c>
      <c r="I690" t="s">
        <v>14</v>
      </c>
      <c r="J690" t="str">
        <f>_xlfn.XLOOKUP(C690,'product_masterlist(ifs)'!A:A,'product_masterlist(ifs)'!C:C,"N/A",0)</f>
        <v>Contact Lenses</v>
      </c>
      <c r="K690">
        <f>VLOOKUP(C690,'product_masterlist(ifs)'!A:I,7,FALSE)</f>
        <v>120</v>
      </c>
    </row>
    <row r="691" spans="1:11" x14ac:dyDescent="0.35">
      <c r="A691" t="s">
        <v>947</v>
      </c>
      <c r="B691" s="1">
        <v>45727</v>
      </c>
      <c r="C691" t="s">
        <v>26</v>
      </c>
      <c r="D691">
        <v>7</v>
      </c>
      <c r="E691" t="s">
        <v>22</v>
      </c>
      <c r="F691" t="s">
        <v>13</v>
      </c>
      <c r="G691" t="s">
        <v>27</v>
      </c>
      <c r="H691">
        <v>14</v>
      </c>
      <c r="I691" t="s">
        <v>28</v>
      </c>
      <c r="J691" t="str">
        <f>_xlfn.XLOOKUP(C691,'product_masterlist(ifs)'!A:A,'product_masterlist(ifs)'!C:C,"N/A",0)</f>
        <v>Contact Lenses</v>
      </c>
      <c r="K691">
        <f>VLOOKUP(C691,'product_masterlist(ifs)'!A:I,7,FALSE)</f>
        <v>450</v>
      </c>
    </row>
    <row r="692" spans="1:11" x14ac:dyDescent="0.35">
      <c r="A692" t="s">
        <v>948</v>
      </c>
      <c r="B692" t="s">
        <v>448</v>
      </c>
      <c r="C692" t="s">
        <v>90</v>
      </c>
      <c r="D692">
        <v>22</v>
      </c>
      <c r="E692" t="s">
        <v>37</v>
      </c>
      <c r="F692" t="s">
        <v>23</v>
      </c>
      <c r="G692">
        <v>1067</v>
      </c>
      <c r="H692">
        <v>30</v>
      </c>
      <c r="I692" t="s">
        <v>14</v>
      </c>
      <c r="J692" t="str">
        <f>_xlfn.XLOOKUP(C692,'product_masterlist(ifs)'!A:A,'product_masterlist(ifs)'!C:C,"N/A",0)</f>
        <v>Frames</v>
      </c>
      <c r="K692">
        <f>VLOOKUP(C692,'product_masterlist(ifs)'!A:I,7,FALSE)</f>
        <v>180</v>
      </c>
    </row>
    <row r="693" spans="1:11" x14ac:dyDescent="0.35">
      <c r="A693" t="s">
        <v>949</v>
      </c>
      <c r="B693" t="s">
        <v>950</v>
      </c>
      <c r="C693" t="s">
        <v>26</v>
      </c>
      <c r="D693">
        <v>10</v>
      </c>
      <c r="E693" t="s">
        <v>20</v>
      </c>
      <c r="F693" t="s">
        <v>31</v>
      </c>
      <c r="G693">
        <v>125</v>
      </c>
      <c r="H693">
        <v>14</v>
      </c>
      <c r="I693" t="s">
        <v>28</v>
      </c>
      <c r="J693" t="str">
        <f>_xlfn.XLOOKUP(C693,'product_masterlist(ifs)'!A:A,'product_masterlist(ifs)'!C:C,"N/A",0)</f>
        <v>Contact Lenses</v>
      </c>
      <c r="K693">
        <f>VLOOKUP(C693,'product_masterlist(ifs)'!A:I,7,FALSE)</f>
        <v>450</v>
      </c>
    </row>
    <row r="694" spans="1:11" x14ac:dyDescent="0.35">
      <c r="A694" t="s">
        <v>951</v>
      </c>
      <c r="B694" t="s">
        <v>952</v>
      </c>
      <c r="C694" t="s">
        <v>90</v>
      </c>
      <c r="D694">
        <v>22</v>
      </c>
      <c r="E694" t="s">
        <v>22</v>
      </c>
      <c r="F694" t="s">
        <v>31</v>
      </c>
      <c r="G694">
        <v>1067</v>
      </c>
      <c r="H694">
        <v>30</v>
      </c>
      <c r="I694" t="s">
        <v>14</v>
      </c>
      <c r="J694" t="str">
        <f>_xlfn.XLOOKUP(C694,'product_masterlist(ifs)'!A:A,'product_masterlist(ifs)'!C:C,"N/A",0)</f>
        <v>Frames</v>
      </c>
      <c r="K694">
        <f>VLOOKUP(C694,'product_masterlist(ifs)'!A:I,7,FALSE)</f>
        <v>180</v>
      </c>
    </row>
    <row r="695" spans="1:11" x14ac:dyDescent="0.35">
      <c r="A695" t="s">
        <v>953</v>
      </c>
      <c r="B695" t="s">
        <v>103</v>
      </c>
      <c r="C695" t="s">
        <v>90</v>
      </c>
      <c r="D695">
        <v>11</v>
      </c>
      <c r="E695" t="s">
        <v>22</v>
      </c>
      <c r="F695" t="s">
        <v>23</v>
      </c>
      <c r="G695" t="s">
        <v>238</v>
      </c>
      <c r="H695">
        <v>30</v>
      </c>
      <c r="I695" t="s">
        <v>14</v>
      </c>
      <c r="J695" t="str">
        <f>_xlfn.XLOOKUP(C695,'product_masterlist(ifs)'!A:A,'product_masterlist(ifs)'!C:C,"N/A",0)</f>
        <v>Frames</v>
      </c>
      <c r="K695">
        <f>VLOOKUP(C695,'product_masterlist(ifs)'!A:I,7,FALSE)</f>
        <v>180</v>
      </c>
    </row>
    <row r="696" spans="1:11" x14ac:dyDescent="0.35">
      <c r="A696" t="s">
        <v>954</v>
      </c>
      <c r="B696" s="1">
        <v>45850</v>
      </c>
      <c r="C696" t="s">
        <v>33</v>
      </c>
      <c r="D696">
        <v>14</v>
      </c>
      <c r="E696" t="s">
        <v>37</v>
      </c>
      <c r="F696" t="s">
        <v>13</v>
      </c>
      <c r="G696">
        <v>2100</v>
      </c>
      <c r="H696">
        <v>45</v>
      </c>
      <c r="I696" t="s">
        <v>34</v>
      </c>
      <c r="J696" t="str">
        <f>_xlfn.XLOOKUP(C696,'product_masterlist(ifs)'!A:A,'product_masterlist(ifs)'!C:C,"N/A",0)</f>
        <v>Surgical</v>
      </c>
      <c r="K696">
        <f>VLOOKUP(C696,'product_masterlist(ifs)'!A:I,7,FALSE)</f>
        <v>15</v>
      </c>
    </row>
    <row r="697" spans="1:11" x14ac:dyDescent="0.35">
      <c r="A697" t="s">
        <v>955</v>
      </c>
      <c r="B697" t="s">
        <v>532</v>
      </c>
      <c r="C697" t="s">
        <v>11</v>
      </c>
      <c r="D697">
        <v>12</v>
      </c>
      <c r="E697" t="s">
        <v>22</v>
      </c>
      <c r="F697" t="s">
        <v>23</v>
      </c>
      <c r="G697">
        <v>1020</v>
      </c>
      <c r="H697">
        <v>30</v>
      </c>
      <c r="I697" t="s">
        <v>14</v>
      </c>
      <c r="J697" t="str">
        <f>_xlfn.XLOOKUP(C697,'product_masterlist(ifs)'!A:A,'product_masterlist(ifs)'!C:C,"N/A",0)</f>
        <v>Surgical</v>
      </c>
      <c r="K697">
        <f>VLOOKUP(C697,'product_masterlist(ifs)'!A:I,7,FALSE)</f>
        <v>40</v>
      </c>
    </row>
    <row r="698" spans="1:11" x14ac:dyDescent="0.35">
      <c r="A698" t="s">
        <v>956</v>
      </c>
      <c r="B698" t="s">
        <v>619</v>
      </c>
      <c r="C698" t="s">
        <v>33</v>
      </c>
      <c r="D698">
        <v>7</v>
      </c>
      <c r="E698" t="s">
        <v>22</v>
      </c>
      <c r="F698" t="s">
        <v>23</v>
      </c>
      <c r="G698">
        <v>1050</v>
      </c>
      <c r="H698">
        <v>45</v>
      </c>
      <c r="I698" t="s">
        <v>34</v>
      </c>
      <c r="J698" t="str">
        <f>_xlfn.XLOOKUP(C698,'product_masterlist(ifs)'!A:A,'product_masterlist(ifs)'!C:C,"N/A",0)</f>
        <v>Surgical</v>
      </c>
      <c r="K698">
        <f>VLOOKUP(C698,'product_masterlist(ifs)'!A:I,7,FALSE)</f>
        <v>15</v>
      </c>
    </row>
    <row r="699" spans="1:11" x14ac:dyDescent="0.35">
      <c r="A699" t="s">
        <v>957</v>
      </c>
      <c r="B699" t="s">
        <v>235</v>
      </c>
      <c r="C699" t="s">
        <v>26</v>
      </c>
      <c r="D699">
        <v>13</v>
      </c>
      <c r="E699" t="s">
        <v>37</v>
      </c>
      <c r="F699" t="s">
        <v>23</v>
      </c>
      <c r="G699" t="s">
        <v>437</v>
      </c>
      <c r="H699">
        <v>14</v>
      </c>
      <c r="I699" t="s">
        <v>28</v>
      </c>
      <c r="J699" t="str">
        <f>_xlfn.XLOOKUP(C699,'product_masterlist(ifs)'!A:A,'product_masterlist(ifs)'!C:C,"N/A",0)</f>
        <v>Contact Lenses</v>
      </c>
      <c r="K699">
        <f>VLOOKUP(C699,'product_masterlist(ifs)'!A:I,7,FALSE)</f>
        <v>450</v>
      </c>
    </row>
    <row r="700" spans="1:11" x14ac:dyDescent="0.35">
      <c r="A700" t="s">
        <v>958</v>
      </c>
      <c r="B700" t="s">
        <v>161</v>
      </c>
      <c r="C700" t="s">
        <v>33</v>
      </c>
      <c r="D700">
        <v>2</v>
      </c>
      <c r="E700" t="s">
        <v>37</v>
      </c>
      <c r="F700" t="s">
        <v>23</v>
      </c>
      <c r="G700">
        <v>300</v>
      </c>
      <c r="H700">
        <v>45</v>
      </c>
      <c r="I700" t="s">
        <v>34</v>
      </c>
      <c r="J700" t="str">
        <f>_xlfn.XLOOKUP(C700,'product_masterlist(ifs)'!A:A,'product_masterlist(ifs)'!C:C,"N/A",0)</f>
        <v>Surgical</v>
      </c>
      <c r="K700">
        <f>VLOOKUP(C700,'product_masterlist(ifs)'!A:I,7,FALSE)</f>
        <v>15</v>
      </c>
    </row>
    <row r="701" spans="1:11" x14ac:dyDescent="0.35">
      <c r="A701" t="s">
        <v>959</v>
      </c>
      <c r="B701" s="1">
        <v>45753</v>
      </c>
      <c r="C701" t="s">
        <v>42</v>
      </c>
      <c r="D701">
        <v>8</v>
      </c>
      <c r="E701" t="s">
        <v>37</v>
      </c>
      <c r="F701" t="s">
        <v>31</v>
      </c>
      <c r="G701">
        <v>200</v>
      </c>
      <c r="H701">
        <v>21</v>
      </c>
      <c r="I701" t="s">
        <v>14</v>
      </c>
      <c r="J701" t="str">
        <f>_xlfn.XLOOKUP(C701,'product_masterlist(ifs)'!A:A,'product_masterlist(ifs)'!C:C,"N/A",0)</f>
        <v>Contact Lenses</v>
      </c>
      <c r="K701">
        <f>VLOOKUP(C701,'product_masterlist(ifs)'!A:I,7,FALSE)</f>
        <v>120</v>
      </c>
    </row>
    <row r="702" spans="1:11" x14ac:dyDescent="0.35">
      <c r="A702" t="s">
        <v>960</v>
      </c>
      <c r="B702" t="s">
        <v>711</v>
      </c>
      <c r="C702" t="s">
        <v>17</v>
      </c>
      <c r="D702">
        <v>5</v>
      </c>
      <c r="E702" t="s">
        <v>37</v>
      </c>
      <c r="F702" t="s">
        <v>23</v>
      </c>
      <c r="G702">
        <v>225</v>
      </c>
      <c r="H702">
        <v>30</v>
      </c>
      <c r="I702" t="s">
        <v>14</v>
      </c>
      <c r="J702" t="str">
        <f>_xlfn.XLOOKUP(C702,'product_masterlist(ifs)'!A:A,'product_masterlist(ifs)'!C:C,"N/A",0)</f>
        <v>Frames</v>
      </c>
      <c r="K702">
        <f>VLOOKUP(C702,'product_masterlist(ifs)'!A:I,7,FALSE)</f>
        <v>45</v>
      </c>
    </row>
    <row r="703" spans="1:11" x14ac:dyDescent="0.35">
      <c r="A703" t="s">
        <v>961</v>
      </c>
      <c r="B703" t="s">
        <v>962</v>
      </c>
      <c r="C703" t="s">
        <v>11</v>
      </c>
      <c r="D703">
        <v>3</v>
      </c>
      <c r="E703" t="s">
        <v>12</v>
      </c>
      <c r="F703" t="s">
        <v>13</v>
      </c>
      <c r="G703">
        <v>255</v>
      </c>
      <c r="H703">
        <v>30</v>
      </c>
      <c r="I703" t="s">
        <v>14</v>
      </c>
      <c r="J703" t="str">
        <f>_xlfn.XLOOKUP(C703,'product_masterlist(ifs)'!A:A,'product_masterlist(ifs)'!C:C,"N/A",0)</f>
        <v>Surgical</v>
      </c>
      <c r="K703">
        <f>VLOOKUP(C703,'product_masterlist(ifs)'!A:I,7,FALSE)</f>
        <v>40</v>
      </c>
    </row>
    <row r="704" spans="1:11" x14ac:dyDescent="0.35">
      <c r="A704" t="s">
        <v>963</v>
      </c>
      <c r="B704" s="1">
        <v>45812</v>
      </c>
      <c r="C704" t="s">
        <v>33</v>
      </c>
      <c r="D704">
        <v>14</v>
      </c>
      <c r="E704" t="s">
        <v>12</v>
      </c>
      <c r="F704" t="s">
        <v>23</v>
      </c>
      <c r="G704">
        <v>2100</v>
      </c>
      <c r="H704">
        <v>45</v>
      </c>
      <c r="I704" t="s">
        <v>34</v>
      </c>
      <c r="J704" t="str">
        <f>_xlfn.XLOOKUP(C704,'product_masterlist(ifs)'!A:A,'product_masterlist(ifs)'!C:C,"N/A",0)</f>
        <v>Surgical</v>
      </c>
      <c r="K704">
        <f>VLOOKUP(C704,'product_masterlist(ifs)'!A:I,7,FALSE)</f>
        <v>15</v>
      </c>
    </row>
    <row r="705" spans="1:11" x14ac:dyDescent="0.35">
      <c r="A705" t="s">
        <v>964</v>
      </c>
      <c r="B705" t="s">
        <v>448</v>
      </c>
      <c r="C705" t="s">
        <v>33</v>
      </c>
      <c r="D705">
        <v>9</v>
      </c>
      <c r="E705" t="s">
        <v>22</v>
      </c>
      <c r="F705" t="s">
        <v>31</v>
      </c>
      <c r="G705">
        <v>1350</v>
      </c>
      <c r="H705">
        <v>45</v>
      </c>
      <c r="I705" t="s">
        <v>34</v>
      </c>
      <c r="J705" t="str">
        <f>_xlfn.XLOOKUP(C705,'product_masterlist(ifs)'!A:A,'product_masterlist(ifs)'!C:C,"N/A",0)</f>
        <v>Surgical</v>
      </c>
      <c r="K705">
        <f>VLOOKUP(C705,'product_masterlist(ifs)'!A:I,7,FALSE)</f>
        <v>15</v>
      </c>
    </row>
    <row r="706" spans="1:11" x14ac:dyDescent="0.35">
      <c r="A706" t="s">
        <v>965</v>
      </c>
      <c r="B706" t="s">
        <v>129</v>
      </c>
      <c r="C706" t="s">
        <v>53</v>
      </c>
      <c r="D706">
        <v>23</v>
      </c>
      <c r="E706" t="s">
        <v>20</v>
      </c>
      <c r="F706" t="s">
        <v>13</v>
      </c>
      <c r="G706" t="s">
        <v>576</v>
      </c>
      <c r="H706">
        <v>7</v>
      </c>
      <c r="I706" t="s">
        <v>28</v>
      </c>
      <c r="J706" t="str">
        <f>_xlfn.XLOOKUP(C706,'product_masterlist(ifs)'!A:A,'product_masterlist(ifs)'!C:C,"N/A",0)</f>
        <v>Solutions</v>
      </c>
      <c r="K706">
        <f>VLOOKUP(C706,'product_masterlist(ifs)'!A:I,7,FALSE)</f>
        <v>800</v>
      </c>
    </row>
    <row r="707" spans="1:11" x14ac:dyDescent="0.35">
      <c r="A707" t="s">
        <v>966</v>
      </c>
      <c r="B707" t="s">
        <v>967</v>
      </c>
      <c r="C707" t="s">
        <v>90</v>
      </c>
      <c r="D707">
        <v>4</v>
      </c>
      <c r="E707" t="s">
        <v>37</v>
      </c>
      <c r="F707" t="s">
        <v>23</v>
      </c>
      <c r="G707">
        <v>194</v>
      </c>
      <c r="H707">
        <v>30</v>
      </c>
      <c r="I707" t="s">
        <v>14</v>
      </c>
      <c r="J707" t="str">
        <f>_xlfn.XLOOKUP(C707,'product_masterlist(ifs)'!A:A,'product_masterlist(ifs)'!C:C,"N/A",0)</f>
        <v>Frames</v>
      </c>
      <c r="K707">
        <f>VLOOKUP(C707,'product_masterlist(ifs)'!A:I,7,FALSE)</f>
        <v>180</v>
      </c>
    </row>
    <row r="708" spans="1:11" x14ac:dyDescent="0.35">
      <c r="A708" t="s">
        <v>968</v>
      </c>
      <c r="B708" s="1">
        <v>45940</v>
      </c>
      <c r="C708" t="s">
        <v>11</v>
      </c>
      <c r="D708">
        <v>11</v>
      </c>
      <c r="E708" t="s">
        <v>12</v>
      </c>
      <c r="F708" t="s">
        <v>31</v>
      </c>
      <c r="G708">
        <v>935</v>
      </c>
      <c r="H708">
        <v>30</v>
      </c>
      <c r="I708" t="s">
        <v>14</v>
      </c>
      <c r="J708" t="str">
        <f>_xlfn.XLOOKUP(C708,'product_masterlist(ifs)'!A:A,'product_masterlist(ifs)'!C:C,"N/A",0)</f>
        <v>Surgical</v>
      </c>
      <c r="K708">
        <f>VLOOKUP(C708,'product_masterlist(ifs)'!A:I,7,FALSE)</f>
        <v>40</v>
      </c>
    </row>
    <row r="709" spans="1:11" x14ac:dyDescent="0.35">
      <c r="A709" t="s">
        <v>969</v>
      </c>
      <c r="B709" s="1">
        <v>45845</v>
      </c>
      <c r="C709" t="s">
        <v>33</v>
      </c>
      <c r="D709">
        <v>14</v>
      </c>
      <c r="E709" t="s">
        <v>22</v>
      </c>
      <c r="F709" t="s">
        <v>18</v>
      </c>
      <c r="G709">
        <v>2100</v>
      </c>
      <c r="H709">
        <v>45</v>
      </c>
      <c r="I709" t="s">
        <v>34</v>
      </c>
      <c r="J709" t="str">
        <f>_xlfn.XLOOKUP(C709,'product_masterlist(ifs)'!A:A,'product_masterlist(ifs)'!C:C,"N/A",0)</f>
        <v>Surgical</v>
      </c>
      <c r="K709">
        <f>VLOOKUP(C709,'product_masterlist(ifs)'!A:I,7,FALSE)</f>
        <v>15</v>
      </c>
    </row>
    <row r="710" spans="1:11" x14ac:dyDescent="0.35">
      <c r="A710" t="s">
        <v>970</v>
      </c>
      <c r="B710" s="1">
        <v>45785</v>
      </c>
      <c r="C710" t="s">
        <v>17</v>
      </c>
      <c r="D710">
        <v>13</v>
      </c>
      <c r="E710" t="s">
        <v>22</v>
      </c>
      <c r="F710" t="s">
        <v>31</v>
      </c>
      <c r="G710">
        <v>585</v>
      </c>
      <c r="H710">
        <v>30</v>
      </c>
      <c r="I710" t="s">
        <v>14</v>
      </c>
      <c r="J710" t="str">
        <f>_xlfn.XLOOKUP(C710,'product_masterlist(ifs)'!A:A,'product_masterlist(ifs)'!C:C,"N/A",0)</f>
        <v>Frames</v>
      </c>
      <c r="K710">
        <f>VLOOKUP(C710,'product_masterlist(ifs)'!A:I,7,FALSE)</f>
        <v>45</v>
      </c>
    </row>
    <row r="711" spans="1:11" x14ac:dyDescent="0.35">
      <c r="A711" t="s">
        <v>971</v>
      </c>
      <c r="B711" t="s">
        <v>87</v>
      </c>
      <c r="C711" t="s">
        <v>26</v>
      </c>
      <c r="D711">
        <v>20</v>
      </c>
      <c r="E711" t="s">
        <v>12</v>
      </c>
      <c r="F711" t="s">
        <v>18</v>
      </c>
      <c r="G711">
        <v>250</v>
      </c>
      <c r="H711">
        <v>14</v>
      </c>
      <c r="I711" t="s">
        <v>28</v>
      </c>
      <c r="J711" t="str">
        <f>_xlfn.XLOOKUP(C711,'product_masterlist(ifs)'!A:A,'product_masterlist(ifs)'!C:C,"N/A",0)</f>
        <v>Contact Lenses</v>
      </c>
      <c r="K711">
        <f>VLOOKUP(C711,'product_masterlist(ifs)'!A:I,7,FALSE)</f>
        <v>450</v>
      </c>
    </row>
    <row r="712" spans="1:11" x14ac:dyDescent="0.35">
      <c r="A712" t="s">
        <v>972</v>
      </c>
      <c r="B712" t="s">
        <v>967</v>
      </c>
      <c r="C712" t="s">
        <v>26</v>
      </c>
      <c r="D712">
        <v>3</v>
      </c>
      <c r="E712" t="s">
        <v>37</v>
      </c>
      <c r="F712" t="s">
        <v>31</v>
      </c>
      <c r="G712" t="s">
        <v>40</v>
      </c>
      <c r="H712">
        <v>14</v>
      </c>
      <c r="I712" t="s">
        <v>28</v>
      </c>
      <c r="J712" t="str">
        <f>_xlfn.XLOOKUP(C712,'product_masterlist(ifs)'!A:A,'product_masterlist(ifs)'!C:C,"N/A",0)</f>
        <v>Contact Lenses</v>
      </c>
      <c r="K712">
        <f>VLOOKUP(C712,'product_masterlist(ifs)'!A:I,7,FALSE)</f>
        <v>450</v>
      </c>
    </row>
    <row r="713" spans="1:11" x14ac:dyDescent="0.35">
      <c r="A713" t="s">
        <v>973</v>
      </c>
      <c r="B713" t="s">
        <v>895</v>
      </c>
      <c r="C713" t="s">
        <v>90</v>
      </c>
      <c r="D713">
        <v>13</v>
      </c>
      <c r="E713" t="s">
        <v>37</v>
      </c>
      <c r="F713" t="s">
        <v>31</v>
      </c>
      <c r="G713" t="s">
        <v>262</v>
      </c>
      <c r="H713">
        <v>30</v>
      </c>
      <c r="I713" t="s">
        <v>14</v>
      </c>
      <c r="J713" t="str">
        <f>_xlfn.XLOOKUP(C713,'product_masterlist(ifs)'!A:A,'product_masterlist(ifs)'!C:C,"N/A",0)</f>
        <v>Frames</v>
      </c>
      <c r="K713">
        <f>VLOOKUP(C713,'product_masterlist(ifs)'!A:I,7,FALSE)</f>
        <v>180</v>
      </c>
    </row>
    <row r="714" spans="1:11" x14ac:dyDescent="0.35">
      <c r="A714" t="s">
        <v>974</v>
      </c>
      <c r="B714" t="s">
        <v>975</v>
      </c>
      <c r="C714" t="s">
        <v>42</v>
      </c>
      <c r="D714">
        <v>21</v>
      </c>
      <c r="E714" t="s">
        <v>12</v>
      </c>
      <c r="F714" t="s">
        <v>18</v>
      </c>
      <c r="G714">
        <v>525</v>
      </c>
      <c r="H714">
        <v>21</v>
      </c>
      <c r="I714" t="s">
        <v>14</v>
      </c>
      <c r="J714" t="str">
        <f>_xlfn.XLOOKUP(C714,'product_masterlist(ifs)'!A:A,'product_masterlist(ifs)'!C:C,"N/A",0)</f>
        <v>Contact Lenses</v>
      </c>
      <c r="K714">
        <f>VLOOKUP(C714,'product_masterlist(ifs)'!A:I,7,FALSE)</f>
        <v>120</v>
      </c>
    </row>
    <row r="715" spans="1:11" x14ac:dyDescent="0.35">
      <c r="A715" t="s">
        <v>976</v>
      </c>
      <c r="B715" s="1">
        <v>45819</v>
      </c>
      <c r="C715" t="s">
        <v>17</v>
      </c>
      <c r="D715">
        <v>22</v>
      </c>
      <c r="E715" t="s">
        <v>37</v>
      </c>
      <c r="F715" t="s">
        <v>18</v>
      </c>
      <c r="G715">
        <v>990</v>
      </c>
      <c r="H715">
        <v>30</v>
      </c>
      <c r="I715" t="s">
        <v>14</v>
      </c>
      <c r="J715" t="str">
        <f>_xlfn.XLOOKUP(C715,'product_masterlist(ifs)'!A:A,'product_masterlist(ifs)'!C:C,"N/A",0)</f>
        <v>Frames</v>
      </c>
      <c r="K715">
        <f>VLOOKUP(C715,'product_masterlist(ifs)'!A:I,7,FALSE)</f>
        <v>45</v>
      </c>
    </row>
    <row r="716" spans="1:11" x14ac:dyDescent="0.35">
      <c r="A716" t="s">
        <v>977</v>
      </c>
      <c r="B716" t="s">
        <v>744</v>
      </c>
      <c r="C716" t="s">
        <v>17</v>
      </c>
      <c r="D716">
        <v>13</v>
      </c>
      <c r="E716" t="s">
        <v>37</v>
      </c>
      <c r="F716" t="s">
        <v>31</v>
      </c>
      <c r="G716">
        <v>585</v>
      </c>
      <c r="H716">
        <v>30</v>
      </c>
      <c r="I716" t="s">
        <v>14</v>
      </c>
      <c r="J716" t="str">
        <f>_xlfn.XLOOKUP(C716,'product_masterlist(ifs)'!A:A,'product_masterlist(ifs)'!C:C,"N/A",0)</f>
        <v>Frames</v>
      </c>
      <c r="K716">
        <f>VLOOKUP(C716,'product_masterlist(ifs)'!A:I,7,FALSE)</f>
        <v>45</v>
      </c>
    </row>
    <row r="717" spans="1:11" x14ac:dyDescent="0.35">
      <c r="A717" t="s">
        <v>978</v>
      </c>
      <c r="B717" t="s">
        <v>194</v>
      </c>
      <c r="C717" t="s">
        <v>26</v>
      </c>
      <c r="D717">
        <v>12</v>
      </c>
      <c r="E717" t="s">
        <v>20</v>
      </c>
      <c r="F717" t="s">
        <v>18</v>
      </c>
      <c r="G717">
        <v>150</v>
      </c>
      <c r="H717">
        <v>14</v>
      </c>
      <c r="I717" t="s">
        <v>28</v>
      </c>
      <c r="J717" t="str">
        <f>_xlfn.XLOOKUP(C717,'product_masterlist(ifs)'!A:A,'product_masterlist(ifs)'!C:C,"N/A",0)</f>
        <v>Contact Lenses</v>
      </c>
      <c r="K717">
        <f>VLOOKUP(C717,'product_masterlist(ifs)'!A:I,7,FALSE)</f>
        <v>450</v>
      </c>
    </row>
    <row r="718" spans="1:11" x14ac:dyDescent="0.35">
      <c r="A718" t="s">
        <v>979</v>
      </c>
      <c r="B718" t="s">
        <v>192</v>
      </c>
      <c r="C718" t="s">
        <v>17</v>
      </c>
      <c r="D718">
        <v>6</v>
      </c>
      <c r="E718" t="s">
        <v>20</v>
      </c>
      <c r="F718" t="s">
        <v>18</v>
      </c>
      <c r="G718">
        <v>270</v>
      </c>
      <c r="H718">
        <v>30</v>
      </c>
      <c r="I718" t="s">
        <v>14</v>
      </c>
      <c r="J718" t="str">
        <f>_xlfn.XLOOKUP(C718,'product_masterlist(ifs)'!A:A,'product_masterlist(ifs)'!C:C,"N/A",0)</f>
        <v>Frames</v>
      </c>
      <c r="K718">
        <f>VLOOKUP(C718,'product_masterlist(ifs)'!A:I,7,FALSE)</f>
        <v>45</v>
      </c>
    </row>
    <row r="719" spans="1:11" x14ac:dyDescent="0.35">
      <c r="A719" t="s">
        <v>980</v>
      </c>
      <c r="B719" t="s">
        <v>737</v>
      </c>
      <c r="C719" t="s">
        <v>17</v>
      </c>
      <c r="D719">
        <v>9</v>
      </c>
      <c r="E719" t="s">
        <v>12</v>
      </c>
      <c r="F719" t="s">
        <v>23</v>
      </c>
      <c r="G719">
        <v>405</v>
      </c>
      <c r="H719">
        <v>30</v>
      </c>
      <c r="I719" t="s">
        <v>14</v>
      </c>
      <c r="J719" t="str">
        <f>_xlfn.XLOOKUP(C719,'product_masterlist(ifs)'!A:A,'product_masterlist(ifs)'!C:C,"N/A",0)</f>
        <v>Frames</v>
      </c>
      <c r="K719">
        <f>VLOOKUP(C719,'product_masterlist(ifs)'!A:I,7,FALSE)</f>
        <v>45</v>
      </c>
    </row>
    <row r="720" spans="1:11" x14ac:dyDescent="0.35">
      <c r="A720" t="s">
        <v>981</v>
      </c>
      <c r="B720" t="s">
        <v>468</v>
      </c>
      <c r="C720" t="s">
        <v>17</v>
      </c>
      <c r="D720">
        <v>6</v>
      </c>
      <c r="E720" t="s">
        <v>37</v>
      </c>
      <c r="F720" t="s">
        <v>18</v>
      </c>
      <c r="G720">
        <v>270</v>
      </c>
      <c r="H720">
        <v>30</v>
      </c>
      <c r="I720" t="s">
        <v>14</v>
      </c>
      <c r="J720" t="str">
        <f>_xlfn.XLOOKUP(C720,'product_masterlist(ifs)'!A:A,'product_masterlist(ifs)'!C:C,"N/A",0)</f>
        <v>Frames</v>
      </c>
      <c r="K720">
        <f>VLOOKUP(C720,'product_masterlist(ifs)'!A:I,7,FALSE)</f>
        <v>45</v>
      </c>
    </row>
    <row r="721" spans="1:11" x14ac:dyDescent="0.35">
      <c r="A721" t="s">
        <v>982</v>
      </c>
      <c r="B721" t="s">
        <v>408</v>
      </c>
      <c r="C721" t="s">
        <v>17</v>
      </c>
      <c r="D721">
        <v>21</v>
      </c>
      <c r="E721" t="s">
        <v>37</v>
      </c>
      <c r="F721" t="s">
        <v>18</v>
      </c>
      <c r="G721">
        <v>945</v>
      </c>
      <c r="H721">
        <v>30</v>
      </c>
      <c r="I721" t="s">
        <v>14</v>
      </c>
      <c r="J721" t="str">
        <f>_xlfn.XLOOKUP(C721,'product_masterlist(ifs)'!A:A,'product_masterlist(ifs)'!C:C,"N/A",0)</f>
        <v>Frames</v>
      </c>
      <c r="K721">
        <f>VLOOKUP(C721,'product_masterlist(ifs)'!A:I,7,FALSE)</f>
        <v>45</v>
      </c>
    </row>
    <row r="722" spans="1:11" x14ac:dyDescent="0.35">
      <c r="A722" t="s">
        <v>983</v>
      </c>
      <c r="B722" t="s">
        <v>192</v>
      </c>
      <c r="C722" t="s">
        <v>90</v>
      </c>
      <c r="D722">
        <v>3</v>
      </c>
      <c r="E722" t="s">
        <v>37</v>
      </c>
      <c r="F722" t="s">
        <v>23</v>
      </c>
      <c r="G722" t="s">
        <v>375</v>
      </c>
      <c r="H722">
        <v>30</v>
      </c>
      <c r="I722" t="s">
        <v>14</v>
      </c>
      <c r="J722" t="str">
        <f>_xlfn.XLOOKUP(C722,'product_masterlist(ifs)'!A:A,'product_masterlist(ifs)'!C:C,"N/A",0)</f>
        <v>Frames</v>
      </c>
      <c r="K722">
        <f>VLOOKUP(C722,'product_masterlist(ifs)'!A:I,7,FALSE)</f>
        <v>180</v>
      </c>
    </row>
    <row r="723" spans="1:11" x14ac:dyDescent="0.35">
      <c r="A723" t="s">
        <v>984</v>
      </c>
      <c r="B723" t="s">
        <v>103</v>
      </c>
      <c r="C723" t="s">
        <v>53</v>
      </c>
      <c r="D723">
        <v>3</v>
      </c>
      <c r="E723" t="s">
        <v>20</v>
      </c>
      <c r="F723" t="s">
        <v>23</v>
      </c>
      <c r="G723" t="s">
        <v>278</v>
      </c>
      <c r="H723">
        <v>7</v>
      </c>
      <c r="I723" t="s">
        <v>28</v>
      </c>
      <c r="J723" t="str">
        <f>_xlfn.XLOOKUP(C723,'product_masterlist(ifs)'!A:A,'product_masterlist(ifs)'!C:C,"N/A",0)</f>
        <v>Solutions</v>
      </c>
      <c r="K723">
        <f>VLOOKUP(C723,'product_masterlist(ifs)'!A:I,7,FALSE)</f>
        <v>800</v>
      </c>
    </row>
    <row r="724" spans="1:11" x14ac:dyDescent="0.35">
      <c r="A724" t="s">
        <v>985</v>
      </c>
      <c r="B724" s="1">
        <v>45904</v>
      </c>
      <c r="C724" t="s">
        <v>17</v>
      </c>
      <c r="D724">
        <v>25</v>
      </c>
      <c r="E724" t="s">
        <v>37</v>
      </c>
      <c r="F724" t="s">
        <v>31</v>
      </c>
      <c r="G724">
        <v>1125</v>
      </c>
      <c r="H724">
        <v>30</v>
      </c>
      <c r="I724" t="s">
        <v>14</v>
      </c>
      <c r="J724" t="str">
        <f>_xlfn.XLOOKUP(C724,'product_masterlist(ifs)'!A:A,'product_masterlist(ifs)'!C:C,"N/A",0)</f>
        <v>Frames</v>
      </c>
      <c r="K724">
        <f>VLOOKUP(C724,'product_masterlist(ifs)'!A:I,7,FALSE)</f>
        <v>45</v>
      </c>
    </row>
    <row r="725" spans="1:11" x14ac:dyDescent="0.35">
      <c r="A725" t="s">
        <v>986</v>
      </c>
      <c r="B725" t="s">
        <v>379</v>
      </c>
      <c r="C725" t="s">
        <v>26</v>
      </c>
      <c r="D725">
        <v>16</v>
      </c>
      <c r="E725" t="s">
        <v>12</v>
      </c>
      <c r="F725" t="s">
        <v>23</v>
      </c>
      <c r="G725">
        <v>200</v>
      </c>
      <c r="H725">
        <v>14</v>
      </c>
      <c r="I725" t="s">
        <v>28</v>
      </c>
      <c r="J725" t="str">
        <f>_xlfn.XLOOKUP(C725,'product_masterlist(ifs)'!A:A,'product_masterlist(ifs)'!C:C,"N/A",0)</f>
        <v>Contact Lenses</v>
      </c>
      <c r="K725">
        <f>VLOOKUP(C725,'product_masterlist(ifs)'!A:I,7,FALSE)</f>
        <v>450</v>
      </c>
    </row>
    <row r="726" spans="1:11" x14ac:dyDescent="0.35">
      <c r="A726" t="s">
        <v>987</v>
      </c>
      <c r="B726" t="s">
        <v>988</v>
      </c>
      <c r="C726" t="s">
        <v>33</v>
      </c>
      <c r="D726">
        <v>2</v>
      </c>
      <c r="E726" t="s">
        <v>37</v>
      </c>
      <c r="F726" t="s">
        <v>13</v>
      </c>
      <c r="G726">
        <v>300</v>
      </c>
      <c r="H726">
        <v>45</v>
      </c>
      <c r="I726" t="s">
        <v>34</v>
      </c>
      <c r="J726" t="str">
        <f>_xlfn.XLOOKUP(C726,'product_masterlist(ifs)'!A:A,'product_masterlist(ifs)'!C:C,"N/A",0)</f>
        <v>Surgical</v>
      </c>
      <c r="K726">
        <f>VLOOKUP(C726,'product_masterlist(ifs)'!A:I,7,FALSE)</f>
        <v>15</v>
      </c>
    </row>
    <row r="727" spans="1:11" x14ac:dyDescent="0.35">
      <c r="A727" t="s">
        <v>989</v>
      </c>
      <c r="B727" t="s">
        <v>667</v>
      </c>
      <c r="C727" t="s">
        <v>42</v>
      </c>
      <c r="D727">
        <v>2</v>
      </c>
      <c r="E727" t="s">
        <v>22</v>
      </c>
      <c r="F727" t="s">
        <v>31</v>
      </c>
      <c r="G727">
        <v>50</v>
      </c>
      <c r="H727">
        <v>21</v>
      </c>
      <c r="I727" t="s">
        <v>14</v>
      </c>
      <c r="J727" t="str">
        <f>_xlfn.XLOOKUP(C727,'product_masterlist(ifs)'!A:A,'product_masterlist(ifs)'!C:C,"N/A",0)</f>
        <v>Contact Lenses</v>
      </c>
      <c r="K727">
        <f>VLOOKUP(C727,'product_masterlist(ifs)'!A:I,7,FALSE)</f>
        <v>120</v>
      </c>
    </row>
    <row r="728" spans="1:11" x14ac:dyDescent="0.35">
      <c r="A728" t="s">
        <v>990</v>
      </c>
      <c r="B728" t="s">
        <v>125</v>
      </c>
      <c r="C728" t="s">
        <v>33</v>
      </c>
      <c r="D728">
        <v>15</v>
      </c>
      <c r="E728" t="s">
        <v>22</v>
      </c>
      <c r="F728" t="s">
        <v>13</v>
      </c>
      <c r="G728">
        <v>2250</v>
      </c>
      <c r="H728">
        <v>45</v>
      </c>
      <c r="I728" t="s">
        <v>34</v>
      </c>
      <c r="J728" t="str">
        <f>_xlfn.XLOOKUP(C728,'product_masterlist(ifs)'!A:A,'product_masterlist(ifs)'!C:C,"N/A",0)</f>
        <v>Surgical</v>
      </c>
      <c r="K728">
        <f>VLOOKUP(C728,'product_masterlist(ifs)'!A:I,7,FALSE)</f>
        <v>15</v>
      </c>
    </row>
    <row r="729" spans="1:11" x14ac:dyDescent="0.35">
      <c r="A729" t="s">
        <v>991</v>
      </c>
      <c r="B729" t="s">
        <v>105</v>
      </c>
      <c r="C729" t="s">
        <v>90</v>
      </c>
      <c r="D729">
        <v>25</v>
      </c>
      <c r="E729" t="s">
        <v>22</v>
      </c>
      <c r="F729" t="s">
        <v>23</v>
      </c>
      <c r="G729" t="s">
        <v>308</v>
      </c>
      <c r="H729">
        <v>30</v>
      </c>
      <c r="I729" t="s">
        <v>14</v>
      </c>
      <c r="J729" t="str">
        <f>_xlfn.XLOOKUP(C729,'product_masterlist(ifs)'!A:A,'product_masterlist(ifs)'!C:C,"N/A",0)</f>
        <v>Frames</v>
      </c>
      <c r="K729">
        <f>VLOOKUP(C729,'product_masterlist(ifs)'!A:I,7,FALSE)</f>
        <v>180</v>
      </c>
    </row>
    <row r="730" spans="1:11" x14ac:dyDescent="0.35">
      <c r="A730" t="s">
        <v>992</v>
      </c>
      <c r="B730" t="s">
        <v>763</v>
      </c>
      <c r="C730" t="s">
        <v>42</v>
      </c>
      <c r="D730">
        <v>2</v>
      </c>
      <c r="E730" t="s">
        <v>12</v>
      </c>
      <c r="F730" t="s">
        <v>23</v>
      </c>
      <c r="G730">
        <v>50</v>
      </c>
      <c r="H730">
        <v>21</v>
      </c>
      <c r="I730" t="s">
        <v>14</v>
      </c>
      <c r="J730" t="str">
        <f>_xlfn.XLOOKUP(C730,'product_masterlist(ifs)'!A:A,'product_masterlist(ifs)'!C:C,"N/A",0)</f>
        <v>Contact Lenses</v>
      </c>
      <c r="K730">
        <f>VLOOKUP(C730,'product_masterlist(ifs)'!A:I,7,FALSE)</f>
        <v>120</v>
      </c>
    </row>
    <row r="731" spans="1:11" x14ac:dyDescent="0.35">
      <c r="A731" t="s">
        <v>993</v>
      </c>
      <c r="B731" s="1">
        <v>45939</v>
      </c>
      <c r="C731" t="s">
        <v>33</v>
      </c>
      <c r="D731">
        <v>15</v>
      </c>
      <c r="E731" t="s">
        <v>37</v>
      </c>
      <c r="F731" t="s">
        <v>23</v>
      </c>
      <c r="G731">
        <v>2250</v>
      </c>
      <c r="H731">
        <v>45</v>
      </c>
      <c r="I731" t="s">
        <v>34</v>
      </c>
      <c r="J731" t="str">
        <f>_xlfn.XLOOKUP(C731,'product_masterlist(ifs)'!A:A,'product_masterlist(ifs)'!C:C,"N/A",0)</f>
        <v>Surgical</v>
      </c>
      <c r="K731">
        <f>VLOOKUP(C731,'product_masterlist(ifs)'!A:I,7,FALSE)</f>
        <v>15</v>
      </c>
    </row>
    <row r="732" spans="1:11" x14ac:dyDescent="0.35">
      <c r="A732" t="s">
        <v>994</v>
      </c>
      <c r="B732" t="s">
        <v>205</v>
      </c>
      <c r="C732" t="s">
        <v>17</v>
      </c>
      <c r="D732">
        <v>9</v>
      </c>
      <c r="E732" t="s">
        <v>20</v>
      </c>
      <c r="F732" t="s">
        <v>31</v>
      </c>
      <c r="G732">
        <v>405</v>
      </c>
      <c r="H732">
        <v>30</v>
      </c>
      <c r="I732" t="s">
        <v>14</v>
      </c>
      <c r="J732" t="str">
        <f>_xlfn.XLOOKUP(C732,'product_masterlist(ifs)'!A:A,'product_masterlist(ifs)'!C:C,"N/A",0)</f>
        <v>Frames</v>
      </c>
      <c r="K732">
        <f>VLOOKUP(C732,'product_masterlist(ifs)'!A:I,7,FALSE)</f>
        <v>45</v>
      </c>
    </row>
    <row r="733" spans="1:11" x14ac:dyDescent="0.35">
      <c r="A733" t="s">
        <v>995</v>
      </c>
      <c r="B733" s="1">
        <v>45911</v>
      </c>
      <c r="C733" t="s">
        <v>33</v>
      </c>
      <c r="D733">
        <v>16</v>
      </c>
      <c r="E733" t="s">
        <v>37</v>
      </c>
      <c r="F733" t="s">
        <v>18</v>
      </c>
      <c r="G733">
        <v>2400</v>
      </c>
      <c r="H733">
        <v>45</v>
      </c>
      <c r="I733" t="s">
        <v>34</v>
      </c>
      <c r="J733" t="str">
        <f>_xlfn.XLOOKUP(C733,'product_masterlist(ifs)'!A:A,'product_masterlist(ifs)'!C:C,"N/A",0)</f>
        <v>Surgical</v>
      </c>
      <c r="K733">
        <f>VLOOKUP(C733,'product_masterlist(ifs)'!A:I,7,FALSE)</f>
        <v>15</v>
      </c>
    </row>
    <row r="734" spans="1:11" x14ac:dyDescent="0.35">
      <c r="A734" t="s">
        <v>996</v>
      </c>
      <c r="B734" t="s">
        <v>690</v>
      </c>
      <c r="C734" t="s">
        <v>42</v>
      </c>
      <c r="D734">
        <v>6</v>
      </c>
      <c r="E734" t="s">
        <v>20</v>
      </c>
      <c r="F734" t="s">
        <v>31</v>
      </c>
      <c r="G734">
        <v>150</v>
      </c>
      <c r="H734">
        <v>21</v>
      </c>
      <c r="I734" t="s">
        <v>14</v>
      </c>
      <c r="J734" t="str">
        <f>_xlfn.XLOOKUP(C734,'product_masterlist(ifs)'!A:A,'product_masterlist(ifs)'!C:C,"N/A",0)</f>
        <v>Contact Lenses</v>
      </c>
      <c r="K734">
        <f>VLOOKUP(C734,'product_masterlist(ifs)'!A:I,7,FALSE)</f>
        <v>120</v>
      </c>
    </row>
    <row r="735" spans="1:11" x14ac:dyDescent="0.35">
      <c r="A735" t="s">
        <v>997</v>
      </c>
      <c r="B735" s="1">
        <v>45696</v>
      </c>
      <c r="C735" t="s">
        <v>42</v>
      </c>
      <c r="D735">
        <v>11</v>
      </c>
      <c r="E735" t="s">
        <v>12</v>
      </c>
      <c r="F735" t="s">
        <v>31</v>
      </c>
      <c r="G735">
        <v>275</v>
      </c>
      <c r="H735">
        <v>21</v>
      </c>
      <c r="I735" t="s">
        <v>14</v>
      </c>
      <c r="J735" t="str">
        <f>_xlfn.XLOOKUP(C735,'product_masterlist(ifs)'!A:A,'product_masterlist(ifs)'!C:C,"N/A",0)</f>
        <v>Contact Lenses</v>
      </c>
      <c r="K735">
        <f>VLOOKUP(C735,'product_masterlist(ifs)'!A:I,7,FALSE)</f>
        <v>120</v>
      </c>
    </row>
    <row r="736" spans="1:11" x14ac:dyDescent="0.35">
      <c r="A736" t="s">
        <v>998</v>
      </c>
      <c r="B736" t="s">
        <v>999</v>
      </c>
      <c r="C736" t="s">
        <v>33</v>
      </c>
      <c r="D736">
        <v>14</v>
      </c>
      <c r="E736" t="s">
        <v>37</v>
      </c>
      <c r="F736" t="s">
        <v>31</v>
      </c>
      <c r="G736">
        <v>2100</v>
      </c>
      <c r="H736">
        <v>45</v>
      </c>
      <c r="I736" t="s">
        <v>34</v>
      </c>
      <c r="J736" t="str">
        <f>_xlfn.XLOOKUP(C736,'product_masterlist(ifs)'!A:A,'product_masterlist(ifs)'!C:C,"N/A",0)</f>
        <v>Surgical</v>
      </c>
      <c r="K736">
        <f>VLOOKUP(C736,'product_masterlist(ifs)'!A:I,7,FALSE)</f>
        <v>15</v>
      </c>
    </row>
    <row r="737" spans="1:11" x14ac:dyDescent="0.35">
      <c r="A737" t="s">
        <v>1000</v>
      </c>
      <c r="B737" s="1">
        <v>45962</v>
      </c>
      <c r="C737" t="s">
        <v>53</v>
      </c>
      <c r="D737">
        <v>15</v>
      </c>
      <c r="E737" t="s">
        <v>37</v>
      </c>
      <c r="F737" t="s">
        <v>18</v>
      </c>
      <c r="G737" t="s">
        <v>93</v>
      </c>
      <c r="H737">
        <v>7</v>
      </c>
      <c r="I737" t="s">
        <v>28</v>
      </c>
      <c r="J737" t="str">
        <f>_xlfn.XLOOKUP(C737,'product_masterlist(ifs)'!A:A,'product_masterlist(ifs)'!C:C,"N/A",0)</f>
        <v>Solutions</v>
      </c>
      <c r="K737">
        <f>VLOOKUP(C737,'product_masterlist(ifs)'!A:I,7,FALSE)</f>
        <v>800</v>
      </c>
    </row>
    <row r="738" spans="1:11" x14ac:dyDescent="0.35">
      <c r="A738" t="s">
        <v>1001</v>
      </c>
      <c r="B738" t="s">
        <v>39</v>
      </c>
      <c r="C738" t="s">
        <v>11</v>
      </c>
      <c r="D738">
        <v>24</v>
      </c>
      <c r="E738" t="s">
        <v>12</v>
      </c>
      <c r="F738" t="s">
        <v>31</v>
      </c>
      <c r="G738">
        <v>2040</v>
      </c>
      <c r="H738">
        <v>30</v>
      </c>
      <c r="I738" t="s">
        <v>14</v>
      </c>
      <c r="J738" t="str">
        <f>_xlfn.XLOOKUP(C738,'product_masterlist(ifs)'!A:A,'product_masterlist(ifs)'!C:C,"N/A",0)</f>
        <v>Surgical</v>
      </c>
      <c r="K738">
        <f>VLOOKUP(C738,'product_masterlist(ifs)'!A:I,7,FALSE)</f>
        <v>40</v>
      </c>
    </row>
    <row r="739" spans="1:11" x14ac:dyDescent="0.35">
      <c r="A739" t="s">
        <v>1002</v>
      </c>
      <c r="B739" t="s">
        <v>212</v>
      </c>
      <c r="C739" t="s">
        <v>11</v>
      </c>
      <c r="D739">
        <v>18</v>
      </c>
      <c r="E739" t="s">
        <v>12</v>
      </c>
      <c r="F739" t="s">
        <v>13</v>
      </c>
      <c r="G739">
        <v>1530</v>
      </c>
      <c r="H739">
        <v>30</v>
      </c>
      <c r="I739" t="s">
        <v>14</v>
      </c>
      <c r="J739" t="str">
        <f>_xlfn.XLOOKUP(C739,'product_masterlist(ifs)'!A:A,'product_masterlist(ifs)'!C:C,"N/A",0)</f>
        <v>Surgical</v>
      </c>
      <c r="K739">
        <f>VLOOKUP(C739,'product_masterlist(ifs)'!A:I,7,FALSE)</f>
        <v>40</v>
      </c>
    </row>
    <row r="740" spans="1:11" x14ac:dyDescent="0.35">
      <c r="A740" t="s">
        <v>1003</v>
      </c>
      <c r="B740" t="s">
        <v>345</v>
      </c>
      <c r="C740" t="s">
        <v>11</v>
      </c>
      <c r="D740">
        <v>18</v>
      </c>
      <c r="E740" t="s">
        <v>12</v>
      </c>
      <c r="F740" t="s">
        <v>18</v>
      </c>
      <c r="G740">
        <v>1530</v>
      </c>
      <c r="H740">
        <v>30</v>
      </c>
      <c r="I740" t="s">
        <v>14</v>
      </c>
      <c r="J740" t="str">
        <f>_xlfn.XLOOKUP(C740,'product_masterlist(ifs)'!A:A,'product_masterlist(ifs)'!C:C,"N/A",0)</f>
        <v>Surgical</v>
      </c>
      <c r="K740">
        <f>VLOOKUP(C740,'product_masterlist(ifs)'!A:I,7,FALSE)</f>
        <v>40</v>
      </c>
    </row>
    <row r="741" spans="1:11" x14ac:dyDescent="0.35">
      <c r="A741" t="s">
        <v>1004</v>
      </c>
      <c r="B741" s="1">
        <v>45993</v>
      </c>
      <c r="C741" t="s">
        <v>26</v>
      </c>
      <c r="D741">
        <v>16</v>
      </c>
      <c r="E741" t="s">
        <v>37</v>
      </c>
      <c r="F741" t="s">
        <v>13</v>
      </c>
      <c r="G741">
        <v>200</v>
      </c>
      <c r="H741">
        <v>14</v>
      </c>
      <c r="I741" t="s">
        <v>28</v>
      </c>
      <c r="J741" t="str">
        <f>_xlfn.XLOOKUP(C741,'product_masterlist(ifs)'!A:A,'product_masterlist(ifs)'!C:C,"N/A",0)</f>
        <v>Contact Lenses</v>
      </c>
      <c r="K741">
        <f>VLOOKUP(C741,'product_masterlist(ifs)'!A:I,7,FALSE)</f>
        <v>450</v>
      </c>
    </row>
    <row r="742" spans="1:11" x14ac:dyDescent="0.35">
      <c r="A742" t="s">
        <v>1005</v>
      </c>
      <c r="B742" t="s">
        <v>1006</v>
      </c>
      <c r="C742" t="s">
        <v>53</v>
      </c>
      <c r="D742">
        <v>6</v>
      </c>
      <c r="E742" t="s">
        <v>12</v>
      </c>
      <c r="F742" t="s">
        <v>31</v>
      </c>
      <c r="G742" t="s">
        <v>369</v>
      </c>
      <c r="H742">
        <v>7</v>
      </c>
      <c r="I742" t="s">
        <v>28</v>
      </c>
      <c r="J742" t="str">
        <f>_xlfn.XLOOKUP(C742,'product_masterlist(ifs)'!A:A,'product_masterlist(ifs)'!C:C,"N/A",0)</f>
        <v>Solutions</v>
      </c>
      <c r="K742">
        <f>VLOOKUP(C742,'product_masterlist(ifs)'!A:I,7,FALSE)</f>
        <v>800</v>
      </c>
    </row>
    <row r="743" spans="1:11" x14ac:dyDescent="0.35">
      <c r="A743" t="s">
        <v>1007</v>
      </c>
      <c r="B743" t="s">
        <v>165</v>
      </c>
      <c r="C743" t="s">
        <v>53</v>
      </c>
      <c r="D743">
        <v>5</v>
      </c>
      <c r="E743" t="s">
        <v>37</v>
      </c>
      <c r="F743" t="s">
        <v>13</v>
      </c>
      <c r="G743" t="s">
        <v>854</v>
      </c>
      <c r="H743">
        <v>7</v>
      </c>
      <c r="I743" t="s">
        <v>28</v>
      </c>
      <c r="J743" t="str">
        <f>_xlfn.XLOOKUP(C743,'product_masterlist(ifs)'!A:A,'product_masterlist(ifs)'!C:C,"N/A",0)</f>
        <v>Solutions</v>
      </c>
      <c r="K743">
        <f>VLOOKUP(C743,'product_masterlist(ifs)'!A:I,7,FALSE)</f>
        <v>800</v>
      </c>
    </row>
    <row r="744" spans="1:11" x14ac:dyDescent="0.35">
      <c r="A744" t="s">
        <v>1008</v>
      </c>
      <c r="B744" t="s">
        <v>503</v>
      </c>
      <c r="C744" t="s">
        <v>42</v>
      </c>
      <c r="D744">
        <v>13</v>
      </c>
      <c r="E744" t="s">
        <v>37</v>
      </c>
      <c r="F744" t="s">
        <v>31</v>
      </c>
      <c r="G744">
        <v>325</v>
      </c>
      <c r="H744">
        <v>21</v>
      </c>
      <c r="I744" t="s">
        <v>14</v>
      </c>
      <c r="J744" t="str">
        <f>_xlfn.XLOOKUP(C744,'product_masterlist(ifs)'!A:A,'product_masterlist(ifs)'!C:C,"N/A",0)</f>
        <v>Contact Lenses</v>
      </c>
      <c r="K744">
        <f>VLOOKUP(C744,'product_masterlist(ifs)'!A:I,7,FALSE)</f>
        <v>120</v>
      </c>
    </row>
    <row r="745" spans="1:11" x14ac:dyDescent="0.35">
      <c r="A745" t="s">
        <v>1009</v>
      </c>
      <c r="B745" s="1">
        <v>45700</v>
      </c>
      <c r="C745" t="s">
        <v>42</v>
      </c>
      <c r="D745">
        <v>18</v>
      </c>
      <c r="E745" t="s">
        <v>22</v>
      </c>
      <c r="F745" t="s">
        <v>31</v>
      </c>
      <c r="G745">
        <v>450</v>
      </c>
      <c r="H745">
        <v>21</v>
      </c>
      <c r="I745" t="s">
        <v>14</v>
      </c>
      <c r="J745" t="str">
        <f>_xlfn.XLOOKUP(C745,'product_masterlist(ifs)'!A:A,'product_masterlist(ifs)'!C:C,"N/A",0)</f>
        <v>Contact Lenses</v>
      </c>
      <c r="K745">
        <f>VLOOKUP(C745,'product_masterlist(ifs)'!A:I,7,FALSE)</f>
        <v>120</v>
      </c>
    </row>
    <row r="746" spans="1:11" x14ac:dyDescent="0.35">
      <c r="A746" t="s">
        <v>1010</v>
      </c>
      <c r="B746" t="s">
        <v>352</v>
      </c>
      <c r="C746" t="s">
        <v>33</v>
      </c>
      <c r="D746">
        <v>9</v>
      </c>
      <c r="E746" t="s">
        <v>37</v>
      </c>
      <c r="F746" t="s">
        <v>23</v>
      </c>
      <c r="G746">
        <v>1350</v>
      </c>
      <c r="H746">
        <v>45</v>
      </c>
      <c r="I746" t="s">
        <v>34</v>
      </c>
      <c r="J746" t="str">
        <f>_xlfn.XLOOKUP(C746,'product_masterlist(ifs)'!A:A,'product_masterlist(ifs)'!C:C,"N/A",0)</f>
        <v>Surgical</v>
      </c>
      <c r="K746">
        <f>VLOOKUP(C746,'product_masterlist(ifs)'!A:I,7,FALSE)</f>
        <v>15</v>
      </c>
    </row>
    <row r="747" spans="1:11" x14ac:dyDescent="0.35">
      <c r="A747" t="s">
        <v>1011</v>
      </c>
      <c r="B747" t="s">
        <v>208</v>
      </c>
      <c r="C747" t="s">
        <v>42</v>
      </c>
      <c r="D747">
        <v>11</v>
      </c>
      <c r="E747" t="s">
        <v>37</v>
      </c>
      <c r="F747" t="s">
        <v>23</v>
      </c>
      <c r="G747">
        <v>275</v>
      </c>
      <c r="H747">
        <v>21</v>
      </c>
      <c r="I747" t="s">
        <v>14</v>
      </c>
      <c r="J747" t="str">
        <f>_xlfn.XLOOKUP(C747,'product_masterlist(ifs)'!A:A,'product_masterlist(ifs)'!C:C,"N/A",0)</f>
        <v>Contact Lenses</v>
      </c>
      <c r="K747">
        <f>VLOOKUP(C747,'product_masterlist(ifs)'!A:I,7,FALSE)</f>
        <v>120</v>
      </c>
    </row>
    <row r="748" spans="1:11" x14ac:dyDescent="0.35">
      <c r="A748" t="s">
        <v>1012</v>
      </c>
      <c r="B748" s="1">
        <v>45788</v>
      </c>
      <c r="C748" t="s">
        <v>33</v>
      </c>
      <c r="D748">
        <v>17</v>
      </c>
      <c r="E748" t="s">
        <v>22</v>
      </c>
      <c r="F748" t="s">
        <v>13</v>
      </c>
      <c r="G748">
        <v>2550</v>
      </c>
      <c r="H748">
        <v>45</v>
      </c>
      <c r="I748" t="s">
        <v>34</v>
      </c>
      <c r="J748" t="str">
        <f>_xlfn.XLOOKUP(C748,'product_masterlist(ifs)'!A:A,'product_masterlist(ifs)'!C:C,"N/A",0)</f>
        <v>Surgical</v>
      </c>
      <c r="K748">
        <f>VLOOKUP(C748,'product_masterlist(ifs)'!A:I,7,FALSE)</f>
        <v>15</v>
      </c>
    </row>
    <row r="749" spans="1:11" x14ac:dyDescent="0.35">
      <c r="A749" t="s">
        <v>1013</v>
      </c>
      <c r="B749" s="1">
        <v>45697</v>
      </c>
      <c r="C749" t="s">
        <v>11</v>
      </c>
      <c r="D749">
        <v>1</v>
      </c>
      <c r="E749" t="s">
        <v>12</v>
      </c>
      <c r="F749" t="s">
        <v>18</v>
      </c>
      <c r="G749">
        <v>85</v>
      </c>
      <c r="H749">
        <v>30</v>
      </c>
      <c r="I749" t="s">
        <v>14</v>
      </c>
      <c r="J749" t="str">
        <f>_xlfn.XLOOKUP(C749,'product_masterlist(ifs)'!A:A,'product_masterlist(ifs)'!C:C,"N/A",0)</f>
        <v>Surgical</v>
      </c>
      <c r="K749">
        <f>VLOOKUP(C749,'product_masterlist(ifs)'!A:I,7,FALSE)</f>
        <v>40</v>
      </c>
    </row>
    <row r="750" spans="1:11" x14ac:dyDescent="0.35">
      <c r="A750" t="s">
        <v>1014</v>
      </c>
      <c r="B750" t="s">
        <v>475</v>
      </c>
      <c r="C750" t="s">
        <v>26</v>
      </c>
      <c r="D750">
        <v>3</v>
      </c>
      <c r="E750" t="s">
        <v>12</v>
      </c>
      <c r="F750" t="s">
        <v>13</v>
      </c>
      <c r="G750" t="s">
        <v>40</v>
      </c>
      <c r="H750">
        <v>14</v>
      </c>
      <c r="I750" t="s">
        <v>28</v>
      </c>
      <c r="J750" t="str">
        <f>_xlfn.XLOOKUP(C750,'product_masterlist(ifs)'!A:A,'product_masterlist(ifs)'!C:C,"N/A",0)</f>
        <v>Contact Lenses</v>
      </c>
      <c r="K750">
        <f>VLOOKUP(C750,'product_masterlist(ifs)'!A:I,7,FALSE)</f>
        <v>450</v>
      </c>
    </row>
    <row r="751" spans="1:11" x14ac:dyDescent="0.35">
      <c r="A751" t="s">
        <v>1015</v>
      </c>
      <c r="B751" t="s">
        <v>1016</v>
      </c>
      <c r="C751" t="s">
        <v>33</v>
      </c>
      <c r="D751">
        <v>1</v>
      </c>
      <c r="E751" t="s">
        <v>22</v>
      </c>
      <c r="F751" t="s">
        <v>13</v>
      </c>
      <c r="G751">
        <v>150</v>
      </c>
      <c r="H751">
        <v>45</v>
      </c>
      <c r="I751" t="s">
        <v>34</v>
      </c>
      <c r="J751" t="str">
        <f>_xlfn.XLOOKUP(C751,'product_masterlist(ifs)'!A:A,'product_masterlist(ifs)'!C:C,"N/A",0)</f>
        <v>Surgical</v>
      </c>
      <c r="K751">
        <f>VLOOKUP(C751,'product_masterlist(ifs)'!A:I,7,FALSE)</f>
        <v>15</v>
      </c>
    </row>
    <row r="752" spans="1:11" x14ac:dyDescent="0.35">
      <c r="A752" t="s">
        <v>1017</v>
      </c>
      <c r="B752" t="s">
        <v>451</v>
      </c>
      <c r="C752" t="s">
        <v>53</v>
      </c>
      <c r="D752">
        <v>3</v>
      </c>
      <c r="E752" t="s">
        <v>12</v>
      </c>
      <c r="F752" t="s">
        <v>31</v>
      </c>
      <c r="G752" t="s">
        <v>278</v>
      </c>
      <c r="H752">
        <v>7</v>
      </c>
      <c r="I752" t="s">
        <v>28</v>
      </c>
      <c r="J752" t="str">
        <f>_xlfn.XLOOKUP(C752,'product_masterlist(ifs)'!A:A,'product_masterlist(ifs)'!C:C,"N/A",0)</f>
        <v>Solutions</v>
      </c>
      <c r="K752">
        <f>VLOOKUP(C752,'product_masterlist(ifs)'!A:I,7,FALSE)</f>
        <v>800</v>
      </c>
    </row>
    <row r="753" spans="1:11" x14ac:dyDescent="0.35">
      <c r="A753" t="s">
        <v>1018</v>
      </c>
      <c r="B753" s="1">
        <v>45758</v>
      </c>
      <c r="C753" t="s">
        <v>33</v>
      </c>
      <c r="D753">
        <v>15</v>
      </c>
      <c r="E753" t="s">
        <v>22</v>
      </c>
      <c r="F753" t="s">
        <v>23</v>
      </c>
      <c r="G753">
        <v>2250</v>
      </c>
      <c r="H753">
        <v>45</v>
      </c>
      <c r="I753" t="s">
        <v>34</v>
      </c>
      <c r="J753" t="str">
        <f>_xlfn.XLOOKUP(C753,'product_masterlist(ifs)'!A:A,'product_masterlist(ifs)'!C:C,"N/A",0)</f>
        <v>Surgical</v>
      </c>
      <c r="K753">
        <f>VLOOKUP(C753,'product_masterlist(ifs)'!A:I,7,FALSE)</f>
        <v>15</v>
      </c>
    </row>
    <row r="754" spans="1:11" x14ac:dyDescent="0.35">
      <c r="A754" t="s">
        <v>1019</v>
      </c>
      <c r="B754" t="s">
        <v>975</v>
      </c>
      <c r="C754" t="s">
        <v>90</v>
      </c>
      <c r="D754">
        <v>12</v>
      </c>
      <c r="E754" t="s">
        <v>37</v>
      </c>
      <c r="F754" t="s">
        <v>23</v>
      </c>
      <c r="G754">
        <v>582</v>
      </c>
      <c r="H754">
        <v>30</v>
      </c>
      <c r="I754" t="s">
        <v>14</v>
      </c>
      <c r="J754" t="str">
        <f>_xlfn.XLOOKUP(C754,'product_masterlist(ifs)'!A:A,'product_masterlist(ifs)'!C:C,"N/A",0)</f>
        <v>Frames</v>
      </c>
      <c r="K754">
        <f>VLOOKUP(C754,'product_masterlist(ifs)'!A:I,7,FALSE)</f>
        <v>180</v>
      </c>
    </row>
    <row r="755" spans="1:11" x14ac:dyDescent="0.35">
      <c r="A755" t="s">
        <v>1020</v>
      </c>
      <c r="B755" t="s">
        <v>1021</v>
      </c>
      <c r="C755" t="s">
        <v>42</v>
      </c>
      <c r="D755">
        <v>18</v>
      </c>
      <c r="E755" t="s">
        <v>12</v>
      </c>
      <c r="F755" t="s">
        <v>23</v>
      </c>
      <c r="G755">
        <v>450</v>
      </c>
      <c r="H755">
        <v>21</v>
      </c>
      <c r="I755" t="s">
        <v>14</v>
      </c>
      <c r="J755" t="str">
        <f>_xlfn.XLOOKUP(C755,'product_masterlist(ifs)'!A:A,'product_masterlist(ifs)'!C:C,"N/A",0)</f>
        <v>Contact Lenses</v>
      </c>
      <c r="K755">
        <f>VLOOKUP(C755,'product_masterlist(ifs)'!A:I,7,FALSE)</f>
        <v>120</v>
      </c>
    </row>
    <row r="756" spans="1:11" x14ac:dyDescent="0.35">
      <c r="A756" t="s">
        <v>1022</v>
      </c>
      <c r="B756" t="s">
        <v>379</v>
      </c>
      <c r="C756" t="s">
        <v>26</v>
      </c>
      <c r="D756">
        <v>17</v>
      </c>
      <c r="E756" t="s">
        <v>37</v>
      </c>
      <c r="F756" t="s">
        <v>31</v>
      </c>
      <c r="G756" t="s">
        <v>152</v>
      </c>
      <c r="H756">
        <v>14</v>
      </c>
      <c r="I756" t="s">
        <v>28</v>
      </c>
      <c r="J756" t="str">
        <f>_xlfn.XLOOKUP(C756,'product_masterlist(ifs)'!A:A,'product_masterlist(ifs)'!C:C,"N/A",0)</f>
        <v>Contact Lenses</v>
      </c>
      <c r="K756">
        <f>VLOOKUP(C756,'product_masterlist(ifs)'!A:I,7,FALSE)</f>
        <v>450</v>
      </c>
    </row>
    <row r="757" spans="1:11" x14ac:dyDescent="0.35">
      <c r="A757" t="s">
        <v>1023</v>
      </c>
      <c r="B757" s="1">
        <v>45748</v>
      </c>
      <c r="C757" t="s">
        <v>90</v>
      </c>
      <c r="D757">
        <v>10</v>
      </c>
      <c r="E757" t="s">
        <v>20</v>
      </c>
      <c r="F757" t="s">
        <v>13</v>
      </c>
      <c r="G757">
        <v>485</v>
      </c>
      <c r="H757">
        <v>30</v>
      </c>
      <c r="I757" t="s">
        <v>14</v>
      </c>
      <c r="J757" t="str">
        <f>_xlfn.XLOOKUP(C757,'product_masterlist(ifs)'!A:A,'product_masterlist(ifs)'!C:C,"N/A",0)</f>
        <v>Frames</v>
      </c>
      <c r="K757">
        <f>VLOOKUP(C757,'product_masterlist(ifs)'!A:I,7,FALSE)</f>
        <v>180</v>
      </c>
    </row>
    <row r="758" spans="1:11" x14ac:dyDescent="0.35">
      <c r="A758" t="s">
        <v>1024</v>
      </c>
      <c r="B758" s="1">
        <v>45664</v>
      </c>
      <c r="C758" t="s">
        <v>26</v>
      </c>
      <c r="D758">
        <v>3</v>
      </c>
      <c r="E758" t="s">
        <v>37</v>
      </c>
      <c r="F758" t="s">
        <v>13</v>
      </c>
      <c r="G758" t="s">
        <v>40</v>
      </c>
      <c r="H758">
        <v>14</v>
      </c>
      <c r="I758" t="s">
        <v>28</v>
      </c>
      <c r="J758" t="str">
        <f>_xlfn.XLOOKUP(C758,'product_masterlist(ifs)'!A:A,'product_masterlist(ifs)'!C:C,"N/A",0)</f>
        <v>Contact Lenses</v>
      </c>
      <c r="K758">
        <f>VLOOKUP(C758,'product_masterlist(ifs)'!A:I,7,FALSE)</f>
        <v>450</v>
      </c>
    </row>
    <row r="759" spans="1:11" x14ac:dyDescent="0.35">
      <c r="A759" t="s">
        <v>1025</v>
      </c>
      <c r="B759" t="s">
        <v>716</v>
      </c>
      <c r="C759" t="s">
        <v>11</v>
      </c>
      <c r="D759">
        <v>13</v>
      </c>
      <c r="E759" t="s">
        <v>37</v>
      </c>
      <c r="F759" t="s">
        <v>31</v>
      </c>
      <c r="G759">
        <v>1105</v>
      </c>
      <c r="H759">
        <v>30</v>
      </c>
      <c r="I759" t="s">
        <v>14</v>
      </c>
      <c r="J759" t="str">
        <f>_xlfn.XLOOKUP(C759,'product_masterlist(ifs)'!A:A,'product_masterlist(ifs)'!C:C,"N/A",0)</f>
        <v>Surgical</v>
      </c>
      <c r="K759">
        <f>VLOOKUP(C759,'product_masterlist(ifs)'!A:I,7,FALSE)</f>
        <v>40</v>
      </c>
    </row>
    <row r="760" spans="1:11" x14ac:dyDescent="0.35">
      <c r="A760" t="s">
        <v>1026</v>
      </c>
      <c r="B760" t="s">
        <v>888</v>
      </c>
      <c r="C760" t="s">
        <v>26</v>
      </c>
      <c r="D760">
        <v>5</v>
      </c>
      <c r="E760" t="s">
        <v>12</v>
      </c>
      <c r="F760" t="s">
        <v>18</v>
      </c>
      <c r="G760" t="s">
        <v>155</v>
      </c>
      <c r="H760">
        <v>14</v>
      </c>
      <c r="I760" t="s">
        <v>28</v>
      </c>
      <c r="J760" t="str">
        <f>_xlfn.XLOOKUP(C760,'product_masterlist(ifs)'!A:A,'product_masterlist(ifs)'!C:C,"N/A",0)</f>
        <v>Contact Lenses</v>
      </c>
      <c r="K760">
        <f>VLOOKUP(C760,'product_masterlist(ifs)'!A:I,7,FALSE)</f>
        <v>450</v>
      </c>
    </row>
    <row r="761" spans="1:11" x14ac:dyDescent="0.35">
      <c r="A761" t="s">
        <v>1027</v>
      </c>
      <c r="B761" s="1">
        <v>45901</v>
      </c>
      <c r="C761" t="s">
        <v>33</v>
      </c>
      <c r="D761">
        <v>18</v>
      </c>
      <c r="E761" t="s">
        <v>37</v>
      </c>
      <c r="F761" t="s">
        <v>31</v>
      </c>
      <c r="G761">
        <v>2700</v>
      </c>
      <c r="H761">
        <v>45</v>
      </c>
      <c r="I761" t="s">
        <v>34</v>
      </c>
      <c r="J761" t="str">
        <f>_xlfn.XLOOKUP(C761,'product_masterlist(ifs)'!A:A,'product_masterlist(ifs)'!C:C,"N/A",0)</f>
        <v>Surgical</v>
      </c>
      <c r="K761">
        <f>VLOOKUP(C761,'product_masterlist(ifs)'!A:I,7,FALSE)</f>
        <v>15</v>
      </c>
    </row>
    <row r="762" spans="1:11" x14ac:dyDescent="0.35">
      <c r="A762" t="s">
        <v>1028</v>
      </c>
      <c r="B762" t="s">
        <v>233</v>
      </c>
      <c r="C762" t="s">
        <v>42</v>
      </c>
      <c r="D762">
        <v>3</v>
      </c>
      <c r="E762" t="s">
        <v>22</v>
      </c>
      <c r="F762" t="s">
        <v>13</v>
      </c>
      <c r="G762">
        <v>75</v>
      </c>
      <c r="H762">
        <v>21</v>
      </c>
      <c r="I762" t="s">
        <v>14</v>
      </c>
      <c r="J762" t="str">
        <f>_xlfn.XLOOKUP(C762,'product_masterlist(ifs)'!A:A,'product_masterlist(ifs)'!C:C,"N/A",0)</f>
        <v>Contact Lenses</v>
      </c>
      <c r="K762">
        <f>VLOOKUP(C762,'product_masterlist(ifs)'!A:I,7,FALSE)</f>
        <v>120</v>
      </c>
    </row>
    <row r="763" spans="1:11" x14ac:dyDescent="0.35">
      <c r="A763" t="s">
        <v>1029</v>
      </c>
      <c r="B763" t="s">
        <v>289</v>
      </c>
      <c r="C763" t="s">
        <v>17</v>
      </c>
      <c r="D763">
        <v>1</v>
      </c>
      <c r="E763" t="s">
        <v>20</v>
      </c>
      <c r="F763" t="s">
        <v>23</v>
      </c>
      <c r="G763">
        <v>45</v>
      </c>
      <c r="H763">
        <v>30</v>
      </c>
      <c r="I763" t="s">
        <v>14</v>
      </c>
      <c r="J763" t="str">
        <f>_xlfn.XLOOKUP(C763,'product_masterlist(ifs)'!A:A,'product_masterlist(ifs)'!C:C,"N/A",0)</f>
        <v>Frames</v>
      </c>
      <c r="K763">
        <f>VLOOKUP(C763,'product_masterlist(ifs)'!A:I,7,FALSE)</f>
        <v>45</v>
      </c>
    </row>
    <row r="764" spans="1:11" x14ac:dyDescent="0.35">
      <c r="A764" t="s">
        <v>1030</v>
      </c>
      <c r="B764" s="1">
        <v>45877</v>
      </c>
      <c r="C764" t="s">
        <v>26</v>
      </c>
      <c r="D764">
        <v>5</v>
      </c>
      <c r="E764" t="s">
        <v>20</v>
      </c>
      <c r="F764" t="s">
        <v>18</v>
      </c>
      <c r="G764" t="s">
        <v>155</v>
      </c>
      <c r="H764">
        <v>14</v>
      </c>
      <c r="I764" t="s">
        <v>28</v>
      </c>
      <c r="J764" t="str">
        <f>_xlfn.XLOOKUP(C764,'product_masterlist(ifs)'!A:A,'product_masterlist(ifs)'!C:C,"N/A",0)</f>
        <v>Contact Lenses</v>
      </c>
      <c r="K764">
        <f>VLOOKUP(C764,'product_masterlist(ifs)'!A:I,7,FALSE)</f>
        <v>450</v>
      </c>
    </row>
    <row r="765" spans="1:11" x14ac:dyDescent="0.35">
      <c r="A765" t="s">
        <v>1031</v>
      </c>
      <c r="B765" s="1">
        <v>45839</v>
      </c>
      <c r="C765" t="s">
        <v>53</v>
      </c>
      <c r="D765">
        <v>11</v>
      </c>
      <c r="E765" t="s">
        <v>22</v>
      </c>
      <c r="F765" t="s">
        <v>18</v>
      </c>
      <c r="G765" t="s">
        <v>240</v>
      </c>
      <c r="H765">
        <v>7</v>
      </c>
      <c r="I765" t="s">
        <v>28</v>
      </c>
      <c r="J765" t="str">
        <f>_xlfn.XLOOKUP(C765,'product_masterlist(ifs)'!A:A,'product_masterlist(ifs)'!C:C,"N/A",0)</f>
        <v>Solutions</v>
      </c>
      <c r="K765">
        <f>VLOOKUP(C765,'product_masterlist(ifs)'!A:I,7,FALSE)</f>
        <v>800</v>
      </c>
    </row>
    <row r="766" spans="1:11" x14ac:dyDescent="0.35">
      <c r="A766" t="s">
        <v>1032</v>
      </c>
      <c r="B766" s="1">
        <v>45879</v>
      </c>
      <c r="C766" t="s">
        <v>33</v>
      </c>
      <c r="D766">
        <v>11</v>
      </c>
      <c r="E766" t="s">
        <v>37</v>
      </c>
      <c r="F766" t="s">
        <v>13</v>
      </c>
      <c r="G766">
        <v>1650</v>
      </c>
      <c r="H766">
        <v>45</v>
      </c>
      <c r="I766" t="s">
        <v>34</v>
      </c>
      <c r="J766" t="str">
        <f>_xlfn.XLOOKUP(C766,'product_masterlist(ifs)'!A:A,'product_masterlist(ifs)'!C:C,"N/A",0)</f>
        <v>Surgical</v>
      </c>
      <c r="K766">
        <f>VLOOKUP(C766,'product_masterlist(ifs)'!A:I,7,FALSE)</f>
        <v>15</v>
      </c>
    </row>
    <row r="767" spans="1:11" x14ac:dyDescent="0.35">
      <c r="A767" t="s">
        <v>1033</v>
      </c>
      <c r="B767" t="s">
        <v>1034</v>
      </c>
      <c r="C767" t="s">
        <v>11</v>
      </c>
      <c r="D767">
        <v>13</v>
      </c>
      <c r="E767" t="s">
        <v>22</v>
      </c>
      <c r="F767" t="s">
        <v>18</v>
      </c>
      <c r="G767">
        <v>1105</v>
      </c>
      <c r="H767">
        <v>30</v>
      </c>
      <c r="I767" t="s">
        <v>14</v>
      </c>
      <c r="J767" t="str">
        <f>_xlfn.XLOOKUP(C767,'product_masterlist(ifs)'!A:A,'product_masterlist(ifs)'!C:C,"N/A",0)</f>
        <v>Surgical</v>
      </c>
      <c r="K767">
        <f>VLOOKUP(C767,'product_masterlist(ifs)'!A:I,7,FALSE)</f>
        <v>40</v>
      </c>
    </row>
    <row r="768" spans="1:11" x14ac:dyDescent="0.35">
      <c r="A768" t="s">
        <v>1035</v>
      </c>
      <c r="B768" t="s">
        <v>246</v>
      </c>
      <c r="C768" t="s">
        <v>17</v>
      </c>
      <c r="D768">
        <v>12</v>
      </c>
      <c r="E768" t="s">
        <v>22</v>
      </c>
      <c r="F768" t="s">
        <v>23</v>
      </c>
      <c r="G768">
        <v>540</v>
      </c>
      <c r="H768">
        <v>30</v>
      </c>
      <c r="I768" t="s">
        <v>14</v>
      </c>
      <c r="J768" t="str">
        <f>_xlfn.XLOOKUP(C768,'product_masterlist(ifs)'!A:A,'product_masterlist(ifs)'!C:C,"N/A",0)</f>
        <v>Frames</v>
      </c>
      <c r="K768">
        <f>VLOOKUP(C768,'product_masterlist(ifs)'!A:I,7,FALSE)</f>
        <v>45</v>
      </c>
    </row>
    <row r="769" spans="1:11" x14ac:dyDescent="0.35">
      <c r="A769" t="s">
        <v>1036</v>
      </c>
      <c r="B769" t="s">
        <v>129</v>
      </c>
      <c r="C769" t="s">
        <v>90</v>
      </c>
      <c r="D769">
        <v>24</v>
      </c>
      <c r="E769" t="s">
        <v>20</v>
      </c>
      <c r="F769" t="s">
        <v>23</v>
      </c>
      <c r="G769">
        <v>1164</v>
      </c>
      <c r="H769">
        <v>30</v>
      </c>
      <c r="I769" t="s">
        <v>14</v>
      </c>
      <c r="J769" t="str">
        <f>_xlfn.XLOOKUP(C769,'product_masterlist(ifs)'!A:A,'product_masterlist(ifs)'!C:C,"N/A",0)</f>
        <v>Frames</v>
      </c>
      <c r="K769">
        <f>VLOOKUP(C769,'product_masterlist(ifs)'!A:I,7,FALSE)</f>
        <v>180</v>
      </c>
    </row>
    <row r="770" spans="1:11" x14ac:dyDescent="0.35">
      <c r="A770" t="s">
        <v>1037</v>
      </c>
      <c r="B770" t="s">
        <v>168</v>
      </c>
      <c r="C770" t="s">
        <v>53</v>
      </c>
      <c r="D770">
        <v>6</v>
      </c>
      <c r="E770" t="s">
        <v>37</v>
      </c>
      <c r="F770" t="s">
        <v>31</v>
      </c>
      <c r="G770" t="s">
        <v>369</v>
      </c>
      <c r="H770">
        <v>7</v>
      </c>
      <c r="I770" t="s">
        <v>28</v>
      </c>
      <c r="J770" t="str">
        <f>_xlfn.XLOOKUP(C770,'product_masterlist(ifs)'!A:A,'product_masterlist(ifs)'!C:C,"N/A",0)</f>
        <v>Solutions</v>
      </c>
      <c r="K770">
        <f>VLOOKUP(C770,'product_masterlist(ifs)'!A:I,7,FALSE)</f>
        <v>800</v>
      </c>
    </row>
    <row r="771" spans="1:11" x14ac:dyDescent="0.35">
      <c r="A771" t="s">
        <v>1038</v>
      </c>
      <c r="B771" s="1">
        <v>45781</v>
      </c>
      <c r="C771" t="s">
        <v>53</v>
      </c>
      <c r="D771">
        <v>24</v>
      </c>
      <c r="E771" t="s">
        <v>22</v>
      </c>
      <c r="F771" t="s">
        <v>18</v>
      </c>
      <c r="G771">
        <v>102</v>
      </c>
      <c r="H771">
        <v>7</v>
      </c>
      <c r="I771" t="s">
        <v>28</v>
      </c>
      <c r="J771" t="str">
        <f>_xlfn.XLOOKUP(C771,'product_masterlist(ifs)'!A:A,'product_masterlist(ifs)'!C:C,"N/A",0)</f>
        <v>Solutions</v>
      </c>
      <c r="K771">
        <f>VLOOKUP(C771,'product_masterlist(ifs)'!A:I,7,FALSE)</f>
        <v>800</v>
      </c>
    </row>
    <row r="772" spans="1:11" x14ac:dyDescent="0.35">
      <c r="A772" t="s">
        <v>1039</v>
      </c>
      <c r="B772" s="1">
        <v>45819</v>
      </c>
      <c r="C772" t="s">
        <v>11</v>
      </c>
      <c r="D772">
        <v>21</v>
      </c>
      <c r="E772" t="s">
        <v>12</v>
      </c>
      <c r="F772" t="s">
        <v>18</v>
      </c>
      <c r="G772">
        <v>1785</v>
      </c>
      <c r="H772">
        <v>30</v>
      </c>
      <c r="I772" t="s">
        <v>14</v>
      </c>
      <c r="J772" t="str">
        <f>_xlfn.XLOOKUP(C772,'product_masterlist(ifs)'!A:A,'product_masterlist(ifs)'!C:C,"N/A",0)</f>
        <v>Surgical</v>
      </c>
      <c r="K772">
        <f>VLOOKUP(C772,'product_masterlist(ifs)'!A:I,7,FALSE)</f>
        <v>40</v>
      </c>
    </row>
    <row r="773" spans="1:11" x14ac:dyDescent="0.35">
      <c r="A773" t="s">
        <v>1040</v>
      </c>
      <c r="B773" t="s">
        <v>293</v>
      </c>
      <c r="C773" t="s">
        <v>17</v>
      </c>
      <c r="D773">
        <v>21</v>
      </c>
      <c r="E773" t="s">
        <v>20</v>
      </c>
      <c r="F773" t="s">
        <v>23</v>
      </c>
      <c r="G773">
        <v>945</v>
      </c>
      <c r="H773">
        <v>30</v>
      </c>
      <c r="I773" t="s">
        <v>14</v>
      </c>
      <c r="J773" t="str">
        <f>_xlfn.XLOOKUP(C773,'product_masterlist(ifs)'!A:A,'product_masterlist(ifs)'!C:C,"N/A",0)</f>
        <v>Frames</v>
      </c>
      <c r="K773">
        <f>VLOOKUP(C773,'product_masterlist(ifs)'!A:I,7,FALSE)</f>
        <v>45</v>
      </c>
    </row>
    <row r="774" spans="1:11" x14ac:dyDescent="0.35">
      <c r="A774" t="s">
        <v>1041</v>
      </c>
      <c r="B774" t="s">
        <v>10</v>
      </c>
      <c r="C774" t="s">
        <v>90</v>
      </c>
      <c r="D774">
        <v>9</v>
      </c>
      <c r="E774" t="s">
        <v>20</v>
      </c>
      <c r="F774" t="s">
        <v>31</v>
      </c>
      <c r="G774" t="s">
        <v>91</v>
      </c>
      <c r="H774">
        <v>30</v>
      </c>
      <c r="I774" t="s">
        <v>14</v>
      </c>
      <c r="J774" t="str">
        <f>_xlfn.XLOOKUP(C774,'product_masterlist(ifs)'!A:A,'product_masterlist(ifs)'!C:C,"N/A",0)</f>
        <v>Frames</v>
      </c>
      <c r="K774">
        <f>VLOOKUP(C774,'product_masterlist(ifs)'!A:I,7,FALSE)</f>
        <v>180</v>
      </c>
    </row>
    <row r="775" spans="1:11" x14ac:dyDescent="0.35">
      <c r="A775" t="s">
        <v>1042</v>
      </c>
      <c r="B775" t="s">
        <v>999</v>
      </c>
      <c r="C775" t="s">
        <v>53</v>
      </c>
      <c r="D775">
        <v>2</v>
      </c>
      <c r="E775" t="s">
        <v>20</v>
      </c>
      <c r="F775" t="s">
        <v>13</v>
      </c>
      <c r="G775" t="s">
        <v>291</v>
      </c>
      <c r="H775">
        <v>7</v>
      </c>
      <c r="I775" t="s">
        <v>28</v>
      </c>
      <c r="J775" t="str">
        <f>_xlfn.XLOOKUP(C775,'product_masterlist(ifs)'!A:A,'product_masterlist(ifs)'!C:C,"N/A",0)</f>
        <v>Solutions</v>
      </c>
      <c r="K775">
        <f>VLOOKUP(C775,'product_masterlist(ifs)'!A:I,7,FALSE)</f>
        <v>800</v>
      </c>
    </row>
    <row r="776" spans="1:11" x14ac:dyDescent="0.35">
      <c r="A776" t="s">
        <v>1043</v>
      </c>
      <c r="B776" t="s">
        <v>302</v>
      </c>
      <c r="C776" t="s">
        <v>90</v>
      </c>
      <c r="D776">
        <v>13</v>
      </c>
      <c r="E776" t="s">
        <v>22</v>
      </c>
      <c r="F776" t="s">
        <v>31</v>
      </c>
      <c r="G776" t="s">
        <v>262</v>
      </c>
      <c r="H776">
        <v>30</v>
      </c>
      <c r="I776" t="s">
        <v>14</v>
      </c>
      <c r="J776" t="str">
        <f>_xlfn.XLOOKUP(C776,'product_masterlist(ifs)'!A:A,'product_masterlist(ifs)'!C:C,"N/A",0)</f>
        <v>Frames</v>
      </c>
      <c r="K776">
        <f>VLOOKUP(C776,'product_masterlist(ifs)'!A:I,7,FALSE)</f>
        <v>180</v>
      </c>
    </row>
    <row r="777" spans="1:11" x14ac:dyDescent="0.35">
      <c r="A777" t="s">
        <v>1044</v>
      </c>
      <c r="B777" s="1">
        <v>45850</v>
      </c>
      <c r="C777" t="s">
        <v>90</v>
      </c>
      <c r="D777">
        <v>16</v>
      </c>
      <c r="E777" t="s">
        <v>20</v>
      </c>
      <c r="F777" t="s">
        <v>31</v>
      </c>
      <c r="G777">
        <v>776</v>
      </c>
      <c r="H777">
        <v>30</v>
      </c>
      <c r="I777" t="s">
        <v>14</v>
      </c>
      <c r="J777" t="str">
        <f>_xlfn.XLOOKUP(C777,'product_masterlist(ifs)'!A:A,'product_masterlist(ifs)'!C:C,"N/A",0)</f>
        <v>Frames</v>
      </c>
      <c r="K777">
        <f>VLOOKUP(C777,'product_masterlist(ifs)'!A:I,7,FALSE)</f>
        <v>180</v>
      </c>
    </row>
    <row r="778" spans="1:11" x14ac:dyDescent="0.35">
      <c r="A778" t="s">
        <v>1045</v>
      </c>
      <c r="B778" t="s">
        <v>475</v>
      </c>
      <c r="C778" t="s">
        <v>42</v>
      </c>
      <c r="D778">
        <v>8</v>
      </c>
      <c r="E778" t="s">
        <v>12</v>
      </c>
      <c r="F778" t="s">
        <v>18</v>
      </c>
      <c r="G778">
        <v>200</v>
      </c>
      <c r="H778">
        <v>21</v>
      </c>
      <c r="I778" t="s">
        <v>14</v>
      </c>
      <c r="J778" t="str">
        <f>_xlfn.XLOOKUP(C778,'product_masterlist(ifs)'!A:A,'product_masterlist(ifs)'!C:C,"N/A",0)</f>
        <v>Contact Lenses</v>
      </c>
      <c r="K778">
        <f>VLOOKUP(C778,'product_masterlist(ifs)'!A:I,7,FALSE)</f>
        <v>120</v>
      </c>
    </row>
    <row r="779" spans="1:11" x14ac:dyDescent="0.35">
      <c r="A779" t="s">
        <v>1046</v>
      </c>
      <c r="B779" s="1">
        <v>45966</v>
      </c>
      <c r="C779" t="s">
        <v>90</v>
      </c>
      <c r="D779">
        <v>14</v>
      </c>
      <c r="E779" t="s">
        <v>20</v>
      </c>
      <c r="F779" t="s">
        <v>31</v>
      </c>
      <c r="G779">
        <v>679</v>
      </c>
      <c r="H779">
        <v>30</v>
      </c>
      <c r="I779" t="s">
        <v>14</v>
      </c>
      <c r="J779" t="str">
        <f>_xlfn.XLOOKUP(C779,'product_masterlist(ifs)'!A:A,'product_masterlist(ifs)'!C:C,"N/A",0)</f>
        <v>Frames</v>
      </c>
      <c r="K779">
        <f>VLOOKUP(C779,'product_masterlist(ifs)'!A:I,7,FALSE)</f>
        <v>180</v>
      </c>
    </row>
    <row r="780" spans="1:11" x14ac:dyDescent="0.35">
      <c r="A780" t="s">
        <v>1047</v>
      </c>
      <c r="B780" s="1">
        <v>45789</v>
      </c>
      <c r="C780" t="s">
        <v>17</v>
      </c>
      <c r="D780">
        <v>13</v>
      </c>
      <c r="E780" t="s">
        <v>22</v>
      </c>
      <c r="F780" t="s">
        <v>23</v>
      </c>
      <c r="G780">
        <v>585</v>
      </c>
      <c r="H780">
        <v>30</v>
      </c>
      <c r="I780" t="s">
        <v>14</v>
      </c>
      <c r="J780" t="str">
        <f>_xlfn.XLOOKUP(C780,'product_masterlist(ifs)'!A:A,'product_masterlist(ifs)'!C:C,"N/A",0)</f>
        <v>Frames</v>
      </c>
      <c r="K780">
        <f>VLOOKUP(C780,'product_masterlist(ifs)'!A:I,7,FALSE)</f>
        <v>45</v>
      </c>
    </row>
    <row r="781" spans="1:11" x14ac:dyDescent="0.35">
      <c r="A781" t="s">
        <v>1048</v>
      </c>
      <c r="B781" s="1">
        <v>45720</v>
      </c>
      <c r="C781" t="s">
        <v>42</v>
      </c>
      <c r="D781">
        <v>5</v>
      </c>
      <c r="E781" t="s">
        <v>20</v>
      </c>
      <c r="F781" t="s">
        <v>13</v>
      </c>
      <c r="G781">
        <v>125</v>
      </c>
      <c r="H781">
        <v>21</v>
      </c>
      <c r="I781" t="s">
        <v>14</v>
      </c>
      <c r="J781" t="str">
        <f>_xlfn.XLOOKUP(C781,'product_masterlist(ifs)'!A:A,'product_masterlist(ifs)'!C:C,"N/A",0)</f>
        <v>Contact Lenses</v>
      </c>
      <c r="K781">
        <f>VLOOKUP(C781,'product_masterlist(ifs)'!A:I,7,FALSE)</f>
        <v>120</v>
      </c>
    </row>
    <row r="782" spans="1:11" x14ac:dyDescent="0.35">
      <c r="A782" t="s">
        <v>1049</v>
      </c>
      <c r="B782" t="s">
        <v>1050</v>
      </c>
      <c r="C782" t="s">
        <v>17</v>
      </c>
      <c r="D782">
        <v>3</v>
      </c>
      <c r="E782" t="s">
        <v>20</v>
      </c>
      <c r="F782" t="s">
        <v>23</v>
      </c>
      <c r="G782">
        <v>135</v>
      </c>
      <c r="H782">
        <v>30</v>
      </c>
      <c r="I782" t="s">
        <v>14</v>
      </c>
      <c r="J782" t="str">
        <f>_xlfn.XLOOKUP(C782,'product_masterlist(ifs)'!A:A,'product_masterlist(ifs)'!C:C,"N/A",0)</f>
        <v>Frames</v>
      </c>
      <c r="K782">
        <f>VLOOKUP(C782,'product_masterlist(ifs)'!A:I,7,FALSE)</f>
        <v>45</v>
      </c>
    </row>
    <row r="783" spans="1:11" x14ac:dyDescent="0.35">
      <c r="A783" t="s">
        <v>1051</v>
      </c>
      <c r="B783" t="s">
        <v>446</v>
      </c>
      <c r="C783" t="s">
        <v>11</v>
      </c>
      <c r="D783">
        <v>8</v>
      </c>
      <c r="E783" t="s">
        <v>22</v>
      </c>
      <c r="F783" t="s">
        <v>18</v>
      </c>
      <c r="G783">
        <v>680</v>
      </c>
      <c r="H783">
        <v>30</v>
      </c>
      <c r="I783" t="s">
        <v>14</v>
      </c>
      <c r="J783" t="str">
        <f>_xlfn.XLOOKUP(C783,'product_masterlist(ifs)'!A:A,'product_masterlist(ifs)'!C:C,"N/A",0)</f>
        <v>Surgical</v>
      </c>
      <c r="K783">
        <f>VLOOKUP(C783,'product_masterlist(ifs)'!A:I,7,FALSE)</f>
        <v>40</v>
      </c>
    </row>
    <row r="784" spans="1:11" x14ac:dyDescent="0.35">
      <c r="A784" t="s">
        <v>1052</v>
      </c>
      <c r="B784" s="1">
        <v>45993</v>
      </c>
      <c r="C784" t="s">
        <v>53</v>
      </c>
      <c r="D784">
        <v>7</v>
      </c>
      <c r="E784" t="s">
        <v>37</v>
      </c>
      <c r="F784" t="s">
        <v>13</v>
      </c>
      <c r="G784" t="s">
        <v>320</v>
      </c>
      <c r="H784">
        <v>7</v>
      </c>
      <c r="I784" t="s">
        <v>28</v>
      </c>
      <c r="J784" t="str">
        <f>_xlfn.XLOOKUP(C784,'product_masterlist(ifs)'!A:A,'product_masterlist(ifs)'!C:C,"N/A",0)</f>
        <v>Solutions</v>
      </c>
      <c r="K784">
        <f>VLOOKUP(C784,'product_masterlist(ifs)'!A:I,7,FALSE)</f>
        <v>800</v>
      </c>
    </row>
    <row r="785" spans="1:11" x14ac:dyDescent="0.35">
      <c r="A785" t="s">
        <v>1053</v>
      </c>
      <c r="B785" t="s">
        <v>625</v>
      </c>
      <c r="C785" t="s">
        <v>26</v>
      </c>
      <c r="D785">
        <v>9</v>
      </c>
      <c r="E785" t="s">
        <v>37</v>
      </c>
      <c r="F785" t="s">
        <v>18</v>
      </c>
      <c r="G785" t="s">
        <v>170</v>
      </c>
      <c r="H785">
        <v>14</v>
      </c>
      <c r="I785" t="s">
        <v>28</v>
      </c>
      <c r="J785" t="str">
        <f>_xlfn.XLOOKUP(C785,'product_masterlist(ifs)'!A:A,'product_masterlist(ifs)'!C:C,"N/A",0)</f>
        <v>Contact Lenses</v>
      </c>
      <c r="K785">
        <f>VLOOKUP(C785,'product_masterlist(ifs)'!A:I,7,FALSE)</f>
        <v>450</v>
      </c>
    </row>
    <row r="786" spans="1:11" x14ac:dyDescent="0.35">
      <c r="A786" t="s">
        <v>1054</v>
      </c>
      <c r="B786" t="s">
        <v>52</v>
      </c>
      <c r="C786" t="s">
        <v>17</v>
      </c>
      <c r="D786">
        <v>18</v>
      </c>
      <c r="E786" t="s">
        <v>37</v>
      </c>
      <c r="F786" t="s">
        <v>31</v>
      </c>
      <c r="G786">
        <v>810</v>
      </c>
      <c r="H786">
        <v>30</v>
      </c>
      <c r="I786" t="s">
        <v>14</v>
      </c>
      <c r="J786" t="str">
        <f>_xlfn.XLOOKUP(C786,'product_masterlist(ifs)'!A:A,'product_masterlist(ifs)'!C:C,"N/A",0)</f>
        <v>Frames</v>
      </c>
      <c r="K786">
        <f>VLOOKUP(C786,'product_masterlist(ifs)'!A:I,7,FALSE)</f>
        <v>45</v>
      </c>
    </row>
    <row r="787" spans="1:11" x14ac:dyDescent="0.35">
      <c r="A787" t="s">
        <v>1055</v>
      </c>
      <c r="B787" t="s">
        <v>891</v>
      </c>
      <c r="C787" t="s">
        <v>26</v>
      </c>
      <c r="D787">
        <v>6</v>
      </c>
      <c r="E787" t="s">
        <v>22</v>
      </c>
      <c r="F787" t="s">
        <v>23</v>
      </c>
      <c r="G787">
        <v>75</v>
      </c>
      <c r="H787">
        <v>14</v>
      </c>
      <c r="I787" t="s">
        <v>28</v>
      </c>
      <c r="J787" t="str">
        <f>_xlfn.XLOOKUP(C787,'product_masterlist(ifs)'!A:A,'product_masterlist(ifs)'!C:C,"N/A",0)</f>
        <v>Contact Lenses</v>
      </c>
      <c r="K787">
        <f>VLOOKUP(C787,'product_masterlist(ifs)'!A:I,7,FALSE)</f>
        <v>450</v>
      </c>
    </row>
    <row r="788" spans="1:11" x14ac:dyDescent="0.35">
      <c r="A788" t="s">
        <v>1056</v>
      </c>
      <c r="B788" s="1">
        <v>45993</v>
      </c>
      <c r="C788" t="s">
        <v>26</v>
      </c>
      <c r="D788">
        <v>8</v>
      </c>
      <c r="E788" t="s">
        <v>22</v>
      </c>
      <c r="F788" t="s">
        <v>23</v>
      </c>
      <c r="G788">
        <v>100</v>
      </c>
      <c r="H788">
        <v>14</v>
      </c>
      <c r="I788" t="s">
        <v>28</v>
      </c>
      <c r="J788" t="str">
        <f>_xlfn.XLOOKUP(C788,'product_masterlist(ifs)'!A:A,'product_masterlist(ifs)'!C:C,"N/A",0)</f>
        <v>Contact Lenses</v>
      </c>
      <c r="K788">
        <f>VLOOKUP(C788,'product_masterlist(ifs)'!A:I,7,FALSE)</f>
        <v>450</v>
      </c>
    </row>
    <row r="789" spans="1:11" x14ac:dyDescent="0.35">
      <c r="A789" t="s">
        <v>1057</v>
      </c>
      <c r="B789" s="1">
        <v>45942</v>
      </c>
      <c r="C789" t="s">
        <v>42</v>
      </c>
      <c r="D789">
        <v>13</v>
      </c>
      <c r="E789" t="s">
        <v>12</v>
      </c>
      <c r="F789" t="s">
        <v>31</v>
      </c>
      <c r="G789">
        <v>325</v>
      </c>
      <c r="H789">
        <v>21</v>
      </c>
      <c r="I789" t="s">
        <v>14</v>
      </c>
      <c r="J789" t="str">
        <f>_xlfn.XLOOKUP(C789,'product_masterlist(ifs)'!A:A,'product_masterlist(ifs)'!C:C,"N/A",0)</f>
        <v>Contact Lenses</v>
      </c>
      <c r="K789">
        <f>VLOOKUP(C789,'product_masterlist(ifs)'!A:I,7,FALSE)</f>
        <v>120</v>
      </c>
    </row>
    <row r="790" spans="1:11" x14ac:dyDescent="0.35">
      <c r="A790" t="s">
        <v>1058</v>
      </c>
      <c r="B790" s="1">
        <v>45667</v>
      </c>
      <c r="C790" t="s">
        <v>42</v>
      </c>
      <c r="D790">
        <v>4</v>
      </c>
      <c r="E790" t="s">
        <v>37</v>
      </c>
      <c r="F790" t="s">
        <v>13</v>
      </c>
      <c r="G790">
        <v>100</v>
      </c>
      <c r="H790">
        <v>21</v>
      </c>
      <c r="I790" t="s">
        <v>14</v>
      </c>
      <c r="J790" t="str">
        <f>_xlfn.XLOOKUP(C790,'product_masterlist(ifs)'!A:A,'product_masterlist(ifs)'!C:C,"N/A",0)</f>
        <v>Contact Lenses</v>
      </c>
      <c r="K790">
        <f>VLOOKUP(C790,'product_masterlist(ifs)'!A:I,7,FALSE)</f>
        <v>120</v>
      </c>
    </row>
    <row r="791" spans="1:11" x14ac:dyDescent="0.35">
      <c r="A791" t="s">
        <v>1059</v>
      </c>
      <c r="B791" t="s">
        <v>1060</v>
      </c>
      <c r="C791" t="s">
        <v>17</v>
      </c>
      <c r="D791">
        <v>24</v>
      </c>
      <c r="E791" t="s">
        <v>20</v>
      </c>
      <c r="F791" t="s">
        <v>18</v>
      </c>
      <c r="G791">
        <v>1080</v>
      </c>
      <c r="H791">
        <v>30</v>
      </c>
      <c r="I791" t="s">
        <v>14</v>
      </c>
      <c r="J791" t="str">
        <f>_xlfn.XLOOKUP(C791,'product_masterlist(ifs)'!A:A,'product_masterlist(ifs)'!C:C,"N/A",0)</f>
        <v>Frames</v>
      </c>
      <c r="K791">
        <f>VLOOKUP(C791,'product_masterlist(ifs)'!A:I,7,FALSE)</f>
        <v>45</v>
      </c>
    </row>
    <row r="792" spans="1:11" x14ac:dyDescent="0.35">
      <c r="A792" t="s">
        <v>1061</v>
      </c>
      <c r="B792" s="1">
        <v>45841</v>
      </c>
      <c r="C792" t="s">
        <v>17</v>
      </c>
      <c r="D792">
        <v>23</v>
      </c>
      <c r="E792" t="s">
        <v>20</v>
      </c>
      <c r="F792" t="s">
        <v>23</v>
      </c>
      <c r="G792">
        <v>1035</v>
      </c>
      <c r="H792">
        <v>30</v>
      </c>
      <c r="I792" t="s">
        <v>14</v>
      </c>
      <c r="J792" t="str">
        <f>_xlfn.XLOOKUP(C792,'product_masterlist(ifs)'!A:A,'product_masterlist(ifs)'!C:C,"N/A",0)</f>
        <v>Frames</v>
      </c>
      <c r="K792">
        <f>VLOOKUP(C792,'product_masterlist(ifs)'!A:I,7,FALSE)</f>
        <v>45</v>
      </c>
    </row>
    <row r="793" spans="1:11" x14ac:dyDescent="0.35">
      <c r="A793" t="s">
        <v>1062</v>
      </c>
      <c r="B793" s="1">
        <v>45939</v>
      </c>
      <c r="C793" t="s">
        <v>42</v>
      </c>
      <c r="D793">
        <v>6</v>
      </c>
      <c r="E793" t="s">
        <v>12</v>
      </c>
      <c r="F793" t="s">
        <v>31</v>
      </c>
      <c r="G793">
        <v>150</v>
      </c>
      <c r="H793">
        <v>21</v>
      </c>
      <c r="I793" t="s">
        <v>14</v>
      </c>
      <c r="J793" t="str">
        <f>_xlfn.XLOOKUP(C793,'product_masterlist(ifs)'!A:A,'product_masterlist(ifs)'!C:C,"N/A",0)</f>
        <v>Contact Lenses</v>
      </c>
      <c r="K793">
        <f>VLOOKUP(C793,'product_masterlist(ifs)'!A:I,7,FALSE)</f>
        <v>120</v>
      </c>
    </row>
    <row r="794" spans="1:11" x14ac:dyDescent="0.35">
      <c r="A794" t="s">
        <v>1063</v>
      </c>
      <c r="B794" s="1">
        <v>45818</v>
      </c>
      <c r="C794" t="s">
        <v>42</v>
      </c>
      <c r="D794">
        <v>7</v>
      </c>
      <c r="E794" t="s">
        <v>12</v>
      </c>
      <c r="F794" t="s">
        <v>13</v>
      </c>
      <c r="G794">
        <v>175</v>
      </c>
      <c r="H794">
        <v>21</v>
      </c>
      <c r="I794" t="s">
        <v>14</v>
      </c>
      <c r="J794" t="str">
        <f>_xlfn.XLOOKUP(C794,'product_masterlist(ifs)'!A:A,'product_masterlist(ifs)'!C:C,"N/A",0)</f>
        <v>Contact Lenses</v>
      </c>
      <c r="K794">
        <f>VLOOKUP(C794,'product_masterlist(ifs)'!A:I,7,FALSE)</f>
        <v>120</v>
      </c>
    </row>
    <row r="795" spans="1:11" x14ac:dyDescent="0.35">
      <c r="A795" t="s">
        <v>1064</v>
      </c>
      <c r="B795" t="s">
        <v>952</v>
      </c>
      <c r="C795" t="s">
        <v>90</v>
      </c>
      <c r="D795">
        <v>11</v>
      </c>
      <c r="E795" t="s">
        <v>22</v>
      </c>
      <c r="F795" t="s">
        <v>18</v>
      </c>
      <c r="G795" t="s">
        <v>238</v>
      </c>
      <c r="H795">
        <v>30</v>
      </c>
      <c r="I795" t="s">
        <v>14</v>
      </c>
      <c r="J795" t="str">
        <f>_xlfn.XLOOKUP(C795,'product_masterlist(ifs)'!A:A,'product_masterlist(ifs)'!C:C,"N/A",0)</f>
        <v>Frames</v>
      </c>
      <c r="K795">
        <f>VLOOKUP(C795,'product_masterlist(ifs)'!A:I,7,FALSE)</f>
        <v>180</v>
      </c>
    </row>
    <row r="796" spans="1:11" x14ac:dyDescent="0.35">
      <c r="A796" t="s">
        <v>1065</v>
      </c>
      <c r="B796" t="s">
        <v>700</v>
      </c>
      <c r="C796" t="s">
        <v>53</v>
      </c>
      <c r="D796">
        <v>13</v>
      </c>
      <c r="E796" t="s">
        <v>12</v>
      </c>
      <c r="F796" t="s">
        <v>18</v>
      </c>
      <c r="G796" t="s">
        <v>188</v>
      </c>
      <c r="H796">
        <v>7</v>
      </c>
      <c r="I796" t="s">
        <v>28</v>
      </c>
      <c r="J796" t="str">
        <f>_xlfn.XLOOKUP(C796,'product_masterlist(ifs)'!A:A,'product_masterlist(ifs)'!C:C,"N/A",0)</f>
        <v>Solutions</v>
      </c>
      <c r="K796">
        <f>VLOOKUP(C796,'product_masterlist(ifs)'!A:I,7,FALSE)</f>
        <v>800</v>
      </c>
    </row>
    <row r="797" spans="1:11" x14ac:dyDescent="0.35">
      <c r="A797" t="s">
        <v>1066</v>
      </c>
      <c r="B797" t="s">
        <v>704</v>
      </c>
      <c r="C797" t="s">
        <v>53</v>
      </c>
      <c r="D797">
        <v>15</v>
      </c>
      <c r="E797" t="s">
        <v>12</v>
      </c>
      <c r="F797" t="s">
        <v>18</v>
      </c>
      <c r="G797" t="s">
        <v>93</v>
      </c>
      <c r="H797">
        <v>7</v>
      </c>
      <c r="I797" t="s">
        <v>28</v>
      </c>
      <c r="J797" t="str">
        <f>_xlfn.XLOOKUP(C797,'product_masterlist(ifs)'!A:A,'product_masterlist(ifs)'!C:C,"N/A",0)</f>
        <v>Solutions</v>
      </c>
      <c r="K797">
        <f>VLOOKUP(C797,'product_masterlist(ifs)'!A:I,7,FALSE)</f>
        <v>800</v>
      </c>
    </row>
    <row r="798" spans="1:11" x14ac:dyDescent="0.35">
      <c r="A798" t="s">
        <v>1067</v>
      </c>
      <c r="B798" t="s">
        <v>757</v>
      </c>
      <c r="C798" t="s">
        <v>11</v>
      </c>
      <c r="D798">
        <v>1</v>
      </c>
      <c r="E798" t="s">
        <v>12</v>
      </c>
      <c r="F798" t="s">
        <v>23</v>
      </c>
      <c r="G798">
        <v>85</v>
      </c>
      <c r="H798">
        <v>30</v>
      </c>
      <c r="I798" t="s">
        <v>14</v>
      </c>
      <c r="J798" t="str">
        <f>_xlfn.XLOOKUP(C798,'product_masterlist(ifs)'!A:A,'product_masterlist(ifs)'!C:C,"N/A",0)</f>
        <v>Surgical</v>
      </c>
      <c r="K798">
        <f>VLOOKUP(C798,'product_masterlist(ifs)'!A:I,7,FALSE)</f>
        <v>40</v>
      </c>
    </row>
    <row r="799" spans="1:11" x14ac:dyDescent="0.35">
      <c r="A799" t="s">
        <v>1068</v>
      </c>
      <c r="B799" t="s">
        <v>444</v>
      </c>
      <c r="C799" t="s">
        <v>17</v>
      </c>
      <c r="D799">
        <v>11</v>
      </c>
      <c r="E799" t="s">
        <v>37</v>
      </c>
      <c r="F799" t="s">
        <v>31</v>
      </c>
      <c r="G799">
        <v>495</v>
      </c>
      <c r="H799">
        <v>30</v>
      </c>
      <c r="I799" t="s">
        <v>14</v>
      </c>
      <c r="J799" t="str">
        <f>_xlfn.XLOOKUP(C799,'product_masterlist(ifs)'!A:A,'product_masterlist(ifs)'!C:C,"N/A",0)</f>
        <v>Frames</v>
      </c>
      <c r="K799">
        <f>VLOOKUP(C799,'product_masterlist(ifs)'!A:I,7,FALSE)</f>
        <v>45</v>
      </c>
    </row>
    <row r="800" spans="1:11" x14ac:dyDescent="0.35">
      <c r="A800" t="s">
        <v>1069</v>
      </c>
      <c r="B800" s="1">
        <v>46002</v>
      </c>
      <c r="C800" t="s">
        <v>90</v>
      </c>
      <c r="D800">
        <v>18</v>
      </c>
      <c r="E800" t="s">
        <v>22</v>
      </c>
      <c r="F800" t="s">
        <v>23</v>
      </c>
      <c r="G800">
        <v>873</v>
      </c>
      <c r="H800">
        <v>30</v>
      </c>
      <c r="I800" t="s">
        <v>14</v>
      </c>
      <c r="J800" t="str">
        <f>_xlfn.XLOOKUP(C800,'product_masterlist(ifs)'!A:A,'product_masterlist(ifs)'!C:C,"N/A",0)</f>
        <v>Frames</v>
      </c>
      <c r="K800">
        <f>VLOOKUP(C800,'product_masterlist(ifs)'!A:I,7,FALSE)</f>
        <v>180</v>
      </c>
    </row>
    <row r="801" spans="1:11" x14ac:dyDescent="0.35">
      <c r="A801" t="s">
        <v>1070</v>
      </c>
      <c r="B801" t="s">
        <v>258</v>
      </c>
      <c r="C801" t="s">
        <v>53</v>
      </c>
      <c r="D801">
        <v>15</v>
      </c>
      <c r="E801" t="s">
        <v>20</v>
      </c>
      <c r="F801" t="s">
        <v>13</v>
      </c>
      <c r="G801" t="s">
        <v>93</v>
      </c>
      <c r="H801">
        <v>7</v>
      </c>
      <c r="I801" t="s">
        <v>28</v>
      </c>
      <c r="J801" t="str">
        <f>_xlfn.XLOOKUP(C801,'product_masterlist(ifs)'!A:A,'product_masterlist(ifs)'!C:C,"N/A",0)</f>
        <v>Solutions</v>
      </c>
      <c r="K801">
        <f>VLOOKUP(C801,'product_masterlist(ifs)'!A:I,7,FALSE)</f>
        <v>800</v>
      </c>
    </row>
    <row r="802" spans="1:11" x14ac:dyDescent="0.35">
      <c r="A802" t="s">
        <v>1071</v>
      </c>
      <c r="B802" t="s">
        <v>224</v>
      </c>
      <c r="C802" t="s">
        <v>11</v>
      </c>
      <c r="D802">
        <v>21</v>
      </c>
      <c r="E802" t="s">
        <v>12</v>
      </c>
      <c r="F802" t="s">
        <v>18</v>
      </c>
      <c r="G802">
        <v>1785</v>
      </c>
      <c r="H802">
        <v>30</v>
      </c>
      <c r="I802" t="s">
        <v>14</v>
      </c>
      <c r="J802" t="str">
        <f>_xlfn.XLOOKUP(C802,'product_masterlist(ifs)'!A:A,'product_masterlist(ifs)'!C:C,"N/A",0)</f>
        <v>Surgical</v>
      </c>
      <c r="K802">
        <f>VLOOKUP(C802,'product_masterlist(ifs)'!A:I,7,FALSE)</f>
        <v>40</v>
      </c>
    </row>
    <row r="803" spans="1:11" x14ac:dyDescent="0.35">
      <c r="A803" t="s">
        <v>1072</v>
      </c>
      <c r="B803" t="s">
        <v>952</v>
      </c>
      <c r="C803" t="s">
        <v>33</v>
      </c>
      <c r="D803">
        <v>16</v>
      </c>
      <c r="E803" t="s">
        <v>22</v>
      </c>
      <c r="F803" t="s">
        <v>13</v>
      </c>
      <c r="G803">
        <v>2400</v>
      </c>
      <c r="H803">
        <v>45</v>
      </c>
      <c r="I803" t="s">
        <v>34</v>
      </c>
      <c r="J803" t="str">
        <f>_xlfn.XLOOKUP(C803,'product_masterlist(ifs)'!A:A,'product_masterlist(ifs)'!C:C,"N/A",0)</f>
        <v>Surgical</v>
      </c>
      <c r="K803">
        <f>VLOOKUP(C803,'product_masterlist(ifs)'!A:I,7,FALSE)</f>
        <v>15</v>
      </c>
    </row>
    <row r="804" spans="1:11" x14ac:dyDescent="0.35">
      <c r="A804" t="s">
        <v>1073</v>
      </c>
      <c r="B804" s="1">
        <v>45811</v>
      </c>
      <c r="C804" t="s">
        <v>33</v>
      </c>
      <c r="D804">
        <v>6</v>
      </c>
      <c r="E804" t="s">
        <v>22</v>
      </c>
      <c r="F804" t="s">
        <v>23</v>
      </c>
      <c r="G804">
        <v>900</v>
      </c>
      <c r="H804">
        <v>45</v>
      </c>
      <c r="I804" t="s">
        <v>34</v>
      </c>
      <c r="J804" t="str">
        <f>_xlfn.XLOOKUP(C804,'product_masterlist(ifs)'!A:A,'product_masterlist(ifs)'!C:C,"N/A",0)</f>
        <v>Surgical</v>
      </c>
      <c r="K804">
        <f>VLOOKUP(C804,'product_masterlist(ifs)'!A:I,7,FALSE)</f>
        <v>15</v>
      </c>
    </row>
    <row r="805" spans="1:11" x14ac:dyDescent="0.35">
      <c r="A805" t="s">
        <v>1074</v>
      </c>
      <c r="B805" s="1">
        <v>45667</v>
      </c>
      <c r="C805" t="s">
        <v>53</v>
      </c>
      <c r="D805">
        <v>24</v>
      </c>
      <c r="E805" t="s">
        <v>20</v>
      </c>
      <c r="F805" t="s">
        <v>23</v>
      </c>
      <c r="G805">
        <v>102</v>
      </c>
      <c r="H805">
        <v>7</v>
      </c>
      <c r="I805" t="s">
        <v>28</v>
      </c>
      <c r="J805" t="str">
        <f>_xlfn.XLOOKUP(C805,'product_masterlist(ifs)'!A:A,'product_masterlist(ifs)'!C:C,"N/A",0)</f>
        <v>Solutions</v>
      </c>
      <c r="K805">
        <f>VLOOKUP(C805,'product_masterlist(ifs)'!A:I,7,FALSE)</f>
        <v>800</v>
      </c>
    </row>
    <row r="806" spans="1:11" x14ac:dyDescent="0.35">
      <c r="A806" t="s">
        <v>1075</v>
      </c>
      <c r="B806" t="s">
        <v>151</v>
      </c>
      <c r="C806" t="s">
        <v>42</v>
      </c>
      <c r="D806">
        <v>24</v>
      </c>
      <c r="E806" t="s">
        <v>22</v>
      </c>
      <c r="F806" t="s">
        <v>31</v>
      </c>
      <c r="G806">
        <v>600</v>
      </c>
      <c r="H806">
        <v>21</v>
      </c>
      <c r="I806" t="s">
        <v>14</v>
      </c>
      <c r="J806" t="str">
        <f>_xlfn.XLOOKUP(C806,'product_masterlist(ifs)'!A:A,'product_masterlist(ifs)'!C:C,"N/A",0)</f>
        <v>Contact Lenses</v>
      </c>
      <c r="K806">
        <f>VLOOKUP(C806,'product_masterlist(ifs)'!A:I,7,FALSE)</f>
        <v>120</v>
      </c>
    </row>
    <row r="807" spans="1:11" x14ac:dyDescent="0.35">
      <c r="A807" t="s">
        <v>1076</v>
      </c>
      <c r="B807" t="s">
        <v>65</v>
      </c>
      <c r="C807" t="s">
        <v>42</v>
      </c>
      <c r="D807">
        <v>5</v>
      </c>
      <c r="E807" t="s">
        <v>22</v>
      </c>
      <c r="F807" t="s">
        <v>23</v>
      </c>
      <c r="G807">
        <v>125</v>
      </c>
      <c r="H807">
        <v>21</v>
      </c>
      <c r="I807" t="s">
        <v>14</v>
      </c>
      <c r="J807" t="str">
        <f>_xlfn.XLOOKUP(C807,'product_masterlist(ifs)'!A:A,'product_masterlist(ifs)'!C:C,"N/A",0)</f>
        <v>Contact Lenses</v>
      </c>
      <c r="K807">
        <f>VLOOKUP(C807,'product_masterlist(ifs)'!A:I,7,FALSE)</f>
        <v>120</v>
      </c>
    </row>
    <row r="808" spans="1:11" x14ac:dyDescent="0.35">
      <c r="A808" t="s">
        <v>1077</v>
      </c>
      <c r="B808" s="1">
        <v>45689</v>
      </c>
      <c r="C808" t="s">
        <v>11</v>
      </c>
      <c r="D808">
        <v>12</v>
      </c>
      <c r="E808" t="s">
        <v>22</v>
      </c>
      <c r="F808" t="s">
        <v>23</v>
      </c>
      <c r="G808">
        <v>1020</v>
      </c>
      <c r="H808">
        <v>30</v>
      </c>
      <c r="I808" t="s">
        <v>14</v>
      </c>
      <c r="J808" t="str">
        <f>_xlfn.XLOOKUP(C808,'product_masterlist(ifs)'!A:A,'product_masterlist(ifs)'!C:C,"N/A",0)</f>
        <v>Surgical</v>
      </c>
      <c r="K808">
        <f>VLOOKUP(C808,'product_masterlist(ifs)'!A:I,7,FALSE)</f>
        <v>40</v>
      </c>
    </row>
    <row r="809" spans="1:11" x14ac:dyDescent="0.35">
      <c r="A809" t="s">
        <v>1078</v>
      </c>
      <c r="B809" s="1">
        <v>45847</v>
      </c>
      <c r="C809" t="s">
        <v>53</v>
      </c>
      <c r="D809">
        <v>3</v>
      </c>
      <c r="E809" t="s">
        <v>22</v>
      </c>
      <c r="F809" t="s">
        <v>18</v>
      </c>
      <c r="G809" t="s">
        <v>278</v>
      </c>
      <c r="H809">
        <v>7</v>
      </c>
      <c r="I809" t="s">
        <v>28</v>
      </c>
      <c r="J809" t="str">
        <f>_xlfn.XLOOKUP(C809,'product_masterlist(ifs)'!A:A,'product_masterlist(ifs)'!C:C,"N/A",0)</f>
        <v>Solutions</v>
      </c>
      <c r="K809">
        <f>VLOOKUP(C809,'product_masterlist(ifs)'!A:I,7,FALSE)</f>
        <v>800</v>
      </c>
    </row>
    <row r="810" spans="1:11" x14ac:dyDescent="0.35">
      <c r="A810" t="s">
        <v>1079</v>
      </c>
      <c r="B810" t="s">
        <v>138</v>
      </c>
      <c r="C810" t="s">
        <v>17</v>
      </c>
      <c r="D810">
        <v>9</v>
      </c>
      <c r="E810" t="s">
        <v>20</v>
      </c>
      <c r="F810" t="s">
        <v>18</v>
      </c>
      <c r="G810">
        <v>405</v>
      </c>
      <c r="H810">
        <v>30</v>
      </c>
      <c r="I810" t="s">
        <v>14</v>
      </c>
      <c r="J810" t="str">
        <f>_xlfn.XLOOKUP(C810,'product_masterlist(ifs)'!A:A,'product_masterlist(ifs)'!C:C,"N/A",0)</f>
        <v>Frames</v>
      </c>
      <c r="K810">
        <f>VLOOKUP(C810,'product_masterlist(ifs)'!A:I,7,FALSE)</f>
        <v>45</v>
      </c>
    </row>
    <row r="811" spans="1:11" x14ac:dyDescent="0.35">
      <c r="A811" t="s">
        <v>1080</v>
      </c>
      <c r="B811" t="s">
        <v>636</v>
      </c>
      <c r="C811" t="s">
        <v>26</v>
      </c>
      <c r="D811">
        <v>24</v>
      </c>
      <c r="E811" t="s">
        <v>20</v>
      </c>
      <c r="F811" t="s">
        <v>31</v>
      </c>
      <c r="G811">
        <v>300</v>
      </c>
      <c r="H811">
        <v>14</v>
      </c>
      <c r="I811" t="s">
        <v>28</v>
      </c>
      <c r="J811" t="str">
        <f>_xlfn.XLOOKUP(C811,'product_masterlist(ifs)'!A:A,'product_masterlist(ifs)'!C:C,"N/A",0)</f>
        <v>Contact Lenses</v>
      </c>
      <c r="K811">
        <f>VLOOKUP(C811,'product_masterlist(ifs)'!A:I,7,FALSE)</f>
        <v>450</v>
      </c>
    </row>
    <row r="812" spans="1:11" x14ac:dyDescent="0.35">
      <c r="A812" t="s">
        <v>1081</v>
      </c>
      <c r="B812" t="s">
        <v>248</v>
      </c>
      <c r="C812" t="s">
        <v>26</v>
      </c>
      <c r="D812">
        <v>12</v>
      </c>
      <c r="E812" t="s">
        <v>37</v>
      </c>
      <c r="F812" t="s">
        <v>31</v>
      </c>
      <c r="G812">
        <v>150</v>
      </c>
      <c r="H812">
        <v>14</v>
      </c>
      <c r="I812" t="s">
        <v>28</v>
      </c>
      <c r="J812" t="str">
        <f>_xlfn.XLOOKUP(C812,'product_masterlist(ifs)'!A:A,'product_masterlist(ifs)'!C:C,"N/A",0)</f>
        <v>Contact Lenses</v>
      </c>
      <c r="K812">
        <f>VLOOKUP(C812,'product_masterlist(ifs)'!A:I,7,FALSE)</f>
        <v>450</v>
      </c>
    </row>
    <row r="813" spans="1:11" x14ac:dyDescent="0.35">
      <c r="A813" t="s">
        <v>1082</v>
      </c>
      <c r="B813" t="s">
        <v>310</v>
      </c>
      <c r="C813" t="s">
        <v>90</v>
      </c>
      <c r="D813">
        <v>19</v>
      </c>
      <c r="E813" t="s">
        <v>22</v>
      </c>
      <c r="F813" t="s">
        <v>31</v>
      </c>
      <c r="G813" t="s">
        <v>504</v>
      </c>
      <c r="H813">
        <v>30</v>
      </c>
      <c r="I813" t="s">
        <v>14</v>
      </c>
      <c r="J813" t="str">
        <f>_xlfn.XLOOKUP(C813,'product_masterlist(ifs)'!A:A,'product_masterlist(ifs)'!C:C,"N/A",0)</f>
        <v>Frames</v>
      </c>
      <c r="K813">
        <f>VLOOKUP(C813,'product_masterlist(ifs)'!A:I,7,FALSE)</f>
        <v>180</v>
      </c>
    </row>
    <row r="814" spans="1:11" x14ac:dyDescent="0.35">
      <c r="A814" t="s">
        <v>1083</v>
      </c>
      <c r="B814" t="s">
        <v>747</v>
      </c>
      <c r="C814" t="s">
        <v>17</v>
      </c>
      <c r="D814">
        <v>22</v>
      </c>
      <c r="E814" t="s">
        <v>37</v>
      </c>
      <c r="F814" t="s">
        <v>31</v>
      </c>
      <c r="G814">
        <v>990</v>
      </c>
      <c r="H814">
        <v>30</v>
      </c>
      <c r="I814" t="s">
        <v>14</v>
      </c>
      <c r="J814" t="str">
        <f>_xlfn.XLOOKUP(C814,'product_masterlist(ifs)'!A:A,'product_masterlist(ifs)'!C:C,"N/A",0)</f>
        <v>Frames</v>
      </c>
      <c r="K814">
        <f>VLOOKUP(C814,'product_masterlist(ifs)'!A:I,7,FALSE)</f>
        <v>45</v>
      </c>
    </row>
    <row r="815" spans="1:11" x14ac:dyDescent="0.35">
      <c r="A815" t="s">
        <v>1084</v>
      </c>
      <c r="B815" t="s">
        <v>838</v>
      </c>
      <c r="C815" t="s">
        <v>53</v>
      </c>
      <c r="D815">
        <v>14</v>
      </c>
      <c r="E815" t="s">
        <v>22</v>
      </c>
      <c r="F815" t="s">
        <v>23</v>
      </c>
      <c r="G815" t="s">
        <v>228</v>
      </c>
      <c r="H815">
        <v>7</v>
      </c>
      <c r="I815" t="s">
        <v>28</v>
      </c>
      <c r="J815" t="str">
        <f>_xlfn.XLOOKUP(C815,'product_masterlist(ifs)'!A:A,'product_masterlist(ifs)'!C:C,"N/A",0)</f>
        <v>Solutions</v>
      </c>
      <c r="K815">
        <f>VLOOKUP(C815,'product_masterlist(ifs)'!A:I,7,FALSE)</f>
        <v>800</v>
      </c>
    </row>
    <row r="816" spans="1:11" x14ac:dyDescent="0.35">
      <c r="A816" t="s">
        <v>1085</v>
      </c>
      <c r="B816" t="s">
        <v>1006</v>
      </c>
      <c r="C816" t="s">
        <v>33</v>
      </c>
      <c r="D816">
        <v>5</v>
      </c>
      <c r="E816" t="s">
        <v>37</v>
      </c>
      <c r="F816" t="s">
        <v>31</v>
      </c>
      <c r="G816">
        <v>750</v>
      </c>
      <c r="H816">
        <v>45</v>
      </c>
      <c r="I816" t="s">
        <v>34</v>
      </c>
      <c r="J816" t="str">
        <f>_xlfn.XLOOKUP(C816,'product_masterlist(ifs)'!A:A,'product_masterlist(ifs)'!C:C,"N/A",0)</f>
        <v>Surgical</v>
      </c>
      <c r="K816">
        <f>VLOOKUP(C816,'product_masterlist(ifs)'!A:I,7,FALSE)</f>
        <v>15</v>
      </c>
    </row>
    <row r="817" spans="1:11" x14ac:dyDescent="0.35">
      <c r="A817" t="s">
        <v>1086</v>
      </c>
      <c r="B817" s="1">
        <v>45717</v>
      </c>
      <c r="C817" t="s">
        <v>11</v>
      </c>
      <c r="D817">
        <v>13</v>
      </c>
      <c r="E817" t="s">
        <v>20</v>
      </c>
      <c r="F817" t="s">
        <v>18</v>
      </c>
      <c r="G817">
        <v>1105</v>
      </c>
      <c r="H817">
        <v>30</v>
      </c>
      <c r="I817" t="s">
        <v>14</v>
      </c>
      <c r="J817" t="str">
        <f>_xlfn.XLOOKUP(C817,'product_masterlist(ifs)'!A:A,'product_masterlist(ifs)'!C:C,"N/A",0)</f>
        <v>Surgical</v>
      </c>
      <c r="K817">
        <f>VLOOKUP(C817,'product_masterlist(ifs)'!A:I,7,FALSE)</f>
        <v>40</v>
      </c>
    </row>
    <row r="818" spans="1:11" x14ac:dyDescent="0.35">
      <c r="A818" t="s">
        <v>1087</v>
      </c>
      <c r="B818" t="s">
        <v>1034</v>
      </c>
      <c r="C818" t="s">
        <v>26</v>
      </c>
      <c r="D818">
        <v>18</v>
      </c>
      <c r="E818" t="s">
        <v>20</v>
      </c>
      <c r="F818" t="s">
        <v>13</v>
      </c>
      <c r="G818">
        <v>225</v>
      </c>
      <c r="H818">
        <v>14</v>
      </c>
      <c r="I818" t="s">
        <v>28</v>
      </c>
      <c r="J818" t="str">
        <f>_xlfn.XLOOKUP(C818,'product_masterlist(ifs)'!A:A,'product_masterlist(ifs)'!C:C,"N/A",0)</f>
        <v>Contact Lenses</v>
      </c>
      <c r="K818">
        <f>VLOOKUP(C818,'product_masterlist(ifs)'!A:I,7,FALSE)</f>
        <v>450</v>
      </c>
    </row>
    <row r="819" spans="1:11" x14ac:dyDescent="0.35">
      <c r="A819" t="s">
        <v>1088</v>
      </c>
      <c r="B819" t="s">
        <v>770</v>
      </c>
      <c r="C819" t="s">
        <v>42</v>
      </c>
      <c r="D819">
        <v>21</v>
      </c>
      <c r="E819" t="s">
        <v>12</v>
      </c>
      <c r="F819" t="s">
        <v>31</v>
      </c>
      <c r="G819">
        <v>525</v>
      </c>
      <c r="H819">
        <v>21</v>
      </c>
      <c r="I819" t="s">
        <v>14</v>
      </c>
      <c r="J819" t="str">
        <f>_xlfn.XLOOKUP(C819,'product_masterlist(ifs)'!A:A,'product_masterlist(ifs)'!C:C,"N/A",0)</f>
        <v>Contact Lenses</v>
      </c>
      <c r="K819">
        <f>VLOOKUP(C819,'product_masterlist(ifs)'!A:I,7,FALSE)</f>
        <v>120</v>
      </c>
    </row>
    <row r="820" spans="1:11" x14ac:dyDescent="0.35">
      <c r="A820" t="s">
        <v>1089</v>
      </c>
      <c r="B820" s="1">
        <v>45994</v>
      </c>
      <c r="C820" t="s">
        <v>17</v>
      </c>
      <c r="D820">
        <v>4</v>
      </c>
      <c r="E820" t="s">
        <v>37</v>
      </c>
      <c r="F820" t="s">
        <v>18</v>
      </c>
      <c r="G820">
        <v>180</v>
      </c>
      <c r="H820">
        <v>30</v>
      </c>
      <c r="I820" t="s">
        <v>14</v>
      </c>
      <c r="J820" t="str">
        <f>_xlfn.XLOOKUP(C820,'product_masterlist(ifs)'!A:A,'product_masterlist(ifs)'!C:C,"N/A",0)</f>
        <v>Frames</v>
      </c>
      <c r="K820">
        <f>VLOOKUP(C820,'product_masterlist(ifs)'!A:I,7,FALSE)</f>
        <v>45</v>
      </c>
    </row>
    <row r="821" spans="1:11" x14ac:dyDescent="0.35">
      <c r="A821" t="s">
        <v>1090</v>
      </c>
      <c r="B821" t="s">
        <v>475</v>
      </c>
      <c r="C821" t="s">
        <v>53</v>
      </c>
      <c r="D821">
        <v>3</v>
      </c>
      <c r="E821" t="s">
        <v>22</v>
      </c>
      <c r="F821" t="s">
        <v>23</v>
      </c>
      <c r="G821" t="s">
        <v>278</v>
      </c>
      <c r="H821">
        <v>7</v>
      </c>
      <c r="I821" t="s">
        <v>28</v>
      </c>
      <c r="J821" t="str">
        <f>_xlfn.XLOOKUP(C821,'product_masterlist(ifs)'!A:A,'product_masterlist(ifs)'!C:C,"N/A",0)</f>
        <v>Solutions</v>
      </c>
      <c r="K821">
        <f>VLOOKUP(C821,'product_masterlist(ifs)'!A:I,7,FALSE)</f>
        <v>800</v>
      </c>
    </row>
    <row r="822" spans="1:11" x14ac:dyDescent="0.35">
      <c r="A822" t="s">
        <v>1091</v>
      </c>
      <c r="B822" t="s">
        <v>975</v>
      </c>
      <c r="C822" t="s">
        <v>42</v>
      </c>
      <c r="D822">
        <v>17</v>
      </c>
      <c r="E822" t="s">
        <v>22</v>
      </c>
      <c r="F822" t="s">
        <v>13</v>
      </c>
      <c r="G822">
        <v>425</v>
      </c>
      <c r="H822">
        <v>21</v>
      </c>
      <c r="I822" t="s">
        <v>14</v>
      </c>
      <c r="J822" t="str">
        <f>_xlfn.XLOOKUP(C822,'product_masterlist(ifs)'!A:A,'product_masterlist(ifs)'!C:C,"N/A",0)</f>
        <v>Contact Lenses</v>
      </c>
      <c r="K822">
        <f>VLOOKUP(C822,'product_masterlist(ifs)'!A:I,7,FALSE)</f>
        <v>120</v>
      </c>
    </row>
    <row r="823" spans="1:11" x14ac:dyDescent="0.35">
      <c r="A823" t="s">
        <v>1092</v>
      </c>
      <c r="B823" t="s">
        <v>1006</v>
      </c>
      <c r="C823" t="s">
        <v>26</v>
      </c>
      <c r="D823">
        <v>19</v>
      </c>
      <c r="E823" t="s">
        <v>12</v>
      </c>
      <c r="F823" t="s">
        <v>13</v>
      </c>
      <c r="G823" t="s">
        <v>1093</v>
      </c>
      <c r="H823">
        <v>14</v>
      </c>
      <c r="I823" t="s">
        <v>28</v>
      </c>
      <c r="J823" t="str">
        <f>_xlfn.XLOOKUP(C823,'product_masterlist(ifs)'!A:A,'product_masterlist(ifs)'!C:C,"N/A",0)</f>
        <v>Contact Lenses</v>
      </c>
      <c r="K823">
        <f>VLOOKUP(C823,'product_masterlist(ifs)'!A:I,7,FALSE)</f>
        <v>450</v>
      </c>
    </row>
    <row r="824" spans="1:11" x14ac:dyDescent="0.35">
      <c r="A824" t="s">
        <v>1094</v>
      </c>
      <c r="B824" t="s">
        <v>352</v>
      </c>
      <c r="C824" t="s">
        <v>33</v>
      </c>
      <c r="D824">
        <v>3</v>
      </c>
      <c r="E824" t="s">
        <v>20</v>
      </c>
      <c r="F824" t="s">
        <v>13</v>
      </c>
      <c r="G824">
        <v>450</v>
      </c>
      <c r="H824">
        <v>45</v>
      </c>
      <c r="I824" t="s">
        <v>34</v>
      </c>
      <c r="J824" t="str">
        <f>_xlfn.XLOOKUP(C824,'product_masterlist(ifs)'!A:A,'product_masterlist(ifs)'!C:C,"N/A",0)</f>
        <v>Surgical</v>
      </c>
      <c r="K824">
        <f>VLOOKUP(C824,'product_masterlist(ifs)'!A:I,7,FALSE)</f>
        <v>15</v>
      </c>
    </row>
    <row r="825" spans="1:11" x14ac:dyDescent="0.35">
      <c r="A825" t="s">
        <v>1095</v>
      </c>
      <c r="B825" t="s">
        <v>737</v>
      </c>
      <c r="C825" t="s">
        <v>53</v>
      </c>
      <c r="D825">
        <v>5</v>
      </c>
      <c r="E825" t="s">
        <v>37</v>
      </c>
      <c r="F825" t="s">
        <v>18</v>
      </c>
      <c r="G825" t="s">
        <v>854</v>
      </c>
      <c r="H825">
        <v>7</v>
      </c>
      <c r="I825" t="s">
        <v>28</v>
      </c>
      <c r="J825" t="str">
        <f>_xlfn.XLOOKUP(C825,'product_masterlist(ifs)'!A:A,'product_masterlist(ifs)'!C:C,"N/A",0)</f>
        <v>Solutions</v>
      </c>
      <c r="K825">
        <f>VLOOKUP(C825,'product_masterlist(ifs)'!A:I,7,FALSE)</f>
        <v>800</v>
      </c>
    </row>
    <row r="826" spans="1:11" x14ac:dyDescent="0.35">
      <c r="A826" t="s">
        <v>1096</v>
      </c>
      <c r="B826" t="s">
        <v>237</v>
      </c>
      <c r="C826" t="s">
        <v>53</v>
      </c>
      <c r="D826">
        <v>24</v>
      </c>
      <c r="E826" t="s">
        <v>22</v>
      </c>
      <c r="F826" t="s">
        <v>18</v>
      </c>
      <c r="G826">
        <v>102</v>
      </c>
      <c r="H826">
        <v>7</v>
      </c>
      <c r="I826" t="s">
        <v>28</v>
      </c>
      <c r="J826" t="str">
        <f>_xlfn.XLOOKUP(C826,'product_masterlist(ifs)'!A:A,'product_masterlist(ifs)'!C:C,"N/A",0)</f>
        <v>Solutions</v>
      </c>
      <c r="K826">
        <f>VLOOKUP(C826,'product_masterlist(ifs)'!A:I,7,FALSE)</f>
        <v>800</v>
      </c>
    </row>
    <row r="827" spans="1:11" x14ac:dyDescent="0.35">
      <c r="A827" t="s">
        <v>1097</v>
      </c>
      <c r="B827" t="s">
        <v>10</v>
      </c>
      <c r="C827" t="s">
        <v>42</v>
      </c>
      <c r="D827">
        <v>17</v>
      </c>
      <c r="E827" t="s">
        <v>20</v>
      </c>
      <c r="F827" t="s">
        <v>13</v>
      </c>
      <c r="G827">
        <v>425</v>
      </c>
      <c r="H827">
        <v>21</v>
      </c>
      <c r="I827" t="s">
        <v>14</v>
      </c>
      <c r="J827" t="str">
        <f>_xlfn.XLOOKUP(C827,'product_masterlist(ifs)'!A:A,'product_masterlist(ifs)'!C:C,"N/A",0)</f>
        <v>Contact Lenses</v>
      </c>
      <c r="K827">
        <f>VLOOKUP(C827,'product_masterlist(ifs)'!A:I,7,FALSE)</f>
        <v>120</v>
      </c>
    </row>
    <row r="828" spans="1:11" x14ac:dyDescent="0.35">
      <c r="A828" t="s">
        <v>1098</v>
      </c>
      <c r="B828" t="s">
        <v>1099</v>
      </c>
      <c r="C828" t="s">
        <v>11</v>
      </c>
      <c r="D828">
        <v>6</v>
      </c>
      <c r="E828" t="s">
        <v>37</v>
      </c>
      <c r="F828" t="s">
        <v>18</v>
      </c>
      <c r="G828">
        <v>510</v>
      </c>
      <c r="H828">
        <v>30</v>
      </c>
      <c r="I828" t="s">
        <v>14</v>
      </c>
      <c r="J828" t="str">
        <f>_xlfn.XLOOKUP(C828,'product_masterlist(ifs)'!A:A,'product_masterlist(ifs)'!C:C,"N/A",0)</f>
        <v>Surgical</v>
      </c>
      <c r="K828">
        <f>VLOOKUP(C828,'product_masterlist(ifs)'!A:I,7,FALSE)</f>
        <v>40</v>
      </c>
    </row>
    <row r="829" spans="1:11" x14ac:dyDescent="0.35">
      <c r="A829" t="s">
        <v>1100</v>
      </c>
      <c r="B829" s="1">
        <v>45727</v>
      </c>
      <c r="C829" t="s">
        <v>42</v>
      </c>
      <c r="D829">
        <v>5</v>
      </c>
      <c r="E829" t="s">
        <v>12</v>
      </c>
      <c r="F829" t="s">
        <v>18</v>
      </c>
      <c r="G829">
        <v>125</v>
      </c>
      <c r="H829">
        <v>21</v>
      </c>
      <c r="I829" t="s">
        <v>14</v>
      </c>
      <c r="J829" t="str">
        <f>_xlfn.XLOOKUP(C829,'product_masterlist(ifs)'!A:A,'product_masterlist(ifs)'!C:C,"N/A",0)</f>
        <v>Contact Lenses</v>
      </c>
      <c r="K829">
        <f>VLOOKUP(C829,'product_masterlist(ifs)'!A:I,7,FALSE)</f>
        <v>120</v>
      </c>
    </row>
    <row r="830" spans="1:11" x14ac:dyDescent="0.35">
      <c r="A830" t="s">
        <v>1101</v>
      </c>
      <c r="B830" s="1">
        <v>45845</v>
      </c>
      <c r="C830" t="s">
        <v>33</v>
      </c>
      <c r="D830">
        <v>5</v>
      </c>
      <c r="E830" t="s">
        <v>20</v>
      </c>
      <c r="F830" t="s">
        <v>23</v>
      </c>
      <c r="G830">
        <v>750</v>
      </c>
      <c r="H830">
        <v>45</v>
      </c>
      <c r="I830" t="s">
        <v>34</v>
      </c>
      <c r="J830" t="str">
        <f>_xlfn.XLOOKUP(C830,'product_masterlist(ifs)'!A:A,'product_masterlist(ifs)'!C:C,"N/A",0)</f>
        <v>Surgical</v>
      </c>
      <c r="K830">
        <f>VLOOKUP(C830,'product_masterlist(ifs)'!A:I,7,FALSE)</f>
        <v>15</v>
      </c>
    </row>
    <row r="831" spans="1:11" x14ac:dyDescent="0.35">
      <c r="A831" t="s">
        <v>1102</v>
      </c>
      <c r="B831" t="s">
        <v>1103</v>
      </c>
      <c r="C831" t="s">
        <v>17</v>
      </c>
      <c r="D831">
        <v>13</v>
      </c>
      <c r="E831" t="s">
        <v>37</v>
      </c>
      <c r="F831" t="s">
        <v>18</v>
      </c>
      <c r="G831">
        <v>585</v>
      </c>
      <c r="H831">
        <v>30</v>
      </c>
      <c r="I831" t="s">
        <v>14</v>
      </c>
      <c r="J831" t="str">
        <f>_xlfn.XLOOKUP(C831,'product_masterlist(ifs)'!A:A,'product_masterlist(ifs)'!C:C,"N/A",0)</f>
        <v>Frames</v>
      </c>
      <c r="K831">
        <f>VLOOKUP(C831,'product_masterlist(ifs)'!A:I,7,FALSE)</f>
        <v>45</v>
      </c>
    </row>
    <row r="832" spans="1:11" x14ac:dyDescent="0.35">
      <c r="A832" t="s">
        <v>1104</v>
      </c>
      <c r="B832" t="s">
        <v>975</v>
      </c>
      <c r="C832" t="s">
        <v>90</v>
      </c>
      <c r="D832">
        <v>21</v>
      </c>
      <c r="E832" t="s">
        <v>37</v>
      </c>
      <c r="F832" t="s">
        <v>13</v>
      </c>
      <c r="G832" t="s">
        <v>120</v>
      </c>
      <c r="H832">
        <v>30</v>
      </c>
      <c r="I832" t="s">
        <v>14</v>
      </c>
      <c r="J832" t="str">
        <f>_xlfn.XLOOKUP(C832,'product_masterlist(ifs)'!A:A,'product_masterlist(ifs)'!C:C,"N/A",0)</f>
        <v>Frames</v>
      </c>
      <c r="K832">
        <f>VLOOKUP(C832,'product_masterlist(ifs)'!A:I,7,FALSE)</f>
        <v>180</v>
      </c>
    </row>
    <row r="833" spans="1:11" x14ac:dyDescent="0.35">
      <c r="A833" t="s">
        <v>1105</v>
      </c>
      <c r="B833" t="s">
        <v>323</v>
      </c>
      <c r="C833" t="s">
        <v>11</v>
      </c>
      <c r="D833">
        <v>14</v>
      </c>
      <c r="E833" t="s">
        <v>20</v>
      </c>
      <c r="F833" t="s">
        <v>13</v>
      </c>
      <c r="G833">
        <v>1190</v>
      </c>
      <c r="H833">
        <v>30</v>
      </c>
      <c r="I833" t="s">
        <v>14</v>
      </c>
      <c r="J833" t="str">
        <f>_xlfn.XLOOKUP(C833,'product_masterlist(ifs)'!A:A,'product_masterlist(ifs)'!C:C,"N/A",0)</f>
        <v>Surgical</v>
      </c>
      <c r="K833">
        <f>VLOOKUP(C833,'product_masterlist(ifs)'!A:I,7,FALSE)</f>
        <v>40</v>
      </c>
    </row>
    <row r="834" spans="1:11" x14ac:dyDescent="0.35">
      <c r="A834" t="s">
        <v>1106</v>
      </c>
      <c r="B834" t="s">
        <v>58</v>
      </c>
      <c r="C834" t="s">
        <v>26</v>
      </c>
      <c r="D834">
        <v>6</v>
      </c>
      <c r="E834" t="s">
        <v>12</v>
      </c>
      <c r="F834" t="s">
        <v>18</v>
      </c>
      <c r="G834">
        <v>75</v>
      </c>
      <c r="H834">
        <v>14</v>
      </c>
      <c r="I834" t="s">
        <v>28</v>
      </c>
      <c r="J834" t="str">
        <f>_xlfn.XLOOKUP(C834,'product_masterlist(ifs)'!A:A,'product_masterlist(ifs)'!C:C,"N/A",0)</f>
        <v>Contact Lenses</v>
      </c>
      <c r="K834">
        <f>VLOOKUP(C834,'product_masterlist(ifs)'!A:I,7,FALSE)</f>
        <v>450</v>
      </c>
    </row>
    <row r="835" spans="1:11" x14ac:dyDescent="0.35">
      <c r="A835" t="s">
        <v>1107</v>
      </c>
      <c r="B835" t="s">
        <v>129</v>
      </c>
      <c r="C835" t="s">
        <v>26</v>
      </c>
      <c r="D835">
        <v>17</v>
      </c>
      <c r="E835" t="s">
        <v>12</v>
      </c>
      <c r="F835" t="s">
        <v>18</v>
      </c>
      <c r="G835" t="s">
        <v>152</v>
      </c>
      <c r="H835">
        <v>14</v>
      </c>
      <c r="I835" t="s">
        <v>28</v>
      </c>
      <c r="J835" t="str">
        <f>_xlfn.XLOOKUP(C835,'product_masterlist(ifs)'!A:A,'product_masterlist(ifs)'!C:C,"N/A",0)</f>
        <v>Contact Lenses</v>
      </c>
      <c r="K835">
        <f>VLOOKUP(C835,'product_masterlist(ifs)'!A:I,7,FALSE)</f>
        <v>450</v>
      </c>
    </row>
    <row r="836" spans="1:11" x14ac:dyDescent="0.35">
      <c r="A836" t="s">
        <v>1108</v>
      </c>
      <c r="B836" t="s">
        <v>950</v>
      </c>
      <c r="C836" t="s">
        <v>17</v>
      </c>
      <c r="D836">
        <v>2</v>
      </c>
      <c r="E836" t="s">
        <v>37</v>
      </c>
      <c r="F836" t="s">
        <v>18</v>
      </c>
      <c r="G836">
        <v>90</v>
      </c>
      <c r="H836">
        <v>30</v>
      </c>
      <c r="I836" t="s">
        <v>14</v>
      </c>
      <c r="J836" t="str">
        <f>_xlfn.XLOOKUP(C836,'product_masterlist(ifs)'!A:A,'product_masterlist(ifs)'!C:C,"N/A",0)</f>
        <v>Frames</v>
      </c>
      <c r="K836">
        <f>VLOOKUP(C836,'product_masterlist(ifs)'!A:I,7,FALSE)</f>
        <v>45</v>
      </c>
    </row>
    <row r="837" spans="1:11" x14ac:dyDescent="0.35">
      <c r="A837" t="s">
        <v>1109</v>
      </c>
      <c r="B837" t="s">
        <v>183</v>
      </c>
      <c r="C837" t="s">
        <v>42</v>
      </c>
      <c r="D837">
        <v>4</v>
      </c>
      <c r="E837" t="s">
        <v>20</v>
      </c>
      <c r="F837" t="s">
        <v>31</v>
      </c>
      <c r="G837">
        <v>100</v>
      </c>
      <c r="H837">
        <v>21</v>
      </c>
      <c r="I837" t="s">
        <v>14</v>
      </c>
      <c r="J837" t="str">
        <f>_xlfn.XLOOKUP(C837,'product_masterlist(ifs)'!A:A,'product_masterlist(ifs)'!C:C,"N/A",0)</f>
        <v>Contact Lenses</v>
      </c>
      <c r="K837">
        <f>VLOOKUP(C837,'product_masterlist(ifs)'!A:I,7,FALSE)</f>
        <v>120</v>
      </c>
    </row>
    <row r="838" spans="1:11" x14ac:dyDescent="0.35">
      <c r="A838" t="s">
        <v>1110</v>
      </c>
      <c r="B838" t="s">
        <v>823</v>
      </c>
      <c r="C838" t="s">
        <v>33</v>
      </c>
      <c r="D838">
        <v>17</v>
      </c>
      <c r="E838" t="s">
        <v>22</v>
      </c>
      <c r="F838" t="s">
        <v>31</v>
      </c>
      <c r="G838">
        <v>2550</v>
      </c>
      <c r="H838">
        <v>45</v>
      </c>
      <c r="I838" t="s">
        <v>34</v>
      </c>
      <c r="J838" t="str">
        <f>_xlfn.XLOOKUP(C838,'product_masterlist(ifs)'!A:A,'product_masterlist(ifs)'!C:C,"N/A",0)</f>
        <v>Surgical</v>
      </c>
      <c r="K838">
        <f>VLOOKUP(C838,'product_masterlist(ifs)'!A:I,7,FALSE)</f>
        <v>15</v>
      </c>
    </row>
    <row r="839" spans="1:11" x14ac:dyDescent="0.35">
      <c r="A839" t="s">
        <v>1111</v>
      </c>
      <c r="B839" t="s">
        <v>708</v>
      </c>
      <c r="C839" t="s">
        <v>90</v>
      </c>
      <c r="D839">
        <v>23</v>
      </c>
      <c r="E839" t="s">
        <v>37</v>
      </c>
      <c r="F839" t="s">
        <v>31</v>
      </c>
      <c r="G839" t="s">
        <v>123</v>
      </c>
      <c r="H839">
        <v>30</v>
      </c>
      <c r="I839" t="s">
        <v>14</v>
      </c>
      <c r="J839" t="str">
        <f>_xlfn.XLOOKUP(C839,'product_masterlist(ifs)'!A:A,'product_masterlist(ifs)'!C:C,"N/A",0)</f>
        <v>Frames</v>
      </c>
      <c r="K839">
        <f>VLOOKUP(C839,'product_masterlist(ifs)'!A:I,7,FALSE)</f>
        <v>180</v>
      </c>
    </row>
    <row r="840" spans="1:11" x14ac:dyDescent="0.35">
      <c r="A840" t="s">
        <v>1112</v>
      </c>
      <c r="B840" t="s">
        <v>747</v>
      </c>
      <c r="C840" t="s">
        <v>53</v>
      </c>
      <c r="D840">
        <v>11</v>
      </c>
      <c r="E840" t="s">
        <v>20</v>
      </c>
      <c r="F840" t="s">
        <v>18</v>
      </c>
      <c r="G840" t="s">
        <v>240</v>
      </c>
      <c r="H840">
        <v>7</v>
      </c>
      <c r="I840" t="s">
        <v>28</v>
      </c>
      <c r="J840" t="str">
        <f>_xlfn.XLOOKUP(C840,'product_masterlist(ifs)'!A:A,'product_masterlist(ifs)'!C:C,"N/A",0)</f>
        <v>Solutions</v>
      </c>
      <c r="K840">
        <f>VLOOKUP(C840,'product_masterlist(ifs)'!A:I,7,FALSE)</f>
        <v>800</v>
      </c>
    </row>
    <row r="841" spans="1:11" x14ac:dyDescent="0.35">
      <c r="A841" t="s">
        <v>1113</v>
      </c>
      <c r="B841" s="1">
        <v>45846</v>
      </c>
      <c r="C841" t="s">
        <v>26</v>
      </c>
      <c r="D841">
        <v>2</v>
      </c>
      <c r="E841" t="s">
        <v>12</v>
      </c>
      <c r="F841" t="s">
        <v>13</v>
      </c>
      <c r="G841">
        <v>25</v>
      </c>
      <c r="H841">
        <v>14</v>
      </c>
      <c r="I841" t="s">
        <v>28</v>
      </c>
      <c r="J841" t="str">
        <f>_xlfn.XLOOKUP(C841,'product_masterlist(ifs)'!A:A,'product_masterlist(ifs)'!C:C,"N/A",0)</f>
        <v>Contact Lenses</v>
      </c>
      <c r="K841">
        <f>VLOOKUP(C841,'product_masterlist(ifs)'!A:I,7,FALSE)</f>
        <v>450</v>
      </c>
    </row>
    <row r="842" spans="1:11" x14ac:dyDescent="0.35">
      <c r="A842" t="s">
        <v>1114</v>
      </c>
      <c r="B842" t="s">
        <v>414</v>
      </c>
      <c r="C842" t="s">
        <v>33</v>
      </c>
      <c r="D842">
        <v>13</v>
      </c>
      <c r="E842" t="s">
        <v>37</v>
      </c>
      <c r="F842" t="s">
        <v>23</v>
      </c>
      <c r="G842">
        <v>1950</v>
      </c>
      <c r="H842">
        <v>45</v>
      </c>
      <c r="I842" t="s">
        <v>34</v>
      </c>
      <c r="J842" t="str">
        <f>_xlfn.XLOOKUP(C842,'product_masterlist(ifs)'!A:A,'product_masterlist(ifs)'!C:C,"N/A",0)</f>
        <v>Surgical</v>
      </c>
      <c r="K842">
        <f>VLOOKUP(C842,'product_masterlist(ifs)'!A:I,7,FALSE)</f>
        <v>15</v>
      </c>
    </row>
    <row r="843" spans="1:11" x14ac:dyDescent="0.35">
      <c r="A843" t="s">
        <v>1115</v>
      </c>
      <c r="B843" t="s">
        <v>704</v>
      </c>
      <c r="C843" t="s">
        <v>33</v>
      </c>
      <c r="D843">
        <v>7</v>
      </c>
      <c r="E843" t="s">
        <v>12</v>
      </c>
      <c r="F843" t="s">
        <v>31</v>
      </c>
      <c r="G843">
        <v>1050</v>
      </c>
      <c r="H843">
        <v>45</v>
      </c>
      <c r="I843" t="s">
        <v>34</v>
      </c>
      <c r="J843" t="str">
        <f>_xlfn.XLOOKUP(C843,'product_masterlist(ifs)'!A:A,'product_masterlist(ifs)'!C:C,"N/A",0)</f>
        <v>Surgical</v>
      </c>
      <c r="K843">
        <f>VLOOKUP(C843,'product_masterlist(ifs)'!A:I,7,FALSE)</f>
        <v>15</v>
      </c>
    </row>
    <row r="844" spans="1:11" x14ac:dyDescent="0.35">
      <c r="A844" t="s">
        <v>1116</v>
      </c>
      <c r="B844" t="s">
        <v>129</v>
      </c>
      <c r="C844" t="s">
        <v>53</v>
      </c>
      <c r="D844">
        <v>14</v>
      </c>
      <c r="E844" t="s">
        <v>20</v>
      </c>
      <c r="F844" t="s">
        <v>13</v>
      </c>
      <c r="G844" t="s">
        <v>228</v>
      </c>
      <c r="H844">
        <v>7</v>
      </c>
      <c r="I844" t="s">
        <v>28</v>
      </c>
      <c r="J844" t="str">
        <f>_xlfn.XLOOKUP(C844,'product_masterlist(ifs)'!A:A,'product_masterlist(ifs)'!C:C,"N/A",0)</f>
        <v>Solutions</v>
      </c>
      <c r="K844">
        <f>VLOOKUP(C844,'product_masterlist(ifs)'!A:I,7,FALSE)</f>
        <v>800</v>
      </c>
    </row>
    <row r="845" spans="1:11" x14ac:dyDescent="0.35">
      <c r="A845" t="s">
        <v>1117</v>
      </c>
      <c r="B845" t="s">
        <v>58</v>
      </c>
      <c r="C845" t="s">
        <v>11</v>
      </c>
      <c r="D845">
        <v>8</v>
      </c>
      <c r="E845" t="s">
        <v>22</v>
      </c>
      <c r="F845" t="s">
        <v>23</v>
      </c>
      <c r="G845">
        <v>680</v>
      </c>
      <c r="H845">
        <v>30</v>
      </c>
      <c r="I845" t="s">
        <v>14</v>
      </c>
      <c r="J845" t="str">
        <f>_xlfn.XLOOKUP(C845,'product_masterlist(ifs)'!A:A,'product_masterlist(ifs)'!C:C,"N/A",0)</f>
        <v>Surgical</v>
      </c>
      <c r="K845">
        <f>VLOOKUP(C845,'product_masterlist(ifs)'!A:I,7,FALSE)</f>
        <v>40</v>
      </c>
    </row>
    <row r="846" spans="1:11" x14ac:dyDescent="0.35">
      <c r="A846" t="s">
        <v>1118</v>
      </c>
      <c r="B846" s="1">
        <v>45850</v>
      </c>
      <c r="C846" t="s">
        <v>11</v>
      </c>
      <c r="D846">
        <v>10</v>
      </c>
      <c r="E846" t="s">
        <v>20</v>
      </c>
      <c r="F846" t="s">
        <v>18</v>
      </c>
      <c r="G846">
        <v>850</v>
      </c>
      <c r="H846">
        <v>30</v>
      </c>
      <c r="I846" t="s">
        <v>14</v>
      </c>
      <c r="J846" t="str">
        <f>_xlfn.XLOOKUP(C846,'product_masterlist(ifs)'!A:A,'product_masterlist(ifs)'!C:C,"N/A",0)</f>
        <v>Surgical</v>
      </c>
      <c r="K846">
        <f>VLOOKUP(C846,'product_masterlist(ifs)'!A:I,7,FALSE)</f>
        <v>40</v>
      </c>
    </row>
    <row r="847" spans="1:11" x14ac:dyDescent="0.35">
      <c r="A847" t="s">
        <v>1119</v>
      </c>
      <c r="B847" s="1">
        <v>45659</v>
      </c>
      <c r="C847" t="s">
        <v>33</v>
      </c>
      <c r="D847">
        <v>13</v>
      </c>
      <c r="E847" t="s">
        <v>22</v>
      </c>
      <c r="F847" t="s">
        <v>18</v>
      </c>
      <c r="G847">
        <v>1950</v>
      </c>
      <c r="H847">
        <v>45</v>
      </c>
      <c r="I847" t="s">
        <v>34</v>
      </c>
      <c r="J847" t="str">
        <f>_xlfn.XLOOKUP(C847,'product_masterlist(ifs)'!A:A,'product_masterlist(ifs)'!C:C,"N/A",0)</f>
        <v>Surgical</v>
      </c>
      <c r="K847">
        <f>VLOOKUP(C847,'product_masterlist(ifs)'!A:I,7,FALSE)</f>
        <v>15</v>
      </c>
    </row>
    <row r="848" spans="1:11" x14ac:dyDescent="0.35">
      <c r="A848" t="s">
        <v>1120</v>
      </c>
      <c r="B848" s="1">
        <v>45660</v>
      </c>
      <c r="C848" t="s">
        <v>26</v>
      </c>
      <c r="D848">
        <v>9</v>
      </c>
      <c r="E848" t="s">
        <v>37</v>
      </c>
      <c r="F848" t="s">
        <v>23</v>
      </c>
      <c r="G848" t="s">
        <v>170</v>
      </c>
      <c r="H848">
        <v>14</v>
      </c>
      <c r="I848" t="s">
        <v>28</v>
      </c>
      <c r="J848" t="str">
        <f>_xlfn.XLOOKUP(C848,'product_masterlist(ifs)'!A:A,'product_masterlist(ifs)'!C:C,"N/A",0)</f>
        <v>Contact Lenses</v>
      </c>
      <c r="K848">
        <f>VLOOKUP(C848,'product_masterlist(ifs)'!A:I,7,FALSE)</f>
        <v>450</v>
      </c>
    </row>
    <row r="849" spans="1:11" x14ac:dyDescent="0.35">
      <c r="A849" t="s">
        <v>1121</v>
      </c>
      <c r="B849" t="s">
        <v>515</v>
      </c>
      <c r="C849" t="s">
        <v>90</v>
      </c>
      <c r="D849">
        <v>12</v>
      </c>
      <c r="E849" t="s">
        <v>22</v>
      </c>
      <c r="F849" t="s">
        <v>13</v>
      </c>
      <c r="G849">
        <v>582</v>
      </c>
      <c r="H849">
        <v>30</v>
      </c>
      <c r="I849" t="s">
        <v>14</v>
      </c>
      <c r="J849" t="str">
        <f>_xlfn.XLOOKUP(C849,'product_masterlist(ifs)'!A:A,'product_masterlist(ifs)'!C:C,"N/A",0)</f>
        <v>Frames</v>
      </c>
      <c r="K849">
        <f>VLOOKUP(C849,'product_masterlist(ifs)'!A:I,7,FALSE)</f>
        <v>180</v>
      </c>
    </row>
    <row r="850" spans="1:11" x14ac:dyDescent="0.35">
      <c r="A850" t="s">
        <v>1122</v>
      </c>
      <c r="B850" s="1">
        <v>45692</v>
      </c>
      <c r="C850" t="s">
        <v>42</v>
      </c>
      <c r="D850">
        <v>20</v>
      </c>
      <c r="E850" t="s">
        <v>37</v>
      </c>
      <c r="F850" t="s">
        <v>18</v>
      </c>
      <c r="G850">
        <v>500</v>
      </c>
      <c r="H850">
        <v>21</v>
      </c>
      <c r="I850" t="s">
        <v>14</v>
      </c>
      <c r="J850" t="str">
        <f>_xlfn.XLOOKUP(C850,'product_masterlist(ifs)'!A:A,'product_masterlist(ifs)'!C:C,"N/A",0)</f>
        <v>Contact Lenses</v>
      </c>
      <c r="K850">
        <f>VLOOKUP(C850,'product_masterlist(ifs)'!A:I,7,FALSE)</f>
        <v>120</v>
      </c>
    </row>
    <row r="851" spans="1:11" x14ac:dyDescent="0.35">
      <c r="A851" t="s">
        <v>1123</v>
      </c>
      <c r="B851" s="1">
        <v>45973</v>
      </c>
      <c r="C851" t="s">
        <v>11</v>
      </c>
      <c r="D851">
        <v>17</v>
      </c>
      <c r="E851" t="s">
        <v>37</v>
      </c>
      <c r="F851" t="s">
        <v>31</v>
      </c>
      <c r="G851">
        <v>1445</v>
      </c>
      <c r="H851">
        <v>30</v>
      </c>
      <c r="I851" t="s">
        <v>14</v>
      </c>
      <c r="J851" t="str">
        <f>_xlfn.XLOOKUP(C851,'product_masterlist(ifs)'!A:A,'product_masterlist(ifs)'!C:C,"N/A",0)</f>
        <v>Surgical</v>
      </c>
      <c r="K851">
        <f>VLOOKUP(C851,'product_masterlist(ifs)'!A:I,7,FALSE)</f>
        <v>40</v>
      </c>
    </row>
    <row r="852" spans="1:11" x14ac:dyDescent="0.35">
      <c r="A852" t="s">
        <v>1124</v>
      </c>
      <c r="B852" t="s">
        <v>1125</v>
      </c>
      <c r="C852" t="s">
        <v>26</v>
      </c>
      <c r="D852">
        <v>7</v>
      </c>
      <c r="E852" t="s">
        <v>12</v>
      </c>
      <c r="F852" t="s">
        <v>18</v>
      </c>
      <c r="G852" t="s">
        <v>27</v>
      </c>
      <c r="H852">
        <v>14</v>
      </c>
      <c r="I852" t="s">
        <v>28</v>
      </c>
      <c r="J852" t="str">
        <f>_xlfn.XLOOKUP(C852,'product_masterlist(ifs)'!A:A,'product_masterlist(ifs)'!C:C,"N/A",0)</f>
        <v>Contact Lenses</v>
      </c>
      <c r="K852">
        <f>VLOOKUP(C852,'product_masterlist(ifs)'!A:I,7,FALSE)</f>
        <v>450</v>
      </c>
    </row>
    <row r="853" spans="1:11" x14ac:dyDescent="0.35">
      <c r="A853" t="s">
        <v>1126</v>
      </c>
      <c r="B853" s="1">
        <v>45971</v>
      </c>
      <c r="C853" t="s">
        <v>53</v>
      </c>
      <c r="D853">
        <v>5</v>
      </c>
      <c r="E853" t="s">
        <v>12</v>
      </c>
      <c r="F853" t="s">
        <v>18</v>
      </c>
      <c r="G853" t="s">
        <v>854</v>
      </c>
      <c r="H853">
        <v>7</v>
      </c>
      <c r="I853" t="s">
        <v>28</v>
      </c>
      <c r="J853" t="str">
        <f>_xlfn.XLOOKUP(C853,'product_masterlist(ifs)'!A:A,'product_masterlist(ifs)'!C:C,"N/A",0)</f>
        <v>Solutions</v>
      </c>
      <c r="K853">
        <f>VLOOKUP(C853,'product_masterlist(ifs)'!A:I,7,FALSE)</f>
        <v>800</v>
      </c>
    </row>
    <row r="854" spans="1:11" x14ac:dyDescent="0.35">
      <c r="A854" t="s">
        <v>1127</v>
      </c>
      <c r="B854" t="s">
        <v>535</v>
      </c>
      <c r="C854" t="s">
        <v>33</v>
      </c>
      <c r="D854">
        <v>22</v>
      </c>
      <c r="E854" t="s">
        <v>20</v>
      </c>
      <c r="F854" t="s">
        <v>23</v>
      </c>
      <c r="G854">
        <v>3300</v>
      </c>
      <c r="H854">
        <v>45</v>
      </c>
      <c r="I854" t="s">
        <v>34</v>
      </c>
      <c r="J854" t="str">
        <f>_xlfn.XLOOKUP(C854,'product_masterlist(ifs)'!A:A,'product_masterlist(ifs)'!C:C,"N/A",0)</f>
        <v>Surgical</v>
      </c>
      <c r="K854">
        <f>VLOOKUP(C854,'product_masterlist(ifs)'!A:I,7,FALSE)</f>
        <v>15</v>
      </c>
    </row>
    <row r="855" spans="1:11" x14ac:dyDescent="0.35">
      <c r="A855" t="s">
        <v>1128</v>
      </c>
      <c r="B855" s="1">
        <v>45998</v>
      </c>
      <c r="C855" t="s">
        <v>17</v>
      </c>
      <c r="D855">
        <v>9</v>
      </c>
      <c r="E855" t="s">
        <v>20</v>
      </c>
      <c r="F855" t="s">
        <v>23</v>
      </c>
      <c r="G855">
        <v>405</v>
      </c>
      <c r="H855">
        <v>30</v>
      </c>
      <c r="I855" t="s">
        <v>14</v>
      </c>
      <c r="J855" t="str">
        <f>_xlfn.XLOOKUP(C855,'product_masterlist(ifs)'!A:A,'product_masterlist(ifs)'!C:C,"N/A",0)</f>
        <v>Frames</v>
      </c>
      <c r="K855">
        <f>VLOOKUP(C855,'product_masterlist(ifs)'!A:I,7,FALSE)</f>
        <v>45</v>
      </c>
    </row>
    <row r="856" spans="1:11" x14ac:dyDescent="0.35">
      <c r="A856" t="s">
        <v>1129</v>
      </c>
      <c r="B856" t="s">
        <v>214</v>
      </c>
      <c r="C856" t="s">
        <v>11</v>
      </c>
      <c r="D856">
        <v>15</v>
      </c>
      <c r="E856" t="s">
        <v>20</v>
      </c>
      <c r="F856" t="s">
        <v>13</v>
      </c>
      <c r="G856">
        <v>1275</v>
      </c>
      <c r="H856">
        <v>30</v>
      </c>
      <c r="I856" t="s">
        <v>14</v>
      </c>
      <c r="J856" t="str">
        <f>_xlfn.XLOOKUP(C856,'product_masterlist(ifs)'!A:A,'product_masterlist(ifs)'!C:C,"N/A",0)</f>
        <v>Surgical</v>
      </c>
      <c r="K856">
        <f>VLOOKUP(C856,'product_masterlist(ifs)'!A:I,7,FALSE)</f>
        <v>40</v>
      </c>
    </row>
    <row r="857" spans="1:11" x14ac:dyDescent="0.35">
      <c r="A857" t="s">
        <v>1130</v>
      </c>
      <c r="B857" t="s">
        <v>1131</v>
      </c>
      <c r="C857" t="s">
        <v>90</v>
      </c>
      <c r="D857">
        <v>4</v>
      </c>
      <c r="E857" t="s">
        <v>37</v>
      </c>
      <c r="F857" t="s">
        <v>23</v>
      </c>
      <c r="G857">
        <v>194</v>
      </c>
      <c r="H857">
        <v>30</v>
      </c>
      <c r="I857" t="s">
        <v>14</v>
      </c>
      <c r="J857" t="str">
        <f>_xlfn.XLOOKUP(C857,'product_masterlist(ifs)'!A:A,'product_masterlist(ifs)'!C:C,"N/A",0)</f>
        <v>Frames</v>
      </c>
      <c r="K857">
        <f>VLOOKUP(C857,'product_masterlist(ifs)'!A:I,7,FALSE)</f>
        <v>180</v>
      </c>
    </row>
    <row r="858" spans="1:11" x14ac:dyDescent="0.35">
      <c r="A858" t="s">
        <v>1132</v>
      </c>
      <c r="B858" t="s">
        <v>1006</v>
      </c>
      <c r="C858" t="s">
        <v>53</v>
      </c>
      <c r="D858">
        <v>15</v>
      </c>
      <c r="E858" t="s">
        <v>37</v>
      </c>
      <c r="F858" t="s">
        <v>18</v>
      </c>
      <c r="G858" t="s">
        <v>93</v>
      </c>
      <c r="H858">
        <v>7</v>
      </c>
      <c r="I858" t="s">
        <v>28</v>
      </c>
      <c r="J858" t="str">
        <f>_xlfn.XLOOKUP(C858,'product_masterlist(ifs)'!A:A,'product_masterlist(ifs)'!C:C,"N/A",0)</f>
        <v>Solutions</v>
      </c>
      <c r="K858">
        <f>VLOOKUP(C858,'product_masterlist(ifs)'!A:I,7,FALSE)</f>
        <v>800</v>
      </c>
    </row>
    <row r="859" spans="1:11" x14ac:dyDescent="0.35">
      <c r="A859" t="s">
        <v>1133</v>
      </c>
      <c r="B859" s="1">
        <v>45905</v>
      </c>
      <c r="C859" t="s">
        <v>11</v>
      </c>
      <c r="D859">
        <v>14</v>
      </c>
      <c r="E859" t="s">
        <v>22</v>
      </c>
      <c r="F859" t="s">
        <v>13</v>
      </c>
      <c r="G859">
        <v>1190</v>
      </c>
      <c r="H859">
        <v>30</v>
      </c>
      <c r="I859" t="s">
        <v>14</v>
      </c>
      <c r="J859" t="str">
        <f>_xlfn.XLOOKUP(C859,'product_masterlist(ifs)'!A:A,'product_masterlist(ifs)'!C:C,"N/A",0)</f>
        <v>Surgical</v>
      </c>
      <c r="K859">
        <f>VLOOKUP(C859,'product_masterlist(ifs)'!A:I,7,FALSE)</f>
        <v>40</v>
      </c>
    </row>
    <row r="860" spans="1:11" x14ac:dyDescent="0.35">
      <c r="A860" t="s">
        <v>1134</v>
      </c>
      <c r="B860" s="1">
        <v>45780</v>
      </c>
      <c r="C860" t="s">
        <v>42</v>
      </c>
      <c r="D860">
        <v>25</v>
      </c>
      <c r="E860" t="s">
        <v>12</v>
      </c>
      <c r="F860" t="s">
        <v>13</v>
      </c>
      <c r="G860">
        <v>625</v>
      </c>
      <c r="H860">
        <v>21</v>
      </c>
      <c r="I860" t="s">
        <v>14</v>
      </c>
      <c r="J860" t="str">
        <f>_xlfn.XLOOKUP(C860,'product_masterlist(ifs)'!A:A,'product_masterlist(ifs)'!C:C,"N/A",0)</f>
        <v>Contact Lenses</v>
      </c>
      <c r="K860">
        <f>VLOOKUP(C860,'product_masterlist(ifs)'!A:I,7,FALSE)</f>
        <v>120</v>
      </c>
    </row>
    <row r="861" spans="1:11" x14ac:dyDescent="0.35">
      <c r="A861" t="s">
        <v>1135</v>
      </c>
      <c r="B861" t="s">
        <v>711</v>
      </c>
      <c r="C861" t="s">
        <v>42</v>
      </c>
      <c r="D861">
        <v>25</v>
      </c>
      <c r="E861" t="s">
        <v>22</v>
      </c>
      <c r="F861" t="s">
        <v>13</v>
      </c>
      <c r="G861">
        <v>625</v>
      </c>
      <c r="H861">
        <v>21</v>
      </c>
      <c r="I861" t="s">
        <v>14</v>
      </c>
      <c r="J861" t="str">
        <f>_xlfn.XLOOKUP(C861,'product_masterlist(ifs)'!A:A,'product_masterlist(ifs)'!C:C,"N/A",0)</f>
        <v>Contact Lenses</v>
      </c>
      <c r="K861">
        <f>VLOOKUP(C861,'product_masterlist(ifs)'!A:I,7,FALSE)</f>
        <v>120</v>
      </c>
    </row>
    <row r="862" spans="1:11" x14ac:dyDescent="0.35">
      <c r="A862" t="s">
        <v>1136</v>
      </c>
      <c r="B862" t="s">
        <v>988</v>
      </c>
      <c r="C862" t="s">
        <v>33</v>
      </c>
      <c r="D862">
        <v>24</v>
      </c>
      <c r="E862" t="s">
        <v>12</v>
      </c>
      <c r="F862" t="s">
        <v>23</v>
      </c>
      <c r="G862">
        <v>3600</v>
      </c>
      <c r="H862">
        <v>45</v>
      </c>
      <c r="I862" t="s">
        <v>34</v>
      </c>
      <c r="J862" t="str">
        <f>_xlfn.XLOOKUP(C862,'product_masterlist(ifs)'!A:A,'product_masterlist(ifs)'!C:C,"N/A",0)</f>
        <v>Surgical</v>
      </c>
      <c r="K862">
        <f>VLOOKUP(C862,'product_masterlist(ifs)'!A:I,7,FALSE)</f>
        <v>15</v>
      </c>
    </row>
    <row r="863" spans="1:11" x14ac:dyDescent="0.35">
      <c r="A863" t="s">
        <v>1137</v>
      </c>
      <c r="B863" t="s">
        <v>97</v>
      </c>
      <c r="C863" t="s">
        <v>53</v>
      </c>
      <c r="D863">
        <v>17</v>
      </c>
      <c r="E863" t="s">
        <v>12</v>
      </c>
      <c r="F863" t="s">
        <v>31</v>
      </c>
      <c r="G863" t="s">
        <v>698</v>
      </c>
      <c r="H863">
        <v>7</v>
      </c>
      <c r="I863" t="s">
        <v>28</v>
      </c>
      <c r="J863" t="str">
        <f>_xlfn.XLOOKUP(C863,'product_masterlist(ifs)'!A:A,'product_masterlist(ifs)'!C:C,"N/A",0)</f>
        <v>Solutions</v>
      </c>
      <c r="K863">
        <f>VLOOKUP(C863,'product_masterlist(ifs)'!A:I,7,FALSE)</f>
        <v>800</v>
      </c>
    </row>
    <row r="864" spans="1:11" x14ac:dyDescent="0.35">
      <c r="A864" t="s">
        <v>1138</v>
      </c>
      <c r="B864" s="1">
        <v>45669</v>
      </c>
      <c r="C864" t="s">
        <v>90</v>
      </c>
      <c r="D864">
        <v>12</v>
      </c>
      <c r="E864" t="s">
        <v>22</v>
      </c>
      <c r="F864" t="s">
        <v>31</v>
      </c>
      <c r="G864">
        <v>582</v>
      </c>
      <c r="H864">
        <v>30</v>
      </c>
      <c r="I864" t="s">
        <v>14</v>
      </c>
      <c r="J864" t="str">
        <f>_xlfn.XLOOKUP(C864,'product_masterlist(ifs)'!A:A,'product_masterlist(ifs)'!C:C,"N/A",0)</f>
        <v>Frames</v>
      </c>
      <c r="K864">
        <f>VLOOKUP(C864,'product_masterlist(ifs)'!A:I,7,FALSE)</f>
        <v>180</v>
      </c>
    </row>
    <row r="865" spans="1:11" x14ac:dyDescent="0.35">
      <c r="A865" t="s">
        <v>1139</v>
      </c>
      <c r="B865" t="s">
        <v>246</v>
      </c>
      <c r="C865" t="s">
        <v>26</v>
      </c>
      <c r="D865">
        <v>19</v>
      </c>
      <c r="E865" t="s">
        <v>12</v>
      </c>
      <c r="F865" t="s">
        <v>31</v>
      </c>
      <c r="G865" t="s">
        <v>1093</v>
      </c>
      <c r="H865">
        <v>14</v>
      </c>
      <c r="I865" t="s">
        <v>28</v>
      </c>
      <c r="J865" t="str">
        <f>_xlfn.XLOOKUP(C865,'product_masterlist(ifs)'!A:A,'product_masterlist(ifs)'!C:C,"N/A",0)</f>
        <v>Contact Lenses</v>
      </c>
      <c r="K865">
        <f>VLOOKUP(C865,'product_masterlist(ifs)'!A:I,7,FALSE)</f>
        <v>450</v>
      </c>
    </row>
    <row r="866" spans="1:11" x14ac:dyDescent="0.35">
      <c r="A866" t="s">
        <v>1140</v>
      </c>
      <c r="B866" s="1">
        <v>45904</v>
      </c>
      <c r="C866" t="s">
        <v>11</v>
      </c>
      <c r="D866">
        <v>15</v>
      </c>
      <c r="E866" t="s">
        <v>12</v>
      </c>
      <c r="F866" t="s">
        <v>13</v>
      </c>
      <c r="G866">
        <v>1275</v>
      </c>
      <c r="H866">
        <v>30</v>
      </c>
      <c r="I866" t="s">
        <v>14</v>
      </c>
      <c r="J866" t="str">
        <f>_xlfn.XLOOKUP(C866,'product_masterlist(ifs)'!A:A,'product_masterlist(ifs)'!C:C,"N/A",0)</f>
        <v>Surgical</v>
      </c>
      <c r="K866">
        <f>VLOOKUP(C866,'product_masterlist(ifs)'!A:I,7,FALSE)</f>
        <v>40</v>
      </c>
    </row>
    <row r="867" spans="1:11" x14ac:dyDescent="0.35">
      <c r="A867" t="s">
        <v>1141</v>
      </c>
      <c r="B867" t="s">
        <v>1103</v>
      </c>
      <c r="C867" t="s">
        <v>26</v>
      </c>
      <c r="D867">
        <v>22</v>
      </c>
      <c r="E867" t="s">
        <v>37</v>
      </c>
      <c r="F867" t="s">
        <v>31</v>
      </c>
      <c r="G867">
        <v>275</v>
      </c>
      <c r="H867">
        <v>14</v>
      </c>
      <c r="I867" t="s">
        <v>28</v>
      </c>
      <c r="J867" t="str">
        <f>_xlfn.XLOOKUP(C867,'product_masterlist(ifs)'!A:A,'product_masterlist(ifs)'!C:C,"N/A",0)</f>
        <v>Contact Lenses</v>
      </c>
      <c r="K867">
        <f>VLOOKUP(C867,'product_masterlist(ifs)'!A:I,7,FALSE)</f>
        <v>450</v>
      </c>
    </row>
    <row r="868" spans="1:11" x14ac:dyDescent="0.35">
      <c r="A868" t="s">
        <v>1142</v>
      </c>
      <c r="B868" t="s">
        <v>108</v>
      </c>
      <c r="C868" t="s">
        <v>53</v>
      </c>
      <c r="D868">
        <v>19</v>
      </c>
      <c r="E868" t="s">
        <v>22</v>
      </c>
      <c r="F868" t="s">
        <v>18</v>
      </c>
      <c r="G868" t="s">
        <v>54</v>
      </c>
      <c r="H868">
        <v>7</v>
      </c>
      <c r="I868" t="s">
        <v>28</v>
      </c>
      <c r="J868" t="str">
        <f>_xlfn.XLOOKUP(C868,'product_masterlist(ifs)'!A:A,'product_masterlist(ifs)'!C:C,"N/A",0)</f>
        <v>Solutions</v>
      </c>
      <c r="K868">
        <f>VLOOKUP(C868,'product_masterlist(ifs)'!A:I,7,FALSE)</f>
        <v>800</v>
      </c>
    </row>
    <row r="869" spans="1:11" x14ac:dyDescent="0.35">
      <c r="A869" t="s">
        <v>1143</v>
      </c>
      <c r="B869" s="1">
        <v>45754</v>
      </c>
      <c r="C869" t="s">
        <v>90</v>
      </c>
      <c r="D869">
        <v>5</v>
      </c>
      <c r="E869" t="s">
        <v>20</v>
      </c>
      <c r="F869" t="s">
        <v>31</v>
      </c>
      <c r="G869" t="s">
        <v>332</v>
      </c>
      <c r="H869">
        <v>30</v>
      </c>
      <c r="I869" t="s">
        <v>14</v>
      </c>
      <c r="J869" t="str">
        <f>_xlfn.XLOOKUP(C869,'product_masterlist(ifs)'!A:A,'product_masterlist(ifs)'!C:C,"N/A",0)</f>
        <v>Frames</v>
      </c>
      <c r="K869">
        <f>VLOOKUP(C869,'product_masterlist(ifs)'!A:I,7,FALSE)</f>
        <v>180</v>
      </c>
    </row>
    <row r="870" spans="1:11" x14ac:dyDescent="0.35">
      <c r="A870" t="s">
        <v>1144</v>
      </c>
      <c r="B870" t="s">
        <v>87</v>
      </c>
      <c r="C870" t="s">
        <v>11</v>
      </c>
      <c r="D870">
        <v>10</v>
      </c>
      <c r="E870" t="s">
        <v>37</v>
      </c>
      <c r="F870" t="s">
        <v>13</v>
      </c>
      <c r="G870">
        <v>850</v>
      </c>
      <c r="H870">
        <v>30</v>
      </c>
      <c r="I870" t="s">
        <v>14</v>
      </c>
      <c r="J870" t="str">
        <f>_xlfn.XLOOKUP(C870,'product_masterlist(ifs)'!A:A,'product_masterlist(ifs)'!C:C,"N/A",0)</f>
        <v>Surgical</v>
      </c>
      <c r="K870">
        <f>VLOOKUP(C870,'product_masterlist(ifs)'!A:I,7,FALSE)</f>
        <v>40</v>
      </c>
    </row>
    <row r="871" spans="1:11" x14ac:dyDescent="0.35">
      <c r="A871" t="s">
        <v>1145</v>
      </c>
      <c r="B871" t="s">
        <v>192</v>
      </c>
      <c r="C871" t="s">
        <v>53</v>
      </c>
      <c r="D871">
        <v>2</v>
      </c>
      <c r="E871" t="s">
        <v>22</v>
      </c>
      <c r="F871" t="s">
        <v>18</v>
      </c>
      <c r="G871" t="s">
        <v>291</v>
      </c>
      <c r="H871">
        <v>7</v>
      </c>
      <c r="I871" t="s">
        <v>28</v>
      </c>
      <c r="J871" t="str">
        <f>_xlfn.XLOOKUP(C871,'product_masterlist(ifs)'!A:A,'product_masterlist(ifs)'!C:C,"N/A",0)</f>
        <v>Solutions</v>
      </c>
      <c r="K871">
        <f>VLOOKUP(C871,'product_masterlist(ifs)'!A:I,7,FALSE)</f>
        <v>800</v>
      </c>
    </row>
    <row r="872" spans="1:11" x14ac:dyDescent="0.35">
      <c r="A872" t="s">
        <v>1146</v>
      </c>
      <c r="B872" s="1">
        <v>45813</v>
      </c>
      <c r="C872" t="s">
        <v>11</v>
      </c>
      <c r="D872">
        <v>11</v>
      </c>
      <c r="E872" t="s">
        <v>37</v>
      </c>
      <c r="F872" t="s">
        <v>18</v>
      </c>
      <c r="G872">
        <v>935</v>
      </c>
      <c r="H872">
        <v>30</v>
      </c>
      <c r="I872" t="s">
        <v>14</v>
      </c>
      <c r="J872" t="str">
        <f>_xlfn.XLOOKUP(C872,'product_masterlist(ifs)'!A:A,'product_masterlist(ifs)'!C:C,"N/A",0)</f>
        <v>Surgical</v>
      </c>
      <c r="K872">
        <f>VLOOKUP(C872,'product_masterlist(ifs)'!A:I,7,FALSE)</f>
        <v>40</v>
      </c>
    </row>
    <row r="873" spans="1:11" x14ac:dyDescent="0.35">
      <c r="A873" t="s">
        <v>1147</v>
      </c>
      <c r="B873" t="s">
        <v>1099</v>
      </c>
      <c r="C873" t="s">
        <v>42</v>
      </c>
      <c r="D873">
        <v>17</v>
      </c>
      <c r="E873" t="s">
        <v>12</v>
      </c>
      <c r="F873" t="s">
        <v>13</v>
      </c>
      <c r="G873">
        <v>425</v>
      </c>
      <c r="H873">
        <v>21</v>
      </c>
      <c r="I873" t="s">
        <v>14</v>
      </c>
      <c r="J873" t="str">
        <f>_xlfn.XLOOKUP(C873,'product_masterlist(ifs)'!A:A,'product_masterlist(ifs)'!C:C,"N/A",0)</f>
        <v>Contact Lenses</v>
      </c>
      <c r="K873">
        <f>VLOOKUP(C873,'product_masterlist(ifs)'!A:I,7,FALSE)</f>
        <v>120</v>
      </c>
    </row>
    <row r="874" spans="1:11" x14ac:dyDescent="0.35">
      <c r="A874" t="s">
        <v>1148</v>
      </c>
      <c r="B874" t="s">
        <v>36</v>
      </c>
      <c r="C874" t="s">
        <v>33</v>
      </c>
      <c r="D874">
        <v>7</v>
      </c>
      <c r="E874" t="s">
        <v>37</v>
      </c>
      <c r="F874" t="s">
        <v>18</v>
      </c>
      <c r="G874">
        <v>1050</v>
      </c>
      <c r="H874">
        <v>45</v>
      </c>
      <c r="I874" t="s">
        <v>34</v>
      </c>
      <c r="J874" t="str">
        <f>_xlfn.XLOOKUP(C874,'product_masterlist(ifs)'!A:A,'product_masterlist(ifs)'!C:C,"N/A",0)</f>
        <v>Surgical</v>
      </c>
      <c r="K874">
        <f>VLOOKUP(C874,'product_masterlist(ifs)'!A:I,7,FALSE)</f>
        <v>15</v>
      </c>
    </row>
    <row r="875" spans="1:11" x14ac:dyDescent="0.35">
      <c r="A875" t="s">
        <v>1149</v>
      </c>
      <c r="B875" t="s">
        <v>1150</v>
      </c>
      <c r="C875" t="s">
        <v>17</v>
      </c>
      <c r="D875">
        <v>3</v>
      </c>
      <c r="E875" t="s">
        <v>37</v>
      </c>
      <c r="F875" t="s">
        <v>13</v>
      </c>
      <c r="G875">
        <v>135</v>
      </c>
      <c r="H875">
        <v>30</v>
      </c>
      <c r="I875" t="s">
        <v>14</v>
      </c>
      <c r="J875" t="str">
        <f>_xlfn.XLOOKUP(C875,'product_masterlist(ifs)'!A:A,'product_masterlist(ifs)'!C:C,"N/A",0)</f>
        <v>Frames</v>
      </c>
      <c r="K875">
        <f>VLOOKUP(C875,'product_masterlist(ifs)'!A:I,7,FALSE)</f>
        <v>45</v>
      </c>
    </row>
    <row r="876" spans="1:11" x14ac:dyDescent="0.35">
      <c r="A876" t="s">
        <v>1151</v>
      </c>
      <c r="B876" s="1">
        <v>45779</v>
      </c>
      <c r="C876" t="s">
        <v>26</v>
      </c>
      <c r="D876">
        <v>20</v>
      </c>
      <c r="E876" t="s">
        <v>12</v>
      </c>
      <c r="F876" t="s">
        <v>23</v>
      </c>
      <c r="G876">
        <v>250</v>
      </c>
      <c r="H876">
        <v>14</v>
      </c>
      <c r="I876" t="s">
        <v>28</v>
      </c>
      <c r="J876" t="str">
        <f>_xlfn.XLOOKUP(C876,'product_masterlist(ifs)'!A:A,'product_masterlist(ifs)'!C:C,"N/A",0)</f>
        <v>Contact Lenses</v>
      </c>
      <c r="K876">
        <f>VLOOKUP(C876,'product_masterlist(ifs)'!A:I,7,FALSE)</f>
        <v>450</v>
      </c>
    </row>
    <row r="877" spans="1:11" x14ac:dyDescent="0.35">
      <c r="A877" t="s">
        <v>1152</v>
      </c>
      <c r="B877" s="1">
        <v>45727</v>
      </c>
      <c r="C877" t="s">
        <v>33</v>
      </c>
      <c r="D877">
        <v>11</v>
      </c>
      <c r="E877" t="s">
        <v>37</v>
      </c>
      <c r="F877" t="s">
        <v>18</v>
      </c>
      <c r="G877">
        <v>1650</v>
      </c>
      <c r="H877">
        <v>45</v>
      </c>
      <c r="I877" t="s">
        <v>34</v>
      </c>
      <c r="J877" t="str">
        <f>_xlfn.XLOOKUP(C877,'product_masterlist(ifs)'!A:A,'product_masterlist(ifs)'!C:C,"N/A",0)</f>
        <v>Surgical</v>
      </c>
      <c r="K877">
        <f>VLOOKUP(C877,'product_masterlist(ifs)'!A:I,7,FALSE)</f>
        <v>15</v>
      </c>
    </row>
    <row r="878" spans="1:11" x14ac:dyDescent="0.35">
      <c r="A878" t="s">
        <v>1153</v>
      </c>
      <c r="B878" t="s">
        <v>246</v>
      </c>
      <c r="C878" t="s">
        <v>33</v>
      </c>
      <c r="D878">
        <v>24</v>
      </c>
      <c r="E878" t="s">
        <v>12</v>
      </c>
      <c r="F878" t="s">
        <v>23</v>
      </c>
      <c r="G878">
        <v>3600</v>
      </c>
      <c r="H878">
        <v>45</v>
      </c>
      <c r="I878" t="s">
        <v>34</v>
      </c>
      <c r="J878" t="str">
        <f>_xlfn.XLOOKUP(C878,'product_masterlist(ifs)'!A:A,'product_masterlist(ifs)'!C:C,"N/A",0)</f>
        <v>Surgical</v>
      </c>
      <c r="K878">
        <f>VLOOKUP(C878,'product_masterlist(ifs)'!A:I,7,FALSE)</f>
        <v>15</v>
      </c>
    </row>
    <row r="879" spans="1:11" x14ac:dyDescent="0.35">
      <c r="A879" t="s">
        <v>1154</v>
      </c>
      <c r="B879" t="s">
        <v>151</v>
      </c>
      <c r="C879" t="s">
        <v>26</v>
      </c>
      <c r="D879">
        <v>16</v>
      </c>
      <c r="E879" t="s">
        <v>37</v>
      </c>
      <c r="F879" t="s">
        <v>31</v>
      </c>
      <c r="G879">
        <v>200</v>
      </c>
      <c r="H879">
        <v>14</v>
      </c>
      <c r="I879" t="s">
        <v>28</v>
      </c>
      <c r="J879" t="str">
        <f>_xlfn.XLOOKUP(C879,'product_masterlist(ifs)'!A:A,'product_masterlist(ifs)'!C:C,"N/A",0)</f>
        <v>Contact Lenses</v>
      </c>
      <c r="K879">
        <f>VLOOKUP(C879,'product_masterlist(ifs)'!A:I,7,FALSE)</f>
        <v>450</v>
      </c>
    </row>
    <row r="880" spans="1:11" x14ac:dyDescent="0.35">
      <c r="A880" t="s">
        <v>1155</v>
      </c>
      <c r="B880" s="1">
        <v>45788</v>
      </c>
      <c r="C880" t="s">
        <v>42</v>
      </c>
      <c r="D880">
        <v>6</v>
      </c>
      <c r="E880" t="s">
        <v>22</v>
      </c>
      <c r="F880" t="s">
        <v>31</v>
      </c>
      <c r="G880">
        <v>150</v>
      </c>
      <c r="H880">
        <v>21</v>
      </c>
      <c r="I880" t="s">
        <v>14</v>
      </c>
      <c r="J880" t="str">
        <f>_xlfn.XLOOKUP(C880,'product_masterlist(ifs)'!A:A,'product_masterlist(ifs)'!C:C,"N/A",0)</f>
        <v>Contact Lenses</v>
      </c>
      <c r="K880">
        <f>VLOOKUP(C880,'product_masterlist(ifs)'!A:I,7,FALSE)</f>
        <v>120</v>
      </c>
    </row>
    <row r="881" spans="1:11" x14ac:dyDescent="0.35">
      <c r="A881" t="s">
        <v>1156</v>
      </c>
      <c r="B881" s="1">
        <v>45907</v>
      </c>
      <c r="C881" t="s">
        <v>26</v>
      </c>
      <c r="D881">
        <v>4</v>
      </c>
      <c r="E881" t="s">
        <v>12</v>
      </c>
      <c r="F881" t="s">
        <v>23</v>
      </c>
      <c r="G881">
        <v>50</v>
      </c>
      <c r="H881">
        <v>14</v>
      </c>
      <c r="I881" t="s">
        <v>28</v>
      </c>
      <c r="J881" t="str">
        <f>_xlfn.XLOOKUP(C881,'product_masterlist(ifs)'!A:A,'product_masterlist(ifs)'!C:C,"N/A",0)</f>
        <v>Contact Lenses</v>
      </c>
      <c r="K881">
        <f>VLOOKUP(C881,'product_masterlist(ifs)'!A:I,7,FALSE)</f>
        <v>450</v>
      </c>
    </row>
    <row r="882" spans="1:11" x14ac:dyDescent="0.35">
      <c r="A882" t="s">
        <v>1157</v>
      </c>
      <c r="B882" s="1">
        <v>45935</v>
      </c>
      <c r="C882" t="s">
        <v>53</v>
      </c>
      <c r="D882">
        <v>22</v>
      </c>
      <c r="E882" t="s">
        <v>12</v>
      </c>
      <c r="F882" t="s">
        <v>18</v>
      </c>
      <c r="G882" t="s">
        <v>176</v>
      </c>
      <c r="H882">
        <v>7</v>
      </c>
      <c r="I882" t="s">
        <v>28</v>
      </c>
      <c r="J882" t="str">
        <f>_xlfn.XLOOKUP(C882,'product_masterlist(ifs)'!A:A,'product_masterlist(ifs)'!C:C,"N/A",0)</f>
        <v>Solutions</v>
      </c>
      <c r="K882">
        <f>VLOOKUP(C882,'product_masterlist(ifs)'!A:I,7,FALSE)</f>
        <v>800</v>
      </c>
    </row>
    <row r="883" spans="1:11" x14ac:dyDescent="0.35">
      <c r="A883" t="s">
        <v>1158</v>
      </c>
      <c r="B883" t="s">
        <v>489</v>
      </c>
      <c r="C883" t="s">
        <v>26</v>
      </c>
      <c r="D883">
        <v>23</v>
      </c>
      <c r="E883" t="s">
        <v>12</v>
      </c>
      <c r="F883" t="s">
        <v>31</v>
      </c>
      <c r="G883" t="s">
        <v>162</v>
      </c>
      <c r="H883">
        <v>14</v>
      </c>
      <c r="I883" t="s">
        <v>28</v>
      </c>
      <c r="J883" t="str">
        <f>_xlfn.XLOOKUP(C883,'product_masterlist(ifs)'!A:A,'product_masterlist(ifs)'!C:C,"N/A",0)</f>
        <v>Contact Lenses</v>
      </c>
      <c r="K883">
        <f>VLOOKUP(C883,'product_masterlist(ifs)'!A:I,7,FALSE)</f>
        <v>450</v>
      </c>
    </row>
    <row r="884" spans="1:11" x14ac:dyDescent="0.35">
      <c r="A884" t="s">
        <v>1159</v>
      </c>
      <c r="B884" t="s">
        <v>271</v>
      </c>
      <c r="C884" t="s">
        <v>26</v>
      </c>
      <c r="D884">
        <v>22</v>
      </c>
      <c r="E884" t="s">
        <v>20</v>
      </c>
      <c r="F884" t="s">
        <v>23</v>
      </c>
      <c r="G884">
        <v>275</v>
      </c>
      <c r="H884">
        <v>14</v>
      </c>
      <c r="I884" t="s">
        <v>28</v>
      </c>
      <c r="J884" t="str">
        <f>_xlfn.XLOOKUP(C884,'product_masterlist(ifs)'!A:A,'product_masterlist(ifs)'!C:C,"N/A",0)</f>
        <v>Contact Lenses</v>
      </c>
      <c r="K884">
        <f>VLOOKUP(C884,'product_masterlist(ifs)'!A:I,7,FALSE)</f>
        <v>450</v>
      </c>
    </row>
    <row r="885" spans="1:11" x14ac:dyDescent="0.35">
      <c r="A885" t="s">
        <v>1160</v>
      </c>
      <c r="B885" t="s">
        <v>350</v>
      </c>
      <c r="C885" t="s">
        <v>90</v>
      </c>
      <c r="D885">
        <v>11</v>
      </c>
      <c r="E885" t="s">
        <v>22</v>
      </c>
      <c r="F885" t="s">
        <v>13</v>
      </c>
      <c r="G885" t="s">
        <v>238</v>
      </c>
      <c r="H885">
        <v>30</v>
      </c>
      <c r="I885" t="s">
        <v>14</v>
      </c>
      <c r="J885" t="str">
        <f>_xlfn.XLOOKUP(C885,'product_masterlist(ifs)'!A:A,'product_masterlist(ifs)'!C:C,"N/A",0)</f>
        <v>Frames</v>
      </c>
      <c r="K885">
        <f>VLOOKUP(C885,'product_masterlist(ifs)'!A:I,7,FALSE)</f>
        <v>180</v>
      </c>
    </row>
    <row r="886" spans="1:11" x14ac:dyDescent="0.35">
      <c r="A886" t="s">
        <v>1161</v>
      </c>
      <c r="B886" s="1">
        <v>45689</v>
      </c>
      <c r="C886" t="s">
        <v>90</v>
      </c>
      <c r="D886">
        <v>15</v>
      </c>
      <c r="E886" t="s">
        <v>37</v>
      </c>
      <c r="F886" t="s">
        <v>18</v>
      </c>
      <c r="G886" t="s">
        <v>250</v>
      </c>
      <c r="H886">
        <v>30</v>
      </c>
      <c r="I886" t="s">
        <v>14</v>
      </c>
      <c r="J886" t="str">
        <f>_xlfn.XLOOKUP(C886,'product_masterlist(ifs)'!A:A,'product_masterlist(ifs)'!C:C,"N/A",0)</f>
        <v>Frames</v>
      </c>
      <c r="K886">
        <f>VLOOKUP(C886,'product_masterlist(ifs)'!A:I,7,FALSE)</f>
        <v>180</v>
      </c>
    </row>
    <row r="887" spans="1:11" x14ac:dyDescent="0.35">
      <c r="A887" t="s">
        <v>1162</v>
      </c>
      <c r="B887" t="s">
        <v>87</v>
      </c>
      <c r="C887" t="s">
        <v>90</v>
      </c>
      <c r="D887">
        <v>1</v>
      </c>
      <c r="E887" t="s">
        <v>20</v>
      </c>
      <c r="F887" t="s">
        <v>31</v>
      </c>
      <c r="G887" t="s">
        <v>109</v>
      </c>
      <c r="H887">
        <v>30</v>
      </c>
      <c r="I887" t="s">
        <v>14</v>
      </c>
      <c r="J887" t="str">
        <f>_xlfn.XLOOKUP(C887,'product_masterlist(ifs)'!A:A,'product_masterlist(ifs)'!C:C,"N/A",0)</f>
        <v>Frames</v>
      </c>
      <c r="K887">
        <f>VLOOKUP(C887,'product_masterlist(ifs)'!A:I,7,FALSE)</f>
        <v>180</v>
      </c>
    </row>
    <row r="888" spans="1:11" x14ac:dyDescent="0.35">
      <c r="A888" t="s">
        <v>1163</v>
      </c>
      <c r="B888" t="s">
        <v>246</v>
      </c>
      <c r="C888" t="s">
        <v>17</v>
      </c>
      <c r="D888">
        <v>24</v>
      </c>
      <c r="E888" t="s">
        <v>12</v>
      </c>
      <c r="F888" t="s">
        <v>31</v>
      </c>
      <c r="G888">
        <v>1080</v>
      </c>
      <c r="H888">
        <v>30</v>
      </c>
      <c r="I888" t="s">
        <v>14</v>
      </c>
      <c r="J888" t="str">
        <f>_xlfn.XLOOKUP(C888,'product_masterlist(ifs)'!A:A,'product_masterlist(ifs)'!C:C,"N/A",0)</f>
        <v>Frames</v>
      </c>
      <c r="K888">
        <f>VLOOKUP(C888,'product_masterlist(ifs)'!A:I,7,FALSE)</f>
        <v>45</v>
      </c>
    </row>
    <row r="889" spans="1:11" x14ac:dyDescent="0.35">
      <c r="A889" t="s">
        <v>1164</v>
      </c>
      <c r="B889" s="1">
        <v>45786</v>
      </c>
      <c r="C889" t="s">
        <v>17</v>
      </c>
      <c r="D889">
        <v>25</v>
      </c>
      <c r="E889" t="s">
        <v>22</v>
      </c>
      <c r="F889" t="s">
        <v>23</v>
      </c>
      <c r="G889">
        <v>1125</v>
      </c>
      <c r="H889">
        <v>30</v>
      </c>
      <c r="I889" t="s">
        <v>14</v>
      </c>
      <c r="J889" t="str">
        <f>_xlfn.XLOOKUP(C889,'product_masterlist(ifs)'!A:A,'product_masterlist(ifs)'!C:C,"N/A",0)</f>
        <v>Frames</v>
      </c>
      <c r="K889">
        <f>VLOOKUP(C889,'product_masterlist(ifs)'!A:I,7,FALSE)</f>
        <v>45</v>
      </c>
    </row>
    <row r="890" spans="1:11" x14ac:dyDescent="0.35">
      <c r="A890" t="s">
        <v>1165</v>
      </c>
      <c r="B890" s="1">
        <v>45665</v>
      </c>
      <c r="C890" t="s">
        <v>11</v>
      </c>
      <c r="D890">
        <v>7</v>
      </c>
      <c r="E890" t="s">
        <v>12</v>
      </c>
      <c r="F890" t="s">
        <v>23</v>
      </c>
      <c r="G890">
        <v>595</v>
      </c>
      <c r="H890">
        <v>30</v>
      </c>
      <c r="I890" t="s">
        <v>14</v>
      </c>
      <c r="J890" t="str">
        <f>_xlfn.XLOOKUP(C890,'product_masterlist(ifs)'!A:A,'product_masterlist(ifs)'!C:C,"N/A",0)</f>
        <v>Surgical</v>
      </c>
      <c r="K890">
        <f>VLOOKUP(C890,'product_masterlist(ifs)'!A:I,7,FALSE)</f>
        <v>40</v>
      </c>
    </row>
    <row r="891" spans="1:11" x14ac:dyDescent="0.35">
      <c r="A891" t="s">
        <v>1166</v>
      </c>
      <c r="B891" s="1">
        <v>45756</v>
      </c>
      <c r="C891" t="s">
        <v>90</v>
      </c>
      <c r="D891">
        <v>16</v>
      </c>
      <c r="E891" t="s">
        <v>37</v>
      </c>
      <c r="F891" t="s">
        <v>31</v>
      </c>
      <c r="G891">
        <v>776</v>
      </c>
      <c r="H891">
        <v>30</v>
      </c>
      <c r="I891" t="s">
        <v>14</v>
      </c>
      <c r="J891" t="str">
        <f>_xlfn.XLOOKUP(C891,'product_masterlist(ifs)'!A:A,'product_masterlist(ifs)'!C:C,"N/A",0)</f>
        <v>Frames</v>
      </c>
      <c r="K891">
        <f>VLOOKUP(C891,'product_masterlist(ifs)'!A:I,7,FALSE)</f>
        <v>180</v>
      </c>
    </row>
    <row r="892" spans="1:11" x14ac:dyDescent="0.35">
      <c r="A892" t="s">
        <v>1167</v>
      </c>
      <c r="B892" s="1">
        <v>45996</v>
      </c>
      <c r="C892" t="s">
        <v>53</v>
      </c>
      <c r="D892">
        <v>6</v>
      </c>
      <c r="E892" t="s">
        <v>22</v>
      </c>
      <c r="F892" t="s">
        <v>31</v>
      </c>
      <c r="G892" t="s">
        <v>369</v>
      </c>
      <c r="H892">
        <v>7</v>
      </c>
      <c r="I892" t="s">
        <v>28</v>
      </c>
      <c r="J892" t="str">
        <f>_xlfn.XLOOKUP(C892,'product_masterlist(ifs)'!A:A,'product_masterlist(ifs)'!C:C,"N/A",0)</f>
        <v>Solutions</v>
      </c>
      <c r="K892">
        <f>VLOOKUP(C892,'product_masterlist(ifs)'!A:I,7,FALSE)</f>
        <v>800</v>
      </c>
    </row>
    <row r="893" spans="1:11" x14ac:dyDescent="0.35">
      <c r="A893" t="s">
        <v>1168</v>
      </c>
      <c r="B893" t="s">
        <v>97</v>
      </c>
      <c r="C893" t="s">
        <v>90</v>
      </c>
      <c r="D893">
        <v>6</v>
      </c>
      <c r="E893" t="s">
        <v>12</v>
      </c>
      <c r="F893" t="s">
        <v>23</v>
      </c>
      <c r="G893">
        <v>291</v>
      </c>
      <c r="H893">
        <v>30</v>
      </c>
      <c r="I893" t="s">
        <v>14</v>
      </c>
      <c r="J893" t="str">
        <f>_xlfn.XLOOKUP(C893,'product_masterlist(ifs)'!A:A,'product_masterlist(ifs)'!C:C,"N/A",0)</f>
        <v>Frames</v>
      </c>
      <c r="K893">
        <f>VLOOKUP(C893,'product_masterlist(ifs)'!A:I,7,FALSE)</f>
        <v>180</v>
      </c>
    </row>
    <row r="894" spans="1:11" x14ac:dyDescent="0.35">
      <c r="A894" t="s">
        <v>1169</v>
      </c>
      <c r="B894" s="1">
        <v>45871</v>
      </c>
      <c r="C894" t="s">
        <v>17</v>
      </c>
      <c r="D894">
        <v>17</v>
      </c>
      <c r="E894" t="s">
        <v>12</v>
      </c>
      <c r="F894" t="s">
        <v>18</v>
      </c>
      <c r="G894">
        <v>765</v>
      </c>
      <c r="H894">
        <v>30</v>
      </c>
      <c r="I894" t="s">
        <v>14</v>
      </c>
      <c r="J894" t="str">
        <f>_xlfn.XLOOKUP(C894,'product_masterlist(ifs)'!A:A,'product_masterlist(ifs)'!C:C,"N/A",0)</f>
        <v>Frames</v>
      </c>
      <c r="K894">
        <f>VLOOKUP(C894,'product_masterlist(ifs)'!A:I,7,FALSE)</f>
        <v>45</v>
      </c>
    </row>
    <row r="895" spans="1:11" x14ac:dyDescent="0.35">
      <c r="A895" t="s">
        <v>1170</v>
      </c>
      <c r="B895" t="s">
        <v>700</v>
      </c>
      <c r="C895" t="s">
        <v>53</v>
      </c>
      <c r="D895">
        <v>16</v>
      </c>
      <c r="E895" t="s">
        <v>22</v>
      </c>
      <c r="F895" t="s">
        <v>13</v>
      </c>
      <c r="G895">
        <v>68</v>
      </c>
      <c r="H895">
        <v>7</v>
      </c>
      <c r="I895" t="s">
        <v>28</v>
      </c>
      <c r="J895" t="str">
        <f>_xlfn.XLOOKUP(C895,'product_masterlist(ifs)'!A:A,'product_masterlist(ifs)'!C:C,"N/A",0)</f>
        <v>Solutions</v>
      </c>
      <c r="K895">
        <f>VLOOKUP(C895,'product_masterlist(ifs)'!A:I,7,FALSE)</f>
        <v>800</v>
      </c>
    </row>
    <row r="896" spans="1:11" x14ac:dyDescent="0.35">
      <c r="A896" t="s">
        <v>1171</v>
      </c>
      <c r="B896" s="1">
        <v>45850</v>
      </c>
      <c r="C896" t="s">
        <v>11</v>
      </c>
      <c r="D896">
        <v>5</v>
      </c>
      <c r="E896" t="s">
        <v>37</v>
      </c>
      <c r="F896" t="s">
        <v>23</v>
      </c>
      <c r="G896">
        <v>425</v>
      </c>
      <c r="H896">
        <v>30</v>
      </c>
      <c r="I896" t="s">
        <v>14</v>
      </c>
      <c r="J896" t="str">
        <f>_xlfn.XLOOKUP(C896,'product_masterlist(ifs)'!A:A,'product_masterlist(ifs)'!C:C,"N/A",0)</f>
        <v>Surgical</v>
      </c>
      <c r="K896">
        <f>VLOOKUP(C896,'product_masterlist(ifs)'!A:I,7,FALSE)</f>
        <v>40</v>
      </c>
    </row>
    <row r="897" spans="1:11" x14ac:dyDescent="0.35">
      <c r="A897" t="s">
        <v>1172</v>
      </c>
      <c r="B897" s="1">
        <v>45840</v>
      </c>
      <c r="C897" t="s">
        <v>42</v>
      </c>
      <c r="D897">
        <v>17</v>
      </c>
      <c r="E897" t="s">
        <v>22</v>
      </c>
      <c r="F897" t="s">
        <v>13</v>
      </c>
      <c r="G897">
        <v>425</v>
      </c>
      <c r="H897">
        <v>21</v>
      </c>
      <c r="I897" t="s">
        <v>14</v>
      </c>
      <c r="J897" t="str">
        <f>_xlfn.XLOOKUP(C897,'product_masterlist(ifs)'!A:A,'product_masterlist(ifs)'!C:C,"N/A",0)</f>
        <v>Contact Lenses</v>
      </c>
      <c r="K897">
        <f>VLOOKUP(C897,'product_masterlist(ifs)'!A:I,7,FALSE)</f>
        <v>120</v>
      </c>
    </row>
    <row r="898" spans="1:11" x14ac:dyDescent="0.35">
      <c r="A898" t="s">
        <v>1173</v>
      </c>
      <c r="B898" t="s">
        <v>547</v>
      </c>
      <c r="C898" t="s">
        <v>90</v>
      </c>
      <c r="D898">
        <v>4</v>
      </c>
      <c r="E898" t="s">
        <v>22</v>
      </c>
      <c r="F898" t="s">
        <v>23</v>
      </c>
      <c r="G898">
        <v>194</v>
      </c>
      <c r="H898">
        <v>30</v>
      </c>
      <c r="I898" t="s">
        <v>14</v>
      </c>
      <c r="J898" t="str">
        <f>_xlfn.XLOOKUP(C898,'product_masterlist(ifs)'!A:A,'product_masterlist(ifs)'!C:C,"N/A",0)</f>
        <v>Frames</v>
      </c>
      <c r="K898">
        <f>VLOOKUP(C898,'product_masterlist(ifs)'!A:I,7,FALSE)</f>
        <v>180</v>
      </c>
    </row>
    <row r="899" spans="1:11" x14ac:dyDescent="0.35">
      <c r="A899" t="s">
        <v>1174</v>
      </c>
      <c r="B899" s="1">
        <v>46000</v>
      </c>
      <c r="C899" t="s">
        <v>26</v>
      </c>
      <c r="D899">
        <v>11</v>
      </c>
      <c r="E899" t="s">
        <v>22</v>
      </c>
      <c r="F899" t="s">
        <v>18</v>
      </c>
      <c r="G899" t="s">
        <v>47</v>
      </c>
      <c r="H899">
        <v>14</v>
      </c>
      <c r="I899" t="s">
        <v>28</v>
      </c>
      <c r="J899" t="str">
        <f>_xlfn.XLOOKUP(C899,'product_masterlist(ifs)'!A:A,'product_masterlist(ifs)'!C:C,"N/A",0)</f>
        <v>Contact Lenses</v>
      </c>
      <c r="K899">
        <f>VLOOKUP(C899,'product_masterlist(ifs)'!A:I,7,FALSE)</f>
        <v>450</v>
      </c>
    </row>
    <row r="900" spans="1:11" x14ac:dyDescent="0.35">
      <c r="A900" t="s">
        <v>1175</v>
      </c>
      <c r="B900" s="1">
        <v>45718</v>
      </c>
      <c r="C900" t="s">
        <v>17</v>
      </c>
      <c r="D900">
        <v>2</v>
      </c>
      <c r="E900" t="s">
        <v>37</v>
      </c>
      <c r="F900" t="s">
        <v>13</v>
      </c>
      <c r="G900">
        <v>90</v>
      </c>
      <c r="H900">
        <v>30</v>
      </c>
      <c r="I900" t="s">
        <v>14</v>
      </c>
      <c r="J900" t="str">
        <f>_xlfn.XLOOKUP(C900,'product_masterlist(ifs)'!A:A,'product_masterlist(ifs)'!C:C,"N/A",0)</f>
        <v>Frames</v>
      </c>
      <c r="K900">
        <f>VLOOKUP(C900,'product_masterlist(ifs)'!A:I,7,FALSE)</f>
        <v>45</v>
      </c>
    </row>
    <row r="901" spans="1:11" x14ac:dyDescent="0.35">
      <c r="A901" t="s">
        <v>1176</v>
      </c>
      <c r="B901" t="s">
        <v>393</v>
      </c>
      <c r="C901" t="s">
        <v>90</v>
      </c>
      <c r="D901">
        <v>17</v>
      </c>
      <c r="E901" t="s">
        <v>37</v>
      </c>
      <c r="F901" t="s">
        <v>31</v>
      </c>
      <c r="G901" t="s">
        <v>362</v>
      </c>
      <c r="H901">
        <v>30</v>
      </c>
      <c r="I901" t="s">
        <v>14</v>
      </c>
      <c r="J901" t="str">
        <f>_xlfn.XLOOKUP(C901,'product_masterlist(ifs)'!A:A,'product_masterlist(ifs)'!C:C,"N/A",0)</f>
        <v>Frames</v>
      </c>
      <c r="K901">
        <f>VLOOKUP(C901,'product_masterlist(ifs)'!A:I,7,FALSE)</f>
        <v>180</v>
      </c>
    </row>
    <row r="902" spans="1:11" x14ac:dyDescent="0.35">
      <c r="A902" t="s">
        <v>1177</v>
      </c>
      <c r="B902" t="s">
        <v>398</v>
      </c>
      <c r="C902" t="s">
        <v>42</v>
      </c>
      <c r="D902">
        <v>16</v>
      </c>
      <c r="E902" t="s">
        <v>22</v>
      </c>
      <c r="F902" t="s">
        <v>31</v>
      </c>
      <c r="G902">
        <v>400</v>
      </c>
      <c r="H902">
        <v>21</v>
      </c>
      <c r="I902" t="s">
        <v>14</v>
      </c>
      <c r="J902" t="str">
        <f>_xlfn.XLOOKUP(C902,'product_masterlist(ifs)'!A:A,'product_masterlist(ifs)'!C:C,"N/A",0)</f>
        <v>Contact Lenses</v>
      </c>
      <c r="K902">
        <f>VLOOKUP(C902,'product_masterlist(ifs)'!A:I,7,FALSE)</f>
        <v>120</v>
      </c>
    </row>
    <row r="903" spans="1:11" x14ac:dyDescent="0.35">
      <c r="A903" t="s">
        <v>1178</v>
      </c>
      <c r="B903" t="s">
        <v>138</v>
      </c>
      <c r="C903" t="s">
        <v>90</v>
      </c>
      <c r="D903">
        <v>12</v>
      </c>
      <c r="E903" t="s">
        <v>20</v>
      </c>
      <c r="F903" t="s">
        <v>13</v>
      </c>
      <c r="G903">
        <v>582</v>
      </c>
      <c r="H903">
        <v>30</v>
      </c>
      <c r="I903" t="s">
        <v>14</v>
      </c>
      <c r="J903" t="str">
        <f>_xlfn.XLOOKUP(C903,'product_masterlist(ifs)'!A:A,'product_masterlist(ifs)'!C:C,"N/A",0)</f>
        <v>Frames</v>
      </c>
      <c r="K903">
        <f>VLOOKUP(C903,'product_masterlist(ifs)'!A:I,7,FALSE)</f>
        <v>180</v>
      </c>
    </row>
    <row r="904" spans="1:11" x14ac:dyDescent="0.35">
      <c r="A904" t="s">
        <v>1179</v>
      </c>
      <c r="B904" s="1">
        <v>45846</v>
      </c>
      <c r="C904" t="s">
        <v>17</v>
      </c>
      <c r="D904">
        <v>25</v>
      </c>
      <c r="E904" t="s">
        <v>37</v>
      </c>
      <c r="F904" t="s">
        <v>23</v>
      </c>
      <c r="G904">
        <v>1125</v>
      </c>
      <c r="H904">
        <v>30</v>
      </c>
      <c r="I904" t="s">
        <v>14</v>
      </c>
      <c r="J904" t="str">
        <f>_xlfn.XLOOKUP(C904,'product_masterlist(ifs)'!A:A,'product_masterlist(ifs)'!C:C,"N/A",0)</f>
        <v>Frames</v>
      </c>
      <c r="K904">
        <f>VLOOKUP(C904,'product_masterlist(ifs)'!A:I,7,FALSE)</f>
        <v>45</v>
      </c>
    </row>
    <row r="905" spans="1:11" x14ac:dyDescent="0.35">
      <c r="A905" t="s">
        <v>1180</v>
      </c>
      <c r="B905" s="1">
        <v>45847</v>
      </c>
      <c r="C905" t="s">
        <v>26</v>
      </c>
      <c r="D905">
        <v>2</v>
      </c>
      <c r="E905" t="s">
        <v>20</v>
      </c>
      <c r="F905" t="s">
        <v>31</v>
      </c>
      <c r="G905">
        <v>25</v>
      </c>
      <c r="H905">
        <v>14</v>
      </c>
      <c r="I905" t="s">
        <v>28</v>
      </c>
      <c r="J905" t="str">
        <f>_xlfn.XLOOKUP(C905,'product_masterlist(ifs)'!A:A,'product_masterlist(ifs)'!C:C,"N/A",0)</f>
        <v>Contact Lenses</v>
      </c>
      <c r="K905">
        <f>VLOOKUP(C905,'product_masterlist(ifs)'!A:I,7,FALSE)</f>
        <v>450</v>
      </c>
    </row>
    <row r="906" spans="1:11" x14ac:dyDescent="0.35">
      <c r="A906" t="s">
        <v>1181</v>
      </c>
      <c r="B906" t="s">
        <v>60</v>
      </c>
      <c r="C906" t="s">
        <v>90</v>
      </c>
      <c r="D906">
        <v>20</v>
      </c>
      <c r="E906" t="s">
        <v>12</v>
      </c>
      <c r="F906" t="s">
        <v>18</v>
      </c>
      <c r="G906">
        <v>970</v>
      </c>
      <c r="H906">
        <v>30</v>
      </c>
      <c r="I906" t="s">
        <v>14</v>
      </c>
      <c r="J906" t="str">
        <f>_xlfn.XLOOKUP(C906,'product_masterlist(ifs)'!A:A,'product_masterlist(ifs)'!C:C,"N/A",0)</f>
        <v>Frames</v>
      </c>
      <c r="K906">
        <f>VLOOKUP(C906,'product_masterlist(ifs)'!A:I,7,FALSE)</f>
        <v>180</v>
      </c>
    </row>
    <row r="907" spans="1:11" x14ac:dyDescent="0.35">
      <c r="A907" t="s">
        <v>1182</v>
      </c>
      <c r="B907" s="1">
        <v>45663</v>
      </c>
      <c r="C907" t="s">
        <v>11</v>
      </c>
      <c r="D907">
        <v>3</v>
      </c>
      <c r="E907" t="s">
        <v>12</v>
      </c>
      <c r="F907" t="s">
        <v>18</v>
      </c>
      <c r="G907">
        <v>255</v>
      </c>
      <c r="H907">
        <v>30</v>
      </c>
      <c r="I907" t="s">
        <v>14</v>
      </c>
      <c r="J907" t="str">
        <f>_xlfn.XLOOKUP(C907,'product_masterlist(ifs)'!A:A,'product_masterlist(ifs)'!C:C,"N/A",0)</f>
        <v>Surgical</v>
      </c>
      <c r="K907">
        <f>VLOOKUP(C907,'product_masterlist(ifs)'!A:I,7,FALSE)</f>
        <v>40</v>
      </c>
    </row>
    <row r="908" spans="1:11" x14ac:dyDescent="0.35">
      <c r="A908" t="s">
        <v>1183</v>
      </c>
      <c r="B908" s="1">
        <v>45659</v>
      </c>
      <c r="C908" t="s">
        <v>17</v>
      </c>
      <c r="D908">
        <v>17</v>
      </c>
      <c r="E908" t="s">
        <v>12</v>
      </c>
      <c r="F908" t="s">
        <v>18</v>
      </c>
      <c r="G908">
        <v>765</v>
      </c>
      <c r="H908">
        <v>30</v>
      </c>
      <c r="I908" t="s">
        <v>14</v>
      </c>
      <c r="J908" t="str">
        <f>_xlfn.XLOOKUP(C908,'product_masterlist(ifs)'!A:A,'product_masterlist(ifs)'!C:C,"N/A",0)</f>
        <v>Frames</v>
      </c>
      <c r="K908">
        <f>VLOOKUP(C908,'product_masterlist(ifs)'!A:I,7,FALSE)</f>
        <v>45</v>
      </c>
    </row>
    <row r="909" spans="1:11" x14ac:dyDescent="0.35">
      <c r="A909" t="s">
        <v>1184</v>
      </c>
      <c r="B909" s="1">
        <v>45878</v>
      </c>
      <c r="C909" t="s">
        <v>90</v>
      </c>
      <c r="D909">
        <v>19</v>
      </c>
      <c r="E909" t="s">
        <v>12</v>
      </c>
      <c r="F909" t="s">
        <v>31</v>
      </c>
      <c r="G909" t="s">
        <v>504</v>
      </c>
      <c r="H909">
        <v>30</v>
      </c>
      <c r="I909" t="s">
        <v>14</v>
      </c>
      <c r="J909" t="str">
        <f>_xlfn.XLOOKUP(C909,'product_masterlist(ifs)'!A:A,'product_masterlist(ifs)'!C:C,"N/A",0)</f>
        <v>Frames</v>
      </c>
      <c r="K909">
        <f>VLOOKUP(C909,'product_masterlist(ifs)'!A:I,7,FALSE)</f>
        <v>180</v>
      </c>
    </row>
    <row r="910" spans="1:11" x14ac:dyDescent="0.35">
      <c r="A910" t="s">
        <v>1185</v>
      </c>
      <c r="B910" t="s">
        <v>117</v>
      </c>
      <c r="C910" t="s">
        <v>42</v>
      </c>
      <c r="D910">
        <v>7</v>
      </c>
      <c r="E910" t="s">
        <v>37</v>
      </c>
      <c r="F910" t="s">
        <v>31</v>
      </c>
      <c r="G910">
        <v>175</v>
      </c>
      <c r="H910">
        <v>21</v>
      </c>
      <c r="I910" t="s">
        <v>14</v>
      </c>
      <c r="J910" t="str">
        <f>_xlfn.XLOOKUP(C910,'product_masterlist(ifs)'!A:A,'product_masterlist(ifs)'!C:C,"N/A",0)</f>
        <v>Contact Lenses</v>
      </c>
      <c r="K910">
        <f>VLOOKUP(C910,'product_masterlist(ifs)'!A:I,7,FALSE)</f>
        <v>120</v>
      </c>
    </row>
    <row r="911" spans="1:11" x14ac:dyDescent="0.35">
      <c r="A911" t="s">
        <v>1186</v>
      </c>
      <c r="B911" s="1">
        <v>45965</v>
      </c>
      <c r="C911" t="s">
        <v>26</v>
      </c>
      <c r="D911">
        <v>3</v>
      </c>
      <c r="E911" t="s">
        <v>22</v>
      </c>
      <c r="F911" t="s">
        <v>23</v>
      </c>
      <c r="G911" t="s">
        <v>40</v>
      </c>
      <c r="H911">
        <v>14</v>
      </c>
      <c r="I911" t="s">
        <v>28</v>
      </c>
      <c r="J911" t="str">
        <f>_xlfn.XLOOKUP(C911,'product_masterlist(ifs)'!A:A,'product_masterlist(ifs)'!C:C,"N/A",0)</f>
        <v>Contact Lenses</v>
      </c>
      <c r="K911">
        <f>VLOOKUP(C911,'product_masterlist(ifs)'!A:I,7,FALSE)</f>
        <v>450</v>
      </c>
    </row>
    <row r="912" spans="1:11" x14ac:dyDescent="0.35">
      <c r="A912" t="s">
        <v>1187</v>
      </c>
      <c r="B912" s="1">
        <v>45941</v>
      </c>
      <c r="C912" t="s">
        <v>11</v>
      </c>
      <c r="D912">
        <v>6</v>
      </c>
      <c r="E912" t="s">
        <v>37</v>
      </c>
      <c r="F912" t="s">
        <v>18</v>
      </c>
      <c r="G912">
        <v>510</v>
      </c>
      <c r="H912">
        <v>30</v>
      </c>
      <c r="I912" t="s">
        <v>14</v>
      </c>
      <c r="J912" t="str">
        <f>_xlfn.XLOOKUP(C912,'product_masterlist(ifs)'!A:A,'product_masterlist(ifs)'!C:C,"N/A",0)</f>
        <v>Surgical</v>
      </c>
      <c r="K912">
        <f>VLOOKUP(C912,'product_masterlist(ifs)'!A:I,7,FALSE)</f>
        <v>40</v>
      </c>
    </row>
    <row r="913" spans="1:11" x14ac:dyDescent="0.35">
      <c r="A913" t="s">
        <v>1188</v>
      </c>
      <c r="B913" t="s">
        <v>383</v>
      </c>
      <c r="C913" t="s">
        <v>90</v>
      </c>
      <c r="D913">
        <v>23</v>
      </c>
      <c r="E913" t="s">
        <v>20</v>
      </c>
      <c r="F913" t="s">
        <v>18</v>
      </c>
      <c r="G913" t="s">
        <v>123</v>
      </c>
      <c r="H913">
        <v>30</v>
      </c>
      <c r="I913" t="s">
        <v>14</v>
      </c>
      <c r="J913" t="str">
        <f>_xlfn.XLOOKUP(C913,'product_masterlist(ifs)'!A:A,'product_masterlist(ifs)'!C:C,"N/A",0)</f>
        <v>Frames</v>
      </c>
      <c r="K913">
        <f>VLOOKUP(C913,'product_masterlist(ifs)'!A:I,7,FALSE)</f>
        <v>180</v>
      </c>
    </row>
    <row r="914" spans="1:11" x14ac:dyDescent="0.35">
      <c r="A914" t="s">
        <v>1189</v>
      </c>
      <c r="B914" t="s">
        <v>1190</v>
      </c>
      <c r="C914" t="s">
        <v>17</v>
      </c>
      <c r="D914">
        <v>25</v>
      </c>
      <c r="E914" t="s">
        <v>22</v>
      </c>
      <c r="F914" t="s">
        <v>13</v>
      </c>
      <c r="G914">
        <v>1125</v>
      </c>
      <c r="H914">
        <v>30</v>
      </c>
      <c r="I914" t="s">
        <v>14</v>
      </c>
      <c r="J914" t="str">
        <f>_xlfn.XLOOKUP(C914,'product_masterlist(ifs)'!A:A,'product_masterlist(ifs)'!C:C,"N/A",0)</f>
        <v>Frames</v>
      </c>
      <c r="K914">
        <f>VLOOKUP(C914,'product_masterlist(ifs)'!A:I,7,FALSE)</f>
        <v>45</v>
      </c>
    </row>
    <row r="915" spans="1:11" x14ac:dyDescent="0.35">
      <c r="A915" t="s">
        <v>1191</v>
      </c>
      <c r="B915" s="1">
        <v>45901</v>
      </c>
      <c r="C915" t="s">
        <v>17</v>
      </c>
      <c r="D915">
        <v>6</v>
      </c>
      <c r="E915" t="s">
        <v>22</v>
      </c>
      <c r="F915" t="s">
        <v>13</v>
      </c>
      <c r="G915">
        <v>270</v>
      </c>
      <c r="H915">
        <v>30</v>
      </c>
      <c r="I915" t="s">
        <v>14</v>
      </c>
      <c r="J915" t="str">
        <f>_xlfn.XLOOKUP(C915,'product_masterlist(ifs)'!A:A,'product_masterlist(ifs)'!C:C,"N/A",0)</f>
        <v>Frames</v>
      </c>
      <c r="K915">
        <f>VLOOKUP(C915,'product_masterlist(ifs)'!A:I,7,FALSE)</f>
        <v>45</v>
      </c>
    </row>
    <row r="916" spans="1:11" x14ac:dyDescent="0.35">
      <c r="A916" t="s">
        <v>1192</v>
      </c>
      <c r="B916" t="s">
        <v>214</v>
      </c>
      <c r="C916" t="s">
        <v>26</v>
      </c>
      <c r="D916">
        <v>9</v>
      </c>
      <c r="E916" t="s">
        <v>37</v>
      </c>
      <c r="F916" t="s">
        <v>23</v>
      </c>
      <c r="G916" t="s">
        <v>170</v>
      </c>
      <c r="H916">
        <v>14</v>
      </c>
      <c r="I916" t="s">
        <v>28</v>
      </c>
      <c r="J916" t="str">
        <f>_xlfn.XLOOKUP(C916,'product_masterlist(ifs)'!A:A,'product_masterlist(ifs)'!C:C,"N/A",0)</f>
        <v>Contact Lenses</v>
      </c>
      <c r="K916">
        <f>VLOOKUP(C916,'product_masterlist(ifs)'!A:I,7,FALSE)</f>
        <v>450</v>
      </c>
    </row>
    <row r="917" spans="1:11" x14ac:dyDescent="0.35">
      <c r="A917" t="s">
        <v>1193</v>
      </c>
      <c r="B917" t="s">
        <v>1194</v>
      </c>
      <c r="C917" t="s">
        <v>53</v>
      </c>
      <c r="D917">
        <v>24</v>
      </c>
      <c r="E917" t="s">
        <v>20</v>
      </c>
      <c r="F917" t="s">
        <v>31</v>
      </c>
      <c r="G917">
        <v>102</v>
      </c>
      <c r="H917">
        <v>7</v>
      </c>
      <c r="I917" t="s">
        <v>28</v>
      </c>
      <c r="J917" t="str">
        <f>_xlfn.XLOOKUP(C917,'product_masterlist(ifs)'!A:A,'product_masterlist(ifs)'!C:C,"N/A",0)</f>
        <v>Solutions</v>
      </c>
      <c r="K917">
        <f>VLOOKUP(C917,'product_masterlist(ifs)'!A:I,7,FALSE)</f>
        <v>800</v>
      </c>
    </row>
    <row r="918" spans="1:11" x14ac:dyDescent="0.35">
      <c r="A918" t="s">
        <v>1195</v>
      </c>
      <c r="B918" s="1">
        <v>45722</v>
      </c>
      <c r="C918" t="s">
        <v>17</v>
      </c>
      <c r="D918">
        <v>13</v>
      </c>
      <c r="E918" t="s">
        <v>12</v>
      </c>
      <c r="F918" t="s">
        <v>23</v>
      </c>
      <c r="G918">
        <v>585</v>
      </c>
      <c r="H918">
        <v>30</v>
      </c>
      <c r="I918" t="s">
        <v>14</v>
      </c>
      <c r="J918" t="str">
        <f>_xlfn.XLOOKUP(C918,'product_masterlist(ifs)'!A:A,'product_masterlist(ifs)'!C:C,"N/A",0)</f>
        <v>Frames</v>
      </c>
      <c r="K918">
        <f>VLOOKUP(C918,'product_masterlist(ifs)'!A:I,7,FALSE)</f>
        <v>45</v>
      </c>
    </row>
    <row r="919" spans="1:11" x14ac:dyDescent="0.35">
      <c r="A919" t="s">
        <v>1196</v>
      </c>
      <c r="B919" s="1">
        <v>45780</v>
      </c>
      <c r="C919" t="s">
        <v>26</v>
      </c>
      <c r="D919">
        <v>21</v>
      </c>
      <c r="E919" t="s">
        <v>37</v>
      </c>
      <c r="F919" t="s">
        <v>18</v>
      </c>
      <c r="G919" t="s">
        <v>366</v>
      </c>
      <c r="H919">
        <v>14</v>
      </c>
      <c r="I919" t="s">
        <v>28</v>
      </c>
      <c r="J919" t="str">
        <f>_xlfn.XLOOKUP(C919,'product_masterlist(ifs)'!A:A,'product_masterlist(ifs)'!C:C,"N/A",0)</f>
        <v>Contact Lenses</v>
      </c>
      <c r="K919">
        <f>VLOOKUP(C919,'product_masterlist(ifs)'!A:I,7,FALSE)</f>
        <v>450</v>
      </c>
    </row>
    <row r="920" spans="1:11" x14ac:dyDescent="0.35">
      <c r="A920" t="s">
        <v>1197</v>
      </c>
      <c r="B920" t="s">
        <v>151</v>
      </c>
      <c r="C920" t="s">
        <v>42</v>
      </c>
      <c r="D920">
        <v>4</v>
      </c>
      <c r="E920" t="s">
        <v>37</v>
      </c>
      <c r="F920" t="s">
        <v>31</v>
      </c>
      <c r="G920">
        <v>100</v>
      </c>
      <c r="H920">
        <v>21</v>
      </c>
      <c r="I920" t="s">
        <v>14</v>
      </c>
      <c r="J920" t="str">
        <f>_xlfn.XLOOKUP(C920,'product_masterlist(ifs)'!A:A,'product_masterlist(ifs)'!C:C,"N/A",0)</f>
        <v>Contact Lenses</v>
      </c>
      <c r="K920">
        <f>VLOOKUP(C920,'product_masterlist(ifs)'!A:I,7,FALSE)</f>
        <v>120</v>
      </c>
    </row>
    <row r="921" spans="1:11" x14ac:dyDescent="0.35">
      <c r="A921" t="s">
        <v>1198</v>
      </c>
      <c r="B921" t="s">
        <v>567</v>
      </c>
      <c r="C921" t="s">
        <v>33</v>
      </c>
      <c r="D921">
        <v>14</v>
      </c>
      <c r="E921" t="s">
        <v>37</v>
      </c>
      <c r="F921" t="s">
        <v>23</v>
      </c>
      <c r="G921">
        <v>2100</v>
      </c>
      <c r="H921">
        <v>45</v>
      </c>
      <c r="I921" t="s">
        <v>34</v>
      </c>
      <c r="J921" t="str">
        <f>_xlfn.XLOOKUP(C921,'product_masterlist(ifs)'!A:A,'product_masterlist(ifs)'!C:C,"N/A",0)</f>
        <v>Surgical</v>
      </c>
      <c r="K921">
        <f>VLOOKUP(C921,'product_masterlist(ifs)'!A:I,7,FALSE)</f>
        <v>15</v>
      </c>
    </row>
    <row r="922" spans="1:11" x14ac:dyDescent="0.35">
      <c r="A922" t="s">
        <v>1199</v>
      </c>
      <c r="B922" t="s">
        <v>1200</v>
      </c>
      <c r="C922" t="s">
        <v>90</v>
      </c>
      <c r="D922">
        <v>4</v>
      </c>
      <c r="E922" t="s">
        <v>37</v>
      </c>
      <c r="F922" t="s">
        <v>13</v>
      </c>
      <c r="G922">
        <v>194</v>
      </c>
      <c r="H922">
        <v>30</v>
      </c>
      <c r="I922" t="s">
        <v>14</v>
      </c>
      <c r="J922" t="str">
        <f>_xlfn.XLOOKUP(C922,'product_masterlist(ifs)'!A:A,'product_masterlist(ifs)'!C:C,"N/A",0)</f>
        <v>Frames</v>
      </c>
      <c r="K922">
        <f>VLOOKUP(C922,'product_masterlist(ifs)'!A:I,7,FALSE)</f>
        <v>180</v>
      </c>
    </row>
    <row r="923" spans="1:11" x14ac:dyDescent="0.35">
      <c r="A923" t="s">
        <v>1201</v>
      </c>
      <c r="B923" t="s">
        <v>1190</v>
      </c>
      <c r="C923" t="s">
        <v>17</v>
      </c>
      <c r="D923">
        <v>11</v>
      </c>
      <c r="E923" t="s">
        <v>37</v>
      </c>
      <c r="F923" t="s">
        <v>13</v>
      </c>
      <c r="G923">
        <v>495</v>
      </c>
      <c r="H923">
        <v>30</v>
      </c>
      <c r="I923" t="s">
        <v>14</v>
      </c>
      <c r="J923" t="str">
        <f>_xlfn.XLOOKUP(C923,'product_masterlist(ifs)'!A:A,'product_masterlist(ifs)'!C:C,"N/A",0)</f>
        <v>Frames</v>
      </c>
      <c r="K923">
        <f>VLOOKUP(C923,'product_masterlist(ifs)'!A:I,7,FALSE)</f>
        <v>45</v>
      </c>
    </row>
    <row r="924" spans="1:11" x14ac:dyDescent="0.35">
      <c r="A924" t="s">
        <v>1202</v>
      </c>
      <c r="B924" t="s">
        <v>217</v>
      </c>
      <c r="C924" t="s">
        <v>90</v>
      </c>
      <c r="D924">
        <v>10</v>
      </c>
      <c r="E924" t="s">
        <v>37</v>
      </c>
      <c r="F924" t="s">
        <v>13</v>
      </c>
      <c r="G924">
        <v>485</v>
      </c>
      <c r="H924">
        <v>30</v>
      </c>
      <c r="I924" t="s">
        <v>14</v>
      </c>
      <c r="J924" t="str">
        <f>_xlfn.XLOOKUP(C924,'product_masterlist(ifs)'!A:A,'product_masterlist(ifs)'!C:C,"N/A",0)</f>
        <v>Frames</v>
      </c>
      <c r="K924">
        <f>VLOOKUP(C924,'product_masterlist(ifs)'!A:I,7,FALSE)</f>
        <v>180</v>
      </c>
    </row>
    <row r="925" spans="1:11" x14ac:dyDescent="0.35">
      <c r="A925" t="s">
        <v>1203</v>
      </c>
      <c r="B925" t="s">
        <v>842</v>
      </c>
      <c r="C925" t="s">
        <v>17</v>
      </c>
      <c r="D925">
        <v>2</v>
      </c>
      <c r="E925" t="s">
        <v>20</v>
      </c>
      <c r="F925" t="s">
        <v>31</v>
      </c>
      <c r="G925">
        <v>90</v>
      </c>
      <c r="H925">
        <v>30</v>
      </c>
      <c r="I925" t="s">
        <v>14</v>
      </c>
      <c r="J925" t="str">
        <f>_xlfn.XLOOKUP(C925,'product_masterlist(ifs)'!A:A,'product_masterlist(ifs)'!C:C,"N/A",0)</f>
        <v>Frames</v>
      </c>
      <c r="K925">
        <f>VLOOKUP(C925,'product_masterlist(ifs)'!A:I,7,FALSE)</f>
        <v>45</v>
      </c>
    </row>
    <row r="926" spans="1:11" x14ac:dyDescent="0.35">
      <c r="A926" t="s">
        <v>1204</v>
      </c>
      <c r="B926" s="1">
        <v>45814</v>
      </c>
      <c r="C926" t="s">
        <v>90</v>
      </c>
      <c r="D926">
        <v>18</v>
      </c>
      <c r="E926" t="s">
        <v>22</v>
      </c>
      <c r="F926" t="s">
        <v>13</v>
      </c>
      <c r="G926">
        <v>873</v>
      </c>
      <c r="H926">
        <v>30</v>
      </c>
      <c r="I926" t="s">
        <v>14</v>
      </c>
      <c r="J926" t="str">
        <f>_xlfn.XLOOKUP(C926,'product_masterlist(ifs)'!A:A,'product_masterlist(ifs)'!C:C,"N/A",0)</f>
        <v>Frames</v>
      </c>
      <c r="K926">
        <f>VLOOKUP(C926,'product_masterlist(ifs)'!A:I,7,FALSE)</f>
        <v>180</v>
      </c>
    </row>
    <row r="927" spans="1:11" x14ac:dyDescent="0.35">
      <c r="A927" t="s">
        <v>1205</v>
      </c>
      <c r="B927" t="s">
        <v>260</v>
      </c>
      <c r="C927" t="s">
        <v>53</v>
      </c>
      <c r="D927">
        <v>12</v>
      </c>
      <c r="E927" t="s">
        <v>37</v>
      </c>
      <c r="F927" t="s">
        <v>18</v>
      </c>
      <c r="G927">
        <v>51</v>
      </c>
      <c r="H927">
        <v>7</v>
      </c>
      <c r="I927" t="s">
        <v>28</v>
      </c>
      <c r="J927" t="str">
        <f>_xlfn.XLOOKUP(C927,'product_masterlist(ifs)'!A:A,'product_masterlist(ifs)'!C:C,"N/A",0)</f>
        <v>Solutions</v>
      </c>
      <c r="K927">
        <f>VLOOKUP(C927,'product_masterlist(ifs)'!A:I,7,FALSE)</f>
        <v>800</v>
      </c>
    </row>
    <row r="928" spans="1:11" x14ac:dyDescent="0.35">
      <c r="A928" t="s">
        <v>1206</v>
      </c>
      <c r="B928" s="1">
        <v>45962</v>
      </c>
      <c r="C928" t="s">
        <v>11</v>
      </c>
      <c r="D928">
        <v>20</v>
      </c>
      <c r="E928" t="s">
        <v>20</v>
      </c>
      <c r="F928" t="s">
        <v>13</v>
      </c>
      <c r="G928">
        <v>1700</v>
      </c>
      <c r="H928">
        <v>30</v>
      </c>
      <c r="I928" t="s">
        <v>14</v>
      </c>
      <c r="J928" t="str">
        <f>_xlfn.XLOOKUP(C928,'product_masterlist(ifs)'!A:A,'product_masterlist(ifs)'!C:C,"N/A",0)</f>
        <v>Surgical</v>
      </c>
      <c r="K928">
        <f>VLOOKUP(C928,'product_masterlist(ifs)'!A:I,7,FALSE)</f>
        <v>40</v>
      </c>
    </row>
    <row r="929" spans="1:11" x14ac:dyDescent="0.35">
      <c r="A929" t="s">
        <v>1207</v>
      </c>
      <c r="B929" s="1">
        <v>45849</v>
      </c>
      <c r="C929" t="s">
        <v>33</v>
      </c>
      <c r="D929">
        <v>23</v>
      </c>
      <c r="E929" t="s">
        <v>22</v>
      </c>
      <c r="F929" t="s">
        <v>13</v>
      </c>
      <c r="G929">
        <v>3450</v>
      </c>
      <c r="H929">
        <v>45</v>
      </c>
      <c r="I929" t="s">
        <v>34</v>
      </c>
      <c r="J929" t="str">
        <f>_xlfn.XLOOKUP(C929,'product_masterlist(ifs)'!A:A,'product_masterlist(ifs)'!C:C,"N/A",0)</f>
        <v>Surgical</v>
      </c>
      <c r="K929">
        <f>VLOOKUP(C929,'product_masterlist(ifs)'!A:I,7,FALSE)</f>
        <v>15</v>
      </c>
    </row>
    <row r="930" spans="1:11" x14ac:dyDescent="0.35">
      <c r="A930" t="s">
        <v>1208</v>
      </c>
      <c r="B930" t="s">
        <v>1194</v>
      </c>
      <c r="C930" t="s">
        <v>53</v>
      </c>
      <c r="D930">
        <v>16</v>
      </c>
      <c r="E930" t="s">
        <v>20</v>
      </c>
      <c r="F930" t="s">
        <v>31</v>
      </c>
      <c r="G930">
        <v>68</v>
      </c>
      <c r="H930">
        <v>7</v>
      </c>
      <c r="I930" t="s">
        <v>28</v>
      </c>
      <c r="J930" t="str">
        <f>_xlfn.XLOOKUP(C930,'product_masterlist(ifs)'!A:A,'product_masterlist(ifs)'!C:C,"N/A",0)</f>
        <v>Solutions</v>
      </c>
      <c r="K930">
        <f>VLOOKUP(C930,'product_masterlist(ifs)'!A:I,7,FALSE)</f>
        <v>800</v>
      </c>
    </row>
    <row r="931" spans="1:11" x14ac:dyDescent="0.35">
      <c r="A931" t="s">
        <v>1209</v>
      </c>
      <c r="B931" t="s">
        <v>330</v>
      </c>
      <c r="C931" t="s">
        <v>53</v>
      </c>
      <c r="D931">
        <v>2</v>
      </c>
      <c r="E931" t="s">
        <v>20</v>
      </c>
      <c r="F931" t="s">
        <v>23</v>
      </c>
      <c r="G931" t="s">
        <v>291</v>
      </c>
      <c r="H931">
        <v>7</v>
      </c>
      <c r="I931" t="s">
        <v>28</v>
      </c>
      <c r="J931" t="str">
        <f>_xlfn.XLOOKUP(C931,'product_masterlist(ifs)'!A:A,'product_masterlist(ifs)'!C:C,"N/A",0)</f>
        <v>Solutions</v>
      </c>
      <c r="K931">
        <f>VLOOKUP(C931,'product_masterlist(ifs)'!A:I,7,FALSE)</f>
        <v>800</v>
      </c>
    </row>
    <row r="932" spans="1:11" x14ac:dyDescent="0.35">
      <c r="A932" t="s">
        <v>1210</v>
      </c>
      <c r="B932" s="1">
        <v>45658</v>
      </c>
      <c r="C932" t="s">
        <v>33</v>
      </c>
      <c r="D932">
        <v>12</v>
      </c>
      <c r="E932" t="s">
        <v>37</v>
      </c>
      <c r="F932" t="s">
        <v>31</v>
      </c>
      <c r="G932">
        <v>1800</v>
      </c>
      <c r="H932">
        <v>45</v>
      </c>
      <c r="I932" t="s">
        <v>34</v>
      </c>
      <c r="J932" t="str">
        <f>_xlfn.XLOOKUP(C932,'product_masterlist(ifs)'!A:A,'product_masterlist(ifs)'!C:C,"N/A",0)</f>
        <v>Surgical</v>
      </c>
      <c r="K932">
        <f>VLOOKUP(C932,'product_masterlist(ifs)'!A:I,7,FALSE)</f>
        <v>15</v>
      </c>
    </row>
    <row r="933" spans="1:11" x14ac:dyDescent="0.35">
      <c r="A933" t="s">
        <v>1211</v>
      </c>
      <c r="B933" t="s">
        <v>975</v>
      </c>
      <c r="C933" t="s">
        <v>17</v>
      </c>
      <c r="D933">
        <v>13</v>
      </c>
      <c r="E933" t="s">
        <v>37</v>
      </c>
      <c r="F933" t="s">
        <v>18</v>
      </c>
      <c r="G933">
        <v>585</v>
      </c>
      <c r="H933">
        <v>30</v>
      </c>
      <c r="I933" t="s">
        <v>14</v>
      </c>
      <c r="J933" t="str">
        <f>_xlfn.XLOOKUP(C933,'product_masterlist(ifs)'!A:A,'product_masterlist(ifs)'!C:C,"N/A",0)</f>
        <v>Frames</v>
      </c>
      <c r="K933">
        <f>VLOOKUP(C933,'product_masterlist(ifs)'!A:I,7,FALSE)</f>
        <v>45</v>
      </c>
    </row>
    <row r="934" spans="1:11" x14ac:dyDescent="0.35">
      <c r="A934" t="s">
        <v>1212</v>
      </c>
      <c r="B934" t="s">
        <v>430</v>
      </c>
      <c r="C934" t="s">
        <v>26</v>
      </c>
      <c r="D934">
        <v>21</v>
      </c>
      <c r="E934" t="s">
        <v>37</v>
      </c>
      <c r="F934" t="s">
        <v>13</v>
      </c>
      <c r="G934" t="s">
        <v>366</v>
      </c>
      <c r="H934">
        <v>14</v>
      </c>
      <c r="I934" t="s">
        <v>28</v>
      </c>
      <c r="J934" t="str">
        <f>_xlfn.XLOOKUP(C934,'product_masterlist(ifs)'!A:A,'product_masterlist(ifs)'!C:C,"N/A",0)</f>
        <v>Contact Lenses</v>
      </c>
      <c r="K934">
        <f>VLOOKUP(C934,'product_masterlist(ifs)'!A:I,7,FALSE)</f>
        <v>450</v>
      </c>
    </row>
    <row r="935" spans="1:11" x14ac:dyDescent="0.35">
      <c r="A935" t="s">
        <v>1213</v>
      </c>
      <c r="B935" s="1">
        <v>45817</v>
      </c>
      <c r="C935" t="s">
        <v>11</v>
      </c>
      <c r="D935">
        <v>1</v>
      </c>
      <c r="E935" t="s">
        <v>22</v>
      </c>
      <c r="F935" t="s">
        <v>18</v>
      </c>
      <c r="G935">
        <v>85</v>
      </c>
      <c r="H935">
        <v>30</v>
      </c>
      <c r="I935" t="s">
        <v>14</v>
      </c>
      <c r="J935" t="str">
        <f>_xlfn.XLOOKUP(C935,'product_masterlist(ifs)'!A:A,'product_masterlist(ifs)'!C:C,"N/A",0)</f>
        <v>Surgical</v>
      </c>
      <c r="K935">
        <f>VLOOKUP(C935,'product_masterlist(ifs)'!A:I,7,FALSE)</f>
        <v>40</v>
      </c>
    </row>
    <row r="936" spans="1:11" x14ac:dyDescent="0.35">
      <c r="A936" t="s">
        <v>1214</v>
      </c>
      <c r="B936" t="s">
        <v>111</v>
      </c>
      <c r="C936" t="s">
        <v>90</v>
      </c>
      <c r="D936">
        <v>4</v>
      </c>
      <c r="E936" t="s">
        <v>37</v>
      </c>
      <c r="F936" t="s">
        <v>18</v>
      </c>
      <c r="G936">
        <v>194</v>
      </c>
      <c r="H936">
        <v>30</v>
      </c>
      <c r="I936" t="s">
        <v>14</v>
      </c>
      <c r="J936" t="str">
        <f>_xlfn.XLOOKUP(C936,'product_masterlist(ifs)'!A:A,'product_masterlist(ifs)'!C:C,"N/A",0)</f>
        <v>Frames</v>
      </c>
      <c r="K936">
        <f>VLOOKUP(C936,'product_masterlist(ifs)'!A:I,7,FALSE)</f>
        <v>180</v>
      </c>
    </row>
    <row r="937" spans="1:11" x14ac:dyDescent="0.35">
      <c r="A937" t="s">
        <v>1215</v>
      </c>
      <c r="B937" t="s">
        <v>1016</v>
      </c>
      <c r="C937" t="s">
        <v>11</v>
      </c>
      <c r="D937">
        <v>14</v>
      </c>
      <c r="E937" t="s">
        <v>37</v>
      </c>
      <c r="F937" t="s">
        <v>18</v>
      </c>
      <c r="G937">
        <v>1190</v>
      </c>
      <c r="H937">
        <v>30</v>
      </c>
      <c r="I937" t="s">
        <v>14</v>
      </c>
      <c r="J937" t="str">
        <f>_xlfn.XLOOKUP(C937,'product_masterlist(ifs)'!A:A,'product_masterlist(ifs)'!C:C,"N/A",0)</f>
        <v>Surgical</v>
      </c>
      <c r="K937">
        <f>VLOOKUP(C937,'product_masterlist(ifs)'!A:I,7,FALSE)</f>
        <v>40</v>
      </c>
    </row>
    <row r="938" spans="1:11" x14ac:dyDescent="0.35">
      <c r="A938" t="s">
        <v>1216</v>
      </c>
      <c r="B938" t="s">
        <v>398</v>
      </c>
      <c r="C938" t="s">
        <v>42</v>
      </c>
      <c r="D938">
        <v>23</v>
      </c>
      <c r="E938" t="s">
        <v>37</v>
      </c>
      <c r="F938" t="s">
        <v>13</v>
      </c>
      <c r="G938">
        <v>575</v>
      </c>
      <c r="H938">
        <v>21</v>
      </c>
      <c r="I938" t="s">
        <v>14</v>
      </c>
      <c r="J938" t="str">
        <f>_xlfn.XLOOKUP(C938,'product_masterlist(ifs)'!A:A,'product_masterlist(ifs)'!C:C,"N/A",0)</f>
        <v>Contact Lenses</v>
      </c>
      <c r="K938">
        <f>VLOOKUP(C938,'product_masterlist(ifs)'!A:I,7,FALSE)</f>
        <v>120</v>
      </c>
    </row>
    <row r="939" spans="1:11" x14ac:dyDescent="0.35">
      <c r="A939" t="s">
        <v>1217</v>
      </c>
      <c r="B939" s="1">
        <v>45972</v>
      </c>
      <c r="C939" t="s">
        <v>90</v>
      </c>
      <c r="D939">
        <v>23</v>
      </c>
      <c r="E939" t="s">
        <v>22</v>
      </c>
      <c r="F939" t="s">
        <v>31</v>
      </c>
      <c r="G939" t="s">
        <v>123</v>
      </c>
      <c r="H939">
        <v>30</v>
      </c>
      <c r="I939" t="s">
        <v>14</v>
      </c>
      <c r="J939" t="str">
        <f>_xlfn.XLOOKUP(C939,'product_masterlist(ifs)'!A:A,'product_masterlist(ifs)'!C:C,"N/A",0)</f>
        <v>Frames</v>
      </c>
      <c r="K939">
        <f>VLOOKUP(C939,'product_masterlist(ifs)'!A:I,7,FALSE)</f>
        <v>180</v>
      </c>
    </row>
    <row r="940" spans="1:11" x14ac:dyDescent="0.35">
      <c r="A940" t="s">
        <v>1218</v>
      </c>
      <c r="B940" s="1">
        <v>45938</v>
      </c>
      <c r="C940" t="s">
        <v>90</v>
      </c>
      <c r="D940">
        <v>16</v>
      </c>
      <c r="E940" t="s">
        <v>12</v>
      </c>
      <c r="F940" t="s">
        <v>31</v>
      </c>
      <c r="G940">
        <v>776</v>
      </c>
      <c r="H940">
        <v>30</v>
      </c>
      <c r="I940" t="s">
        <v>14</v>
      </c>
      <c r="J940" t="str">
        <f>_xlfn.XLOOKUP(C940,'product_masterlist(ifs)'!A:A,'product_masterlist(ifs)'!C:C,"N/A",0)</f>
        <v>Frames</v>
      </c>
      <c r="K940">
        <f>VLOOKUP(C940,'product_masterlist(ifs)'!A:I,7,FALSE)</f>
        <v>180</v>
      </c>
    </row>
    <row r="941" spans="1:11" x14ac:dyDescent="0.35">
      <c r="A941" t="s">
        <v>1219</v>
      </c>
      <c r="B941" t="s">
        <v>690</v>
      </c>
      <c r="C941" t="s">
        <v>53</v>
      </c>
      <c r="D941">
        <v>6</v>
      </c>
      <c r="E941" t="s">
        <v>12</v>
      </c>
      <c r="F941" t="s">
        <v>18</v>
      </c>
      <c r="G941" t="s">
        <v>369</v>
      </c>
      <c r="H941">
        <v>7</v>
      </c>
      <c r="I941" t="s">
        <v>28</v>
      </c>
      <c r="J941" t="str">
        <f>_xlfn.XLOOKUP(C941,'product_masterlist(ifs)'!A:A,'product_masterlist(ifs)'!C:C,"N/A",0)</f>
        <v>Solutions</v>
      </c>
      <c r="K941">
        <f>VLOOKUP(C941,'product_masterlist(ifs)'!A:I,7,FALSE)</f>
        <v>800</v>
      </c>
    </row>
    <row r="942" spans="1:11" x14ac:dyDescent="0.35">
      <c r="A942" t="s">
        <v>1220</v>
      </c>
      <c r="B942" t="s">
        <v>80</v>
      </c>
      <c r="C942" t="s">
        <v>53</v>
      </c>
      <c r="D942">
        <v>10</v>
      </c>
      <c r="E942" t="s">
        <v>12</v>
      </c>
      <c r="F942" t="s">
        <v>23</v>
      </c>
      <c r="G942" t="s">
        <v>95</v>
      </c>
      <c r="H942">
        <v>7</v>
      </c>
      <c r="I942" t="s">
        <v>28</v>
      </c>
      <c r="J942" t="str">
        <f>_xlfn.XLOOKUP(C942,'product_masterlist(ifs)'!A:A,'product_masterlist(ifs)'!C:C,"N/A",0)</f>
        <v>Solutions</v>
      </c>
      <c r="K942">
        <f>VLOOKUP(C942,'product_masterlist(ifs)'!A:I,7,FALSE)</f>
        <v>800</v>
      </c>
    </row>
    <row r="943" spans="1:11" x14ac:dyDescent="0.35">
      <c r="A943" t="s">
        <v>1221</v>
      </c>
      <c r="B943" t="s">
        <v>1222</v>
      </c>
      <c r="C943" t="s">
        <v>26</v>
      </c>
      <c r="D943">
        <v>19</v>
      </c>
      <c r="E943" t="s">
        <v>20</v>
      </c>
      <c r="F943" t="s">
        <v>31</v>
      </c>
      <c r="G943" t="s">
        <v>1093</v>
      </c>
      <c r="H943">
        <v>14</v>
      </c>
      <c r="I943" t="s">
        <v>28</v>
      </c>
      <c r="J943" t="str">
        <f>_xlfn.XLOOKUP(C943,'product_masterlist(ifs)'!A:A,'product_masterlist(ifs)'!C:C,"N/A",0)</f>
        <v>Contact Lenses</v>
      </c>
      <c r="K943">
        <f>VLOOKUP(C943,'product_masterlist(ifs)'!A:I,7,FALSE)</f>
        <v>450</v>
      </c>
    </row>
    <row r="944" spans="1:11" x14ac:dyDescent="0.35">
      <c r="A944" t="s">
        <v>1223</v>
      </c>
      <c r="B944" s="1">
        <v>45696</v>
      </c>
      <c r="C944" t="s">
        <v>17</v>
      </c>
      <c r="D944">
        <v>1</v>
      </c>
      <c r="E944" t="s">
        <v>20</v>
      </c>
      <c r="F944" t="s">
        <v>31</v>
      </c>
      <c r="G944">
        <v>45</v>
      </c>
      <c r="H944">
        <v>30</v>
      </c>
      <c r="I944" t="s">
        <v>14</v>
      </c>
      <c r="J944" t="str">
        <f>_xlfn.XLOOKUP(C944,'product_masterlist(ifs)'!A:A,'product_masterlist(ifs)'!C:C,"N/A",0)</f>
        <v>Frames</v>
      </c>
      <c r="K944">
        <f>VLOOKUP(C944,'product_masterlist(ifs)'!A:I,7,FALSE)</f>
        <v>45</v>
      </c>
    </row>
    <row r="945" spans="1:11" x14ac:dyDescent="0.35">
      <c r="A945" t="s">
        <v>1224</v>
      </c>
      <c r="B945" s="1">
        <v>45937</v>
      </c>
      <c r="C945" t="s">
        <v>17</v>
      </c>
      <c r="D945">
        <v>25</v>
      </c>
      <c r="E945" t="s">
        <v>20</v>
      </c>
      <c r="F945" t="s">
        <v>31</v>
      </c>
      <c r="G945">
        <v>1125</v>
      </c>
      <c r="H945">
        <v>30</v>
      </c>
      <c r="I945" t="s">
        <v>14</v>
      </c>
      <c r="J945" t="str">
        <f>_xlfn.XLOOKUP(C945,'product_masterlist(ifs)'!A:A,'product_masterlist(ifs)'!C:C,"N/A",0)</f>
        <v>Frames</v>
      </c>
      <c r="K945">
        <f>VLOOKUP(C945,'product_masterlist(ifs)'!A:I,7,FALSE)</f>
        <v>45</v>
      </c>
    </row>
    <row r="946" spans="1:11" x14ac:dyDescent="0.35">
      <c r="A946" t="s">
        <v>1225</v>
      </c>
      <c r="B946" t="s">
        <v>255</v>
      </c>
      <c r="C946" t="s">
        <v>33</v>
      </c>
      <c r="D946">
        <v>22</v>
      </c>
      <c r="E946" t="s">
        <v>22</v>
      </c>
      <c r="F946" t="s">
        <v>31</v>
      </c>
      <c r="G946">
        <v>3300</v>
      </c>
      <c r="H946">
        <v>45</v>
      </c>
      <c r="I946" t="s">
        <v>34</v>
      </c>
      <c r="J946" t="str">
        <f>_xlfn.XLOOKUP(C946,'product_masterlist(ifs)'!A:A,'product_masterlist(ifs)'!C:C,"N/A",0)</f>
        <v>Surgical</v>
      </c>
      <c r="K946">
        <f>VLOOKUP(C946,'product_masterlist(ifs)'!A:I,7,FALSE)</f>
        <v>15</v>
      </c>
    </row>
    <row r="947" spans="1:11" x14ac:dyDescent="0.35">
      <c r="A947" t="s">
        <v>1226</v>
      </c>
      <c r="B947" t="s">
        <v>67</v>
      </c>
      <c r="C947" t="s">
        <v>17</v>
      </c>
      <c r="D947">
        <v>12</v>
      </c>
      <c r="E947" t="s">
        <v>22</v>
      </c>
      <c r="F947" t="s">
        <v>31</v>
      </c>
      <c r="G947">
        <v>540</v>
      </c>
      <c r="H947">
        <v>30</v>
      </c>
      <c r="I947" t="s">
        <v>14</v>
      </c>
      <c r="J947" t="str">
        <f>_xlfn.XLOOKUP(C947,'product_masterlist(ifs)'!A:A,'product_masterlist(ifs)'!C:C,"N/A",0)</f>
        <v>Frames</v>
      </c>
      <c r="K947">
        <f>VLOOKUP(C947,'product_masterlist(ifs)'!A:I,7,FALSE)</f>
        <v>45</v>
      </c>
    </row>
    <row r="948" spans="1:11" x14ac:dyDescent="0.35">
      <c r="A948" t="s">
        <v>1227</v>
      </c>
      <c r="B948" t="s">
        <v>1125</v>
      </c>
      <c r="C948" t="s">
        <v>17</v>
      </c>
      <c r="D948">
        <v>14</v>
      </c>
      <c r="E948" t="s">
        <v>22</v>
      </c>
      <c r="F948" t="s">
        <v>23</v>
      </c>
      <c r="G948">
        <v>630</v>
      </c>
      <c r="H948">
        <v>30</v>
      </c>
      <c r="I948" t="s">
        <v>14</v>
      </c>
      <c r="J948" t="str">
        <f>_xlfn.XLOOKUP(C948,'product_masterlist(ifs)'!A:A,'product_masterlist(ifs)'!C:C,"N/A",0)</f>
        <v>Frames</v>
      </c>
      <c r="K948">
        <f>VLOOKUP(C948,'product_masterlist(ifs)'!A:I,7,FALSE)</f>
        <v>45</v>
      </c>
    </row>
    <row r="949" spans="1:11" x14ac:dyDescent="0.35">
      <c r="A949" t="s">
        <v>1228</v>
      </c>
      <c r="B949" t="s">
        <v>1229</v>
      </c>
      <c r="C949" t="s">
        <v>90</v>
      </c>
      <c r="D949">
        <v>23</v>
      </c>
      <c r="E949" t="s">
        <v>12</v>
      </c>
      <c r="F949" t="s">
        <v>23</v>
      </c>
      <c r="G949" t="s">
        <v>123</v>
      </c>
      <c r="H949">
        <v>30</v>
      </c>
      <c r="I949" t="s">
        <v>14</v>
      </c>
      <c r="J949" t="str">
        <f>_xlfn.XLOOKUP(C949,'product_masterlist(ifs)'!A:A,'product_masterlist(ifs)'!C:C,"N/A",0)</f>
        <v>Frames</v>
      </c>
      <c r="K949">
        <f>VLOOKUP(C949,'product_masterlist(ifs)'!A:I,7,FALSE)</f>
        <v>180</v>
      </c>
    </row>
    <row r="950" spans="1:11" x14ac:dyDescent="0.35">
      <c r="A950" t="s">
        <v>1230</v>
      </c>
      <c r="B950" t="s">
        <v>199</v>
      </c>
      <c r="C950" t="s">
        <v>33</v>
      </c>
      <c r="D950">
        <v>24</v>
      </c>
      <c r="E950" t="s">
        <v>37</v>
      </c>
      <c r="F950" t="s">
        <v>13</v>
      </c>
      <c r="G950">
        <v>3600</v>
      </c>
      <c r="H950">
        <v>45</v>
      </c>
      <c r="I950" t="s">
        <v>34</v>
      </c>
      <c r="J950" t="str">
        <f>_xlfn.XLOOKUP(C950,'product_masterlist(ifs)'!A:A,'product_masterlist(ifs)'!C:C,"N/A",0)</f>
        <v>Surgical</v>
      </c>
      <c r="K950">
        <f>VLOOKUP(C950,'product_masterlist(ifs)'!A:I,7,FALSE)</f>
        <v>15</v>
      </c>
    </row>
    <row r="951" spans="1:11" x14ac:dyDescent="0.35">
      <c r="A951" t="s">
        <v>1231</v>
      </c>
      <c r="B951" t="s">
        <v>1194</v>
      </c>
      <c r="C951" t="s">
        <v>90</v>
      </c>
      <c r="D951">
        <v>16</v>
      </c>
      <c r="E951" t="s">
        <v>37</v>
      </c>
      <c r="F951" t="s">
        <v>13</v>
      </c>
      <c r="G951">
        <v>776</v>
      </c>
      <c r="H951">
        <v>30</v>
      </c>
      <c r="I951" t="s">
        <v>14</v>
      </c>
      <c r="J951" t="str">
        <f>_xlfn.XLOOKUP(C951,'product_masterlist(ifs)'!A:A,'product_masterlist(ifs)'!C:C,"N/A",0)</f>
        <v>Frames</v>
      </c>
      <c r="K951">
        <f>VLOOKUP(C951,'product_masterlist(ifs)'!A:I,7,FALSE)</f>
        <v>180</v>
      </c>
    </row>
    <row r="952" spans="1:11" x14ac:dyDescent="0.35">
      <c r="A952" t="s">
        <v>1232</v>
      </c>
      <c r="B952" t="s">
        <v>545</v>
      </c>
      <c r="C952" t="s">
        <v>11</v>
      </c>
      <c r="D952">
        <v>15</v>
      </c>
      <c r="E952" t="s">
        <v>12</v>
      </c>
      <c r="F952" t="s">
        <v>31</v>
      </c>
      <c r="G952">
        <v>1275</v>
      </c>
      <c r="H952">
        <v>30</v>
      </c>
      <c r="I952" t="s">
        <v>14</v>
      </c>
      <c r="J952" t="str">
        <f>_xlfn.XLOOKUP(C952,'product_masterlist(ifs)'!A:A,'product_masterlist(ifs)'!C:C,"N/A",0)</f>
        <v>Surgical</v>
      </c>
      <c r="K952">
        <f>VLOOKUP(C952,'product_masterlist(ifs)'!A:I,7,FALSE)</f>
        <v>40</v>
      </c>
    </row>
    <row r="953" spans="1:11" x14ac:dyDescent="0.35">
      <c r="A953" t="s">
        <v>1233</v>
      </c>
      <c r="B953" s="1">
        <v>45870</v>
      </c>
      <c r="C953" t="s">
        <v>90</v>
      </c>
      <c r="D953">
        <v>1</v>
      </c>
      <c r="E953" t="s">
        <v>22</v>
      </c>
      <c r="F953" t="s">
        <v>23</v>
      </c>
      <c r="G953" t="s">
        <v>109</v>
      </c>
      <c r="H953">
        <v>30</v>
      </c>
      <c r="I953" t="s">
        <v>14</v>
      </c>
      <c r="J953" t="str">
        <f>_xlfn.XLOOKUP(C953,'product_masterlist(ifs)'!A:A,'product_masterlist(ifs)'!C:C,"N/A",0)</f>
        <v>Frames</v>
      </c>
      <c r="K953">
        <f>VLOOKUP(C953,'product_masterlist(ifs)'!A:I,7,FALSE)</f>
        <v>180</v>
      </c>
    </row>
    <row r="954" spans="1:11" x14ac:dyDescent="0.35">
      <c r="A954" t="s">
        <v>1234</v>
      </c>
      <c r="B954" t="s">
        <v>651</v>
      </c>
      <c r="C954" t="s">
        <v>33</v>
      </c>
      <c r="D954">
        <v>12</v>
      </c>
      <c r="E954" t="s">
        <v>20</v>
      </c>
      <c r="F954" t="s">
        <v>23</v>
      </c>
      <c r="G954">
        <v>1800</v>
      </c>
      <c r="H954">
        <v>45</v>
      </c>
      <c r="I954" t="s">
        <v>34</v>
      </c>
      <c r="J954" t="str">
        <f>_xlfn.XLOOKUP(C954,'product_masterlist(ifs)'!A:A,'product_masterlist(ifs)'!C:C,"N/A",0)</f>
        <v>Surgical</v>
      </c>
      <c r="K954">
        <f>VLOOKUP(C954,'product_masterlist(ifs)'!A:I,7,FALSE)</f>
        <v>15</v>
      </c>
    </row>
    <row r="955" spans="1:11" x14ac:dyDescent="0.35">
      <c r="A955" t="s">
        <v>1235</v>
      </c>
      <c r="B955" s="1">
        <v>45993</v>
      </c>
      <c r="C955" t="s">
        <v>53</v>
      </c>
      <c r="D955">
        <v>1</v>
      </c>
      <c r="E955" t="s">
        <v>20</v>
      </c>
      <c r="F955" t="s">
        <v>23</v>
      </c>
      <c r="G955" t="s">
        <v>372</v>
      </c>
      <c r="H955">
        <v>7</v>
      </c>
      <c r="I955" t="s">
        <v>28</v>
      </c>
      <c r="J955" t="str">
        <f>_xlfn.XLOOKUP(C955,'product_masterlist(ifs)'!A:A,'product_masterlist(ifs)'!C:C,"N/A",0)</f>
        <v>Solutions</v>
      </c>
      <c r="K955">
        <f>VLOOKUP(C955,'product_masterlist(ifs)'!A:I,7,FALSE)</f>
        <v>800</v>
      </c>
    </row>
    <row r="956" spans="1:11" x14ac:dyDescent="0.35">
      <c r="A956" t="s">
        <v>1236</v>
      </c>
      <c r="B956" s="1">
        <v>45659</v>
      </c>
      <c r="C956" t="s">
        <v>11</v>
      </c>
      <c r="D956">
        <v>17</v>
      </c>
      <c r="E956" t="s">
        <v>20</v>
      </c>
      <c r="F956" t="s">
        <v>31</v>
      </c>
      <c r="G956">
        <v>1445</v>
      </c>
      <c r="H956">
        <v>30</v>
      </c>
      <c r="I956" t="s">
        <v>14</v>
      </c>
      <c r="J956" t="str">
        <f>_xlfn.XLOOKUP(C956,'product_masterlist(ifs)'!A:A,'product_masterlist(ifs)'!C:C,"N/A",0)</f>
        <v>Surgical</v>
      </c>
      <c r="K956">
        <f>VLOOKUP(C956,'product_masterlist(ifs)'!A:I,7,FALSE)</f>
        <v>40</v>
      </c>
    </row>
    <row r="957" spans="1:11" x14ac:dyDescent="0.35">
      <c r="A957" t="s">
        <v>1237</v>
      </c>
      <c r="B957" t="s">
        <v>815</v>
      </c>
      <c r="C957" t="s">
        <v>33</v>
      </c>
      <c r="D957">
        <v>16</v>
      </c>
      <c r="E957" t="s">
        <v>37</v>
      </c>
      <c r="F957" t="s">
        <v>18</v>
      </c>
      <c r="G957">
        <v>2400</v>
      </c>
      <c r="H957">
        <v>45</v>
      </c>
      <c r="I957" t="s">
        <v>34</v>
      </c>
      <c r="J957" t="str">
        <f>_xlfn.XLOOKUP(C957,'product_masterlist(ifs)'!A:A,'product_masterlist(ifs)'!C:C,"N/A",0)</f>
        <v>Surgical</v>
      </c>
      <c r="K957">
        <f>VLOOKUP(C957,'product_masterlist(ifs)'!A:I,7,FALSE)</f>
        <v>15</v>
      </c>
    </row>
    <row r="958" spans="1:11" x14ac:dyDescent="0.35">
      <c r="A958" t="s">
        <v>1238</v>
      </c>
      <c r="B958" s="1">
        <v>46000</v>
      </c>
      <c r="C958" t="s">
        <v>33</v>
      </c>
      <c r="D958">
        <v>13</v>
      </c>
      <c r="E958" t="s">
        <v>37</v>
      </c>
      <c r="F958" t="s">
        <v>13</v>
      </c>
      <c r="G958">
        <v>1950</v>
      </c>
      <c r="H958">
        <v>45</v>
      </c>
      <c r="I958" t="s">
        <v>34</v>
      </c>
      <c r="J958" t="str">
        <f>_xlfn.XLOOKUP(C958,'product_masterlist(ifs)'!A:A,'product_masterlist(ifs)'!C:C,"N/A",0)</f>
        <v>Surgical</v>
      </c>
      <c r="K958">
        <f>VLOOKUP(C958,'product_masterlist(ifs)'!A:I,7,FALSE)</f>
        <v>15</v>
      </c>
    </row>
    <row r="959" spans="1:11" x14ac:dyDescent="0.35">
      <c r="A959" t="s">
        <v>1239</v>
      </c>
      <c r="B959" t="s">
        <v>258</v>
      </c>
      <c r="C959" t="s">
        <v>33</v>
      </c>
      <c r="D959">
        <v>25</v>
      </c>
      <c r="E959" t="s">
        <v>12</v>
      </c>
      <c r="F959" t="s">
        <v>23</v>
      </c>
      <c r="G959">
        <v>3750</v>
      </c>
      <c r="H959">
        <v>45</v>
      </c>
      <c r="I959" t="s">
        <v>34</v>
      </c>
      <c r="J959" t="str">
        <f>_xlfn.XLOOKUP(C959,'product_masterlist(ifs)'!A:A,'product_masterlist(ifs)'!C:C,"N/A",0)</f>
        <v>Surgical</v>
      </c>
      <c r="K959">
        <f>VLOOKUP(C959,'product_masterlist(ifs)'!A:I,7,FALSE)</f>
        <v>15</v>
      </c>
    </row>
    <row r="960" spans="1:11" x14ac:dyDescent="0.35">
      <c r="A960" t="s">
        <v>1240</v>
      </c>
      <c r="B960" t="s">
        <v>260</v>
      </c>
      <c r="C960" t="s">
        <v>53</v>
      </c>
      <c r="D960">
        <v>1</v>
      </c>
      <c r="E960" t="s">
        <v>22</v>
      </c>
      <c r="F960" t="s">
        <v>13</v>
      </c>
      <c r="G960" t="s">
        <v>372</v>
      </c>
      <c r="H960">
        <v>7</v>
      </c>
      <c r="I960" t="s">
        <v>28</v>
      </c>
      <c r="J960" t="str">
        <f>_xlfn.XLOOKUP(C960,'product_masterlist(ifs)'!A:A,'product_masterlist(ifs)'!C:C,"N/A",0)</f>
        <v>Solutions</v>
      </c>
      <c r="K960">
        <f>VLOOKUP(C960,'product_masterlist(ifs)'!A:I,7,FALSE)</f>
        <v>800</v>
      </c>
    </row>
    <row r="961" spans="1:11" x14ac:dyDescent="0.35">
      <c r="A961" t="s">
        <v>1241</v>
      </c>
      <c r="B961" s="1">
        <v>45877</v>
      </c>
      <c r="C961" t="s">
        <v>11</v>
      </c>
      <c r="D961">
        <v>4</v>
      </c>
      <c r="E961" t="s">
        <v>37</v>
      </c>
      <c r="F961" t="s">
        <v>31</v>
      </c>
      <c r="G961">
        <v>340</v>
      </c>
      <c r="H961">
        <v>30</v>
      </c>
      <c r="I961" t="s">
        <v>14</v>
      </c>
      <c r="J961" t="str">
        <f>_xlfn.XLOOKUP(C961,'product_masterlist(ifs)'!A:A,'product_masterlist(ifs)'!C:C,"N/A",0)</f>
        <v>Surgical</v>
      </c>
      <c r="K961">
        <f>VLOOKUP(C961,'product_masterlist(ifs)'!A:I,7,FALSE)</f>
        <v>40</v>
      </c>
    </row>
    <row r="962" spans="1:11" x14ac:dyDescent="0.35">
      <c r="A962" t="s">
        <v>1242</v>
      </c>
      <c r="B962" t="s">
        <v>962</v>
      </c>
      <c r="C962" t="s">
        <v>42</v>
      </c>
      <c r="D962">
        <v>13</v>
      </c>
      <c r="E962" t="s">
        <v>37</v>
      </c>
      <c r="F962" t="s">
        <v>13</v>
      </c>
      <c r="G962">
        <v>325</v>
      </c>
      <c r="H962">
        <v>21</v>
      </c>
      <c r="I962" t="s">
        <v>14</v>
      </c>
      <c r="J962" t="str">
        <f>_xlfn.XLOOKUP(C962,'product_masterlist(ifs)'!A:A,'product_masterlist(ifs)'!C:C,"N/A",0)</f>
        <v>Contact Lenses</v>
      </c>
      <c r="K962">
        <f>VLOOKUP(C962,'product_masterlist(ifs)'!A:I,7,FALSE)</f>
        <v>120</v>
      </c>
    </row>
    <row r="963" spans="1:11" x14ac:dyDescent="0.35">
      <c r="A963" t="s">
        <v>1243</v>
      </c>
      <c r="B963" s="1">
        <v>45690</v>
      </c>
      <c r="C963" t="s">
        <v>17</v>
      </c>
      <c r="D963">
        <v>21</v>
      </c>
      <c r="E963" t="s">
        <v>22</v>
      </c>
      <c r="F963" t="s">
        <v>31</v>
      </c>
      <c r="G963">
        <v>945</v>
      </c>
      <c r="H963">
        <v>30</v>
      </c>
      <c r="I963" t="s">
        <v>14</v>
      </c>
      <c r="J963" t="str">
        <f>_xlfn.XLOOKUP(C963,'product_masterlist(ifs)'!A:A,'product_masterlist(ifs)'!C:C,"N/A",0)</f>
        <v>Frames</v>
      </c>
      <c r="K963">
        <f>VLOOKUP(C963,'product_masterlist(ifs)'!A:I,7,FALSE)</f>
        <v>45</v>
      </c>
    </row>
    <row r="964" spans="1:11" x14ac:dyDescent="0.35">
      <c r="A964" t="s">
        <v>1244</v>
      </c>
      <c r="B964" t="s">
        <v>146</v>
      </c>
      <c r="C964" t="s">
        <v>33</v>
      </c>
      <c r="D964">
        <v>15</v>
      </c>
      <c r="E964" t="s">
        <v>12</v>
      </c>
      <c r="F964" t="s">
        <v>18</v>
      </c>
      <c r="G964">
        <v>2250</v>
      </c>
      <c r="H964">
        <v>45</v>
      </c>
      <c r="I964" t="s">
        <v>34</v>
      </c>
      <c r="J964" t="str">
        <f>_xlfn.XLOOKUP(C964,'product_masterlist(ifs)'!A:A,'product_masterlist(ifs)'!C:C,"N/A",0)</f>
        <v>Surgical</v>
      </c>
      <c r="K964">
        <f>VLOOKUP(C964,'product_masterlist(ifs)'!A:I,7,FALSE)</f>
        <v>15</v>
      </c>
    </row>
    <row r="965" spans="1:11" x14ac:dyDescent="0.35">
      <c r="A965" t="s">
        <v>1245</v>
      </c>
      <c r="B965" t="s">
        <v>58</v>
      </c>
      <c r="C965" t="s">
        <v>42</v>
      </c>
      <c r="D965">
        <v>13</v>
      </c>
      <c r="E965" t="s">
        <v>37</v>
      </c>
      <c r="F965" t="s">
        <v>23</v>
      </c>
      <c r="G965">
        <v>325</v>
      </c>
      <c r="H965">
        <v>21</v>
      </c>
      <c r="I965" t="s">
        <v>14</v>
      </c>
      <c r="J965" t="str">
        <f>_xlfn.XLOOKUP(C965,'product_masterlist(ifs)'!A:A,'product_masterlist(ifs)'!C:C,"N/A",0)</f>
        <v>Contact Lenses</v>
      </c>
      <c r="K965">
        <f>VLOOKUP(C965,'product_masterlist(ifs)'!A:I,7,FALSE)</f>
        <v>120</v>
      </c>
    </row>
    <row r="966" spans="1:11" x14ac:dyDescent="0.35">
      <c r="A966" t="s">
        <v>1246</v>
      </c>
      <c r="B966" t="s">
        <v>246</v>
      </c>
      <c r="C966" t="s">
        <v>33</v>
      </c>
      <c r="D966">
        <v>4</v>
      </c>
      <c r="E966" t="s">
        <v>22</v>
      </c>
      <c r="F966" t="s">
        <v>13</v>
      </c>
      <c r="G966">
        <v>600</v>
      </c>
      <c r="H966">
        <v>45</v>
      </c>
      <c r="I966" t="s">
        <v>34</v>
      </c>
      <c r="J966" t="str">
        <f>_xlfn.XLOOKUP(C966,'product_masterlist(ifs)'!A:A,'product_masterlist(ifs)'!C:C,"N/A",0)</f>
        <v>Surgical</v>
      </c>
      <c r="K966">
        <f>VLOOKUP(C966,'product_masterlist(ifs)'!A:I,7,FALSE)</f>
        <v>15</v>
      </c>
    </row>
    <row r="967" spans="1:11" x14ac:dyDescent="0.35">
      <c r="A967" t="s">
        <v>1247</v>
      </c>
      <c r="B967" t="s">
        <v>196</v>
      </c>
      <c r="C967" t="s">
        <v>11</v>
      </c>
      <c r="D967">
        <v>21</v>
      </c>
      <c r="E967" t="s">
        <v>37</v>
      </c>
      <c r="F967" t="s">
        <v>23</v>
      </c>
      <c r="G967">
        <v>1785</v>
      </c>
      <c r="H967">
        <v>30</v>
      </c>
      <c r="I967" t="s">
        <v>14</v>
      </c>
      <c r="J967" t="str">
        <f>_xlfn.XLOOKUP(C967,'product_masterlist(ifs)'!A:A,'product_masterlist(ifs)'!C:C,"N/A",0)</f>
        <v>Surgical</v>
      </c>
      <c r="K967">
        <f>VLOOKUP(C967,'product_masterlist(ifs)'!A:I,7,FALSE)</f>
        <v>40</v>
      </c>
    </row>
    <row r="968" spans="1:11" x14ac:dyDescent="0.35">
      <c r="A968" t="s">
        <v>1248</v>
      </c>
      <c r="B968" t="s">
        <v>436</v>
      </c>
      <c r="C968" t="s">
        <v>42</v>
      </c>
      <c r="D968">
        <v>16</v>
      </c>
      <c r="E968" t="s">
        <v>37</v>
      </c>
      <c r="F968" t="s">
        <v>31</v>
      </c>
      <c r="G968">
        <v>400</v>
      </c>
      <c r="H968">
        <v>21</v>
      </c>
      <c r="I968" t="s">
        <v>14</v>
      </c>
      <c r="J968" t="str">
        <f>_xlfn.XLOOKUP(C968,'product_masterlist(ifs)'!A:A,'product_masterlist(ifs)'!C:C,"N/A",0)</f>
        <v>Contact Lenses</v>
      </c>
      <c r="K968">
        <f>VLOOKUP(C968,'product_masterlist(ifs)'!A:I,7,FALSE)</f>
        <v>120</v>
      </c>
    </row>
    <row r="969" spans="1:11" x14ac:dyDescent="0.35">
      <c r="A969" t="s">
        <v>1249</v>
      </c>
      <c r="B969" t="s">
        <v>419</v>
      </c>
      <c r="C969" t="s">
        <v>17</v>
      </c>
      <c r="D969">
        <v>24</v>
      </c>
      <c r="E969" t="s">
        <v>12</v>
      </c>
      <c r="F969" t="s">
        <v>18</v>
      </c>
      <c r="G969">
        <v>1080</v>
      </c>
      <c r="H969">
        <v>30</v>
      </c>
      <c r="I969" t="s">
        <v>14</v>
      </c>
      <c r="J969" t="str">
        <f>_xlfn.XLOOKUP(C969,'product_masterlist(ifs)'!A:A,'product_masterlist(ifs)'!C:C,"N/A",0)</f>
        <v>Frames</v>
      </c>
      <c r="K969">
        <f>VLOOKUP(C969,'product_masterlist(ifs)'!A:I,7,FALSE)</f>
        <v>45</v>
      </c>
    </row>
    <row r="970" spans="1:11" x14ac:dyDescent="0.35">
      <c r="A970" t="s">
        <v>1250</v>
      </c>
      <c r="B970" t="s">
        <v>323</v>
      </c>
      <c r="C970" t="s">
        <v>26</v>
      </c>
      <c r="D970">
        <v>22</v>
      </c>
      <c r="E970" t="s">
        <v>22</v>
      </c>
      <c r="F970" t="s">
        <v>31</v>
      </c>
      <c r="G970">
        <v>275</v>
      </c>
      <c r="H970">
        <v>14</v>
      </c>
      <c r="I970" t="s">
        <v>28</v>
      </c>
      <c r="J970" t="str">
        <f>_xlfn.XLOOKUP(C970,'product_masterlist(ifs)'!A:A,'product_masterlist(ifs)'!C:C,"N/A",0)</f>
        <v>Contact Lenses</v>
      </c>
      <c r="K970">
        <f>VLOOKUP(C970,'product_masterlist(ifs)'!A:I,7,FALSE)</f>
        <v>450</v>
      </c>
    </row>
    <row r="971" spans="1:11" x14ac:dyDescent="0.35">
      <c r="A971" t="s">
        <v>1251</v>
      </c>
      <c r="B971" t="s">
        <v>161</v>
      </c>
      <c r="C971" t="s">
        <v>26</v>
      </c>
      <c r="D971">
        <v>23</v>
      </c>
      <c r="E971" t="s">
        <v>20</v>
      </c>
      <c r="F971" t="s">
        <v>18</v>
      </c>
      <c r="G971" t="s">
        <v>162</v>
      </c>
      <c r="H971">
        <v>14</v>
      </c>
      <c r="I971" t="s">
        <v>28</v>
      </c>
      <c r="J971" t="str">
        <f>_xlfn.XLOOKUP(C971,'product_masterlist(ifs)'!A:A,'product_masterlist(ifs)'!C:C,"N/A",0)</f>
        <v>Contact Lenses</v>
      </c>
      <c r="K971">
        <f>VLOOKUP(C971,'product_masterlist(ifs)'!A:I,7,FALSE)</f>
        <v>450</v>
      </c>
    </row>
    <row r="972" spans="1:11" x14ac:dyDescent="0.35">
      <c r="A972" t="s">
        <v>1252</v>
      </c>
      <c r="B972" s="1">
        <v>46001</v>
      </c>
      <c r="C972" t="s">
        <v>33</v>
      </c>
      <c r="D972">
        <v>17</v>
      </c>
      <c r="E972" t="s">
        <v>22</v>
      </c>
      <c r="F972" t="s">
        <v>18</v>
      </c>
      <c r="G972">
        <v>2550</v>
      </c>
      <c r="H972">
        <v>45</v>
      </c>
      <c r="I972" t="s">
        <v>34</v>
      </c>
      <c r="J972" t="str">
        <f>_xlfn.XLOOKUP(C972,'product_masterlist(ifs)'!A:A,'product_masterlist(ifs)'!C:C,"N/A",0)</f>
        <v>Surgical</v>
      </c>
      <c r="K972">
        <f>VLOOKUP(C972,'product_masterlist(ifs)'!A:I,7,FALSE)</f>
        <v>15</v>
      </c>
    </row>
    <row r="973" spans="1:11" x14ac:dyDescent="0.35">
      <c r="A973" t="s">
        <v>1253</v>
      </c>
      <c r="B973" t="s">
        <v>485</v>
      </c>
      <c r="C973" t="s">
        <v>33</v>
      </c>
      <c r="D973">
        <v>22</v>
      </c>
      <c r="E973" t="s">
        <v>20</v>
      </c>
      <c r="F973" t="s">
        <v>13</v>
      </c>
      <c r="G973">
        <v>3300</v>
      </c>
      <c r="H973">
        <v>45</v>
      </c>
      <c r="I973" t="s">
        <v>34</v>
      </c>
      <c r="J973" t="str">
        <f>_xlfn.XLOOKUP(C973,'product_masterlist(ifs)'!A:A,'product_masterlist(ifs)'!C:C,"N/A",0)</f>
        <v>Surgical</v>
      </c>
      <c r="K973">
        <f>VLOOKUP(C973,'product_masterlist(ifs)'!A:I,7,FALSE)</f>
        <v>15</v>
      </c>
    </row>
    <row r="974" spans="1:11" x14ac:dyDescent="0.35">
      <c r="A974" t="s">
        <v>1254</v>
      </c>
      <c r="B974" t="s">
        <v>1222</v>
      </c>
      <c r="C974" t="s">
        <v>26</v>
      </c>
      <c r="D974">
        <v>16</v>
      </c>
      <c r="E974" t="s">
        <v>37</v>
      </c>
      <c r="F974" t="s">
        <v>18</v>
      </c>
      <c r="G974">
        <v>200</v>
      </c>
      <c r="H974">
        <v>14</v>
      </c>
      <c r="I974" t="s">
        <v>28</v>
      </c>
      <c r="J974" t="str">
        <f>_xlfn.XLOOKUP(C974,'product_masterlist(ifs)'!A:A,'product_masterlist(ifs)'!C:C,"N/A",0)</f>
        <v>Contact Lenses</v>
      </c>
      <c r="K974">
        <f>VLOOKUP(C974,'product_masterlist(ifs)'!A:I,7,FALSE)</f>
        <v>450</v>
      </c>
    </row>
    <row r="975" spans="1:11" x14ac:dyDescent="0.35">
      <c r="A975" t="s">
        <v>1255</v>
      </c>
      <c r="B975" t="s">
        <v>364</v>
      </c>
      <c r="C975" t="s">
        <v>11</v>
      </c>
      <c r="D975">
        <v>24</v>
      </c>
      <c r="E975" t="s">
        <v>12</v>
      </c>
      <c r="F975" t="s">
        <v>18</v>
      </c>
      <c r="G975">
        <v>2040</v>
      </c>
      <c r="H975">
        <v>30</v>
      </c>
      <c r="I975" t="s">
        <v>14</v>
      </c>
      <c r="J975" t="str">
        <f>_xlfn.XLOOKUP(C975,'product_masterlist(ifs)'!A:A,'product_masterlist(ifs)'!C:C,"N/A",0)</f>
        <v>Surgical</v>
      </c>
      <c r="K975">
        <f>VLOOKUP(C975,'product_masterlist(ifs)'!A:I,7,FALSE)</f>
        <v>40</v>
      </c>
    </row>
    <row r="976" spans="1:11" x14ac:dyDescent="0.35">
      <c r="A976" t="s">
        <v>1256</v>
      </c>
      <c r="B976" s="1">
        <v>45973</v>
      </c>
      <c r="C976" t="s">
        <v>33</v>
      </c>
      <c r="D976">
        <v>18</v>
      </c>
      <c r="E976" t="s">
        <v>22</v>
      </c>
      <c r="F976" t="s">
        <v>23</v>
      </c>
      <c r="G976">
        <v>2700</v>
      </c>
      <c r="H976">
        <v>45</v>
      </c>
      <c r="I976" t="s">
        <v>34</v>
      </c>
      <c r="J976" t="str">
        <f>_xlfn.XLOOKUP(C976,'product_masterlist(ifs)'!A:A,'product_masterlist(ifs)'!C:C,"N/A",0)</f>
        <v>Surgical</v>
      </c>
      <c r="K976">
        <f>VLOOKUP(C976,'product_masterlist(ifs)'!A:I,7,FALSE)</f>
        <v>15</v>
      </c>
    </row>
    <row r="977" spans="1:11" x14ac:dyDescent="0.35">
      <c r="A977" t="s">
        <v>1257</v>
      </c>
      <c r="B977" t="s">
        <v>52</v>
      </c>
      <c r="C977" t="s">
        <v>42</v>
      </c>
      <c r="D977">
        <v>4</v>
      </c>
      <c r="E977" t="s">
        <v>22</v>
      </c>
      <c r="F977" t="s">
        <v>13</v>
      </c>
      <c r="G977">
        <v>100</v>
      </c>
      <c r="H977">
        <v>21</v>
      </c>
      <c r="I977" t="s">
        <v>14</v>
      </c>
      <c r="J977" t="str">
        <f>_xlfn.XLOOKUP(C977,'product_masterlist(ifs)'!A:A,'product_masterlist(ifs)'!C:C,"N/A",0)</f>
        <v>Contact Lenses</v>
      </c>
      <c r="K977">
        <f>VLOOKUP(C977,'product_masterlist(ifs)'!A:I,7,FALSE)</f>
        <v>120</v>
      </c>
    </row>
    <row r="978" spans="1:11" x14ac:dyDescent="0.35">
      <c r="A978" t="s">
        <v>1258</v>
      </c>
      <c r="B978" s="1">
        <v>45722</v>
      </c>
      <c r="C978" t="s">
        <v>11</v>
      </c>
      <c r="D978">
        <v>12</v>
      </c>
      <c r="E978" t="s">
        <v>20</v>
      </c>
      <c r="F978" t="s">
        <v>23</v>
      </c>
      <c r="G978">
        <v>1020</v>
      </c>
      <c r="H978">
        <v>30</v>
      </c>
      <c r="I978" t="s">
        <v>14</v>
      </c>
      <c r="J978" t="str">
        <f>_xlfn.XLOOKUP(C978,'product_masterlist(ifs)'!A:A,'product_masterlist(ifs)'!C:C,"N/A",0)</f>
        <v>Surgical</v>
      </c>
      <c r="K978">
        <f>VLOOKUP(C978,'product_masterlist(ifs)'!A:I,7,FALSE)</f>
        <v>40</v>
      </c>
    </row>
    <row r="979" spans="1:11" x14ac:dyDescent="0.35">
      <c r="A979" t="s">
        <v>1259</v>
      </c>
      <c r="B979" s="1">
        <v>45720</v>
      </c>
      <c r="C979" t="s">
        <v>11</v>
      </c>
      <c r="D979">
        <v>21</v>
      </c>
      <c r="E979" t="s">
        <v>22</v>
      </c>
      <c r="F979" t="s">
        <v>23</v>
      </c>
      <c r="G979">
        <v>1785</v>
      </c>
      <c r="H979">
        <v>30</v>
      </c>
      <c r="I979" t="s">
        <v>14</v>
      </c>
      <c r="J979" t="str">
        <f>_xlfn.XLOOKUP(C979,'product_masterlist(ifs)'!A:A,'product_masterlist(ifs)'!C:C,"N/A",0)</f>
        <v>Surgical</v>
      </c>
      <c r="K979">
        <f>VLOOKUP(C979,'product_masterlist(ifs)'!A:I,7,FALSE)</f>
        <v>40</v>
      </c>
    </row>
    <row r="980" spans="1:11" x14ac:dyDescent="0.35">
      <c r="A980" t="s">
        <v>1260</v>
      </c>
      <c r="B980" t="s">
        <v>901</v>
      </c>
      <c r="C980" t="s">
        <v>17</v>
      </c>
      <c r="D980">
        <v>10</v>
      </c>
      <c r="E980" t="s">
        <v>37</v>
      </c>
      <c r="F980" t="s">
        <v>13</v>
      </c>
      <c r="G980">
        <v>450</v>
      </c>
      <c r="H980">
        <v>30</v>
      </c>
      <c r="I980" t="s">
        <v>14</v>
      </c>
      <c r="J980" t="str">
        <f>_xlfn.XLOOKUP(C980,'product_masterlist(ifs)'!A:A,'product_masterlist(ifs)'!C:C,"N/A",0)</f>
        <v>Frames</v>
      </c>
      <c r="K980">
        <f>VLOOKUP(C980,'product_masterlist(ifs)'!A:I,7,FALSE)</f>
        <v>45</v>
      </c>
    </row>
    <row r="981" spans="1:11" x14ac:dyDescent="0.35">
      <c r="A981" t="s">
        <v>1261</v>
      </c>
      <c r="B981" s="1">
        <v>45994</v>
      </c>
      <c r="C981" t="s">
        <v>90</v>
      </c>
      <c r="D981">
        <v>3</v>
      </c>
      <c r="E981" t="s">
        <v>12</v>
      </c>
      <c r="F981" t="s">
        <v>23</v>
      </c>
      <c r="G981" t="s">
        <v>375</v>
      </c>
      <c r="H981">
        <v>30</v>
      </c>
      <c r="I981" t="s">
        <v>14</v>
      </c>
      <c r="J981" t="str">
        <f>_xlfn.XLOOKUP(C981,'product_masterlist(ifs)'!A:A,'product_masterlist(ifs)'!C:C,"N/A",0)</f>
        <v>Frames</v>
      </c>
      <c r="K981">
        <f>VLOOKUP(C981,'product_masterlist(ifs)'!A:I,7,FALSE)</f>
        <v>180</v>
      </c>
    </row>
    <row r="982" spans="1:11" x14ac:dyDescent="0.35">
      <c r="A982" t="s">
        <v>1262</v>
      </c>
      <c r="B982" t="s">
        <v>115</v>
      </c>
      <c r="C982" t="s">
        <v>42</v>
      </c>
      <c r="D982">
        <v>15</v>
      </c>
      <c r="E982" t="s">
        <v>12</v>
      </c>
      <c r="F982" t="s">
        <v>18</v>
      </c>
      <c r="G982">
        <v>375</v>
      </c>
      <c r="H982">
        <v>21</v>
      </c>
      <c r="I982" t="s">
        <v>14</v>
      </c>
      <c r="J982" t="str">
        <f>_xlfn.XLOOKUP(C982,'product_masterlist(ifs)'!A:A,'product_masterlist(ifs)'!C:C,"N/A",0)</f>
        <v>Contact Lenses</v>
      </c>
      <c r="K982">
        <f>VLOOKUP(C982,'product_masterlist(ifs)'!A:I,7,FALSE)</f>
        <v>120</v>
      </c>
    </row>
    <row r="983" spans="1:11" x14ac:dyDescent="0.35">
      <c r="A983" t="s">
        <v>1263</v>
      </c>
      <c r="B983" s="1">
        <v>45969</v>
      </c>
      <c r="C983" t="s">
        <v>17</v>
      </c>
      <c r="D983">
        <v>7</v>
      </c>
      <c r="E983" t="s">
        <v>37</v>
      </c>
      <c r="F983" t="s">
        <v>31</v>
      </c>
      <c r="G983">
        <v>315</v>
      </c>
      <c r="H983">
        <v>30</v>
      </c>
      <c r="I983" t="s">
        <v>14</v>
      </c>
      <c r="J983" t="str">
        <f>_xlfn.XLOOKUP(C983,'product_masterlist(ifs)'!A:A,'product_masterlist(ifs)'!C:C,"N/A",0)</f>
        <v>Frames</v>
      </c>
      <c r="K983">
        <f>VLOOKUP(C983,'product_masterlist(ifs)'!A:I,7,FALSE)</f>
        <v>45</v>
      </c>
    </row>
    <row r="984" spans="1:11" x14ac:dyDescent="0.35">
      <c r="A984" t="s">
        <v>1264</v>
      </c>
      <c r="B984" t="s">
        <v>920</v>
      </c>
      <c r="C984" t="s">
        <v>33</v>
      </c>
      <c r="D984">
        <v>18</v>
      </c>
      <c r="E984" t="s">
        <v>12</v>
      </c>
      <c r="F984" t="s">
        <v>13</v>
      </c>
      <c r="G984">
        <v>2700</v>
      </c>
      <c r="H984">
        <v>45</v>
      </c>
      <c r="I984" t="s">
        <v>34</v>
      </c>
      <c r="J984" t="str">
        <f>_xlfn.XLOOKUP(C984,'product_masterlist(ifs)'!A:A,'product_masterlist(ifs)'!C:C,"N/A",0)</f>
        <v>Surgical</v>
      </c>
      <c r="K984">
        <f>VLOOKUP(C984,'product_masterlist(ifs)'!A:I,7,FALSE)</f>
        <v>15</v>
      </c>
    </row>
    <row r="985" spans="1:11" x14ac:dyDescent="0.35">
      <c r="A985" t="s">
        <v>1265</v>
      </c>
      <c r="B985" t="s">
        <v>419</v>
      </c>
      <c r="C985" t="s">
        <v>42</v>
      </c>
      <c r="D985">
        <v>19</v>
      </c>
      <c r="E985" t="s">
        <v>22</v>
      </c>
      <c r="F985" t="s">
        <v>13</v>
      </c>
      <c r="G985">
        <v>475</v>
      </c>
      <c r="H985">
        <v>21</v>
      </c>
      <c r="I985" t="s">
        <v>14</v>
      </c>
      <c r="J985" t="str">
        <f>_xlfn.XLOOKUP(C985,'product_masterlist(ifs)'!A:A,'product_masterlist(ifs)'!C:C,"N/A",0)</f>
        <v>Contact Lenses</v>
      </c>
      <c r="K985">
        <f>VLOOKUP(C985,'product_masterlist(ifs)'!A:I,7,FALSE)</f>
        <v>120</v>
      </c>
    </row>
    <row r="986" spans="1:11" x14ac:dyDescent="0.35">
      <c r="A986" t="s">
        <v>1266</v>
      </c>
      <c r="B986" t="s">
        <v>199</v>
      </c>
      <c r="C986" t="s">
        <v>42</v>
      </c>
      <c r="D986">
        <v>19</v>
      </c>
      <c r="E986" t="s">
        <v>12</v>
      </c>
      <c r="F986" t="s">
        <v>31</v>
      </c>
      <c r="G986">
        <v>475</v>
      </c>
      <c r="H986">
        <v>21</v>
      </c>
      <c r="I986" t="s">
        <v>14</v>
      </c>
      <c r="J986" t="str">
        <f>_xlfn.XLOOKUP(C986,'product_masterlist(ifs)'!A:A,'product_masterlist(ifs)'!C:C,"N/A",0)</f>
        <v>Contact Lenses</v>
      </c>
      <c r="K986">
        <f>VLOOKUP(C986,'product_masterlist(ifs)'!A:I,7,FALSE)</f>
        <v>120</v>
      </c>
    </row>
    <row r="987" spans="1:11" x14ac:dyDescent="0.35">
      <c r="A987" t="s">
        <v>1267</v>
      </c>
      <c r="B987" s="1">
        <v>46001</v>
      </c>
      <c r="C987" t="s">
        <v>33</v>
      </c>
      <c r="D987">
        <v>17</v>
      </c>
      <c r="E987" t="s">
        <v>12</v>
      </c>
      <c r="F987" t="s">
        <v>23</v>
      </c>
      <c r="G987">
        <v>2550</v>
      </c>
      <c r="H987">
        <v>45</v>
      </c>
      <c r="I987" t="s">
        <v>34</v>
      </c>
      <c r="J987" t="str">
        <f>_xlfn.XLOOKUP(C987,'product_masterlist(ifs)'!A:A,'product_masterlist(ifs)'!C:C,"N/A",0)</f>
        <v>Surgical</v>
      </c>
      <c r="K987">
        <f>VLOOKUP(C987,'product_masterlist(ifs)'!A:I,7,FALSE)</f>
        <v>15</v>
      </c>
    </row>
    <row r="988" spans="1:11" x14ac:dyDescent="0.35">
      <c r="A988" t="s">
        <v>1268</v>
      </c>
      <c r="B988" s="1">
        <v>45939</v>
      </c>
      <c r="C988" t="s">
        <v>53</v>
      </c>
      <c r="D988">
        <v>21</v>
      </c>
      <c r="E988" t="s">
        <v>37</v>
      </c>
      <c r="F988" t="s">
        <v>23</v>
      </c>
      <c r="G988" t="s">
        <v>197</v>
      </c>
      <c r="H988">
        <v>7</v>
      </c>
      <c r="I988" t="s">
        <v>28</v>
      </c>
      <c r="J988" t="str">
        <f>_xlfn.XLOOKUP(C988,'product_masterlist(ifs)'!A:A,'product_masterlist(ifs)'!C:C,"N/A",0)</f>
        <v>Solutions</v>
      </c>
      <c r="K988">
        <f>VLOOKUP(C988,'product_masterlist(ifs)'!A:I,7,FALSE)</f>
        <v>800</v>
      </c>
    </row>
    <row r="989" spans="1:11" x14ac:dyDescent="0.35">
      <c r="A989" t="s">
        <v>1269</v>
      </c>
      <c r="B989" t="s">
        <v>550</v>
      </c>
      <c r="C989" t="s">
        <v>26</v>
      </c>
      <c r="D989">
        <v>10</v>
      </c>
      <c r="E989" t="s">
        <v>12</v>
      </c>
      <c r="F989" t="s">
        <v>23</v>
      </c>
      <c r="G989">
        <v>125</v>
      </c>
      <c r="H989">
        <v>14</v>
      </c>
      <c r="I989" t="s">
        <v>28</v>
      </c>
      <c r="J989" t="str">
        <f>_xlfn.XLOOKUP(C989,'product_masterlist(ifs)'!A:A,'product_masterlist(ifs)'!C:C,"N/A",0)</f>
        <v>Contact Lenses</v>
      </c>
      <c r="K989">
        <f>VLOOKUP(C989,'product_masterlist(ifs)'!A:I,7,FALSE)</f>
        <v>450</v>
      </c>
    </row>
    <row r="990" spans="1:11" x14ac:dyDescent="0.35">
      <c r="A990" t="s">
        <v>1270</v>
      </c>
      <c r="B990" t="s">
        <v>706</v>
      </c>
      <c r="C990" t="s">
        <v>26</v>
      </c>
      <c r="D990">
        <v>10</v>
      </c>
      <c r="E990" t="s">
        <v>20</v>
      </c>
      <c r="F990" t="s">
        <v>13</v>
      </c>
      <c r="G990">
        <v>125</v>
      </c>
      <c r="H990">
        <v>14</v>
      </c>
      <c r="I990" t="s">
        <v>28</v>
      </c>
      <c r="J990" t="str">
        <f>_xlfn.XLOOKUP(C990,'product_masterlist(ifs)'!A:A,'product_masterlist(ifs)'!C:C,"N/A",0)</f>
        <v>Contact Lenses</v>
      </c>
      <c r="K990">
        <f>VLOOKUP(C990,'product_masterlist(ifs)'!A:I,7,FALSE)</f>
        <v>450</v>
      </c>
    </row>
    <row r="991" spans="1:11" x14ac:dyDescent="0.35">
      <c r="A991" t="s">
        <v>1271</v>
      </c>
      <c r="B991" s="1">
        <v>45690</v>
      </c>
      <c r="C991" t="s">
        <v>11</v>
      </c>
      <c r="D991">
        <v>1</v>
      </c>
      <c r="E991" t="s">
        <v>22</v>
      </c>
      <c r="F991" t="s">
        <v>23</v>
      </c>
      <c r="G991">
        <v>85</v>
      </c>
      <c r="H991">
        <v>30</v>
      </c>
      <c r="I991" t="s">
        <v>14</v>
      </c>
      <c r="J991" t="str">
        <f>_xlfn.XLOOKUP(C991,'product_masterlist(ifs)'!A:A,'product_masterlist(ifs)'!C:C,"N/A",0)</f>
        <v>Surgical</v>
      </c>
      <c r="K991">
        <f>VLOOKUP(C991,'product_masterlist(ifs)'!A:I,7,FALSE)</f>
        <v>40</v>
      </c>
    </row>
    <row r="992" spans="1:11" x14ac:dyDescent="0.35">
      <c r="A992" t="s">
        <v>1272</v>
      </c>
      <c r="B992" s="1">
        <v>45660</v>
      </c>
      <c r="C992" t="s">
        <v>33</v>
      </c>
      <c r="D992">
        <v>8</v>
      </c>
      <c r="E992" t="s">
        <v>37</v>
      </c>
      <c r="F992" t="s">
        <v>23</v>
      </c>
      <c r="G992">
        <v>1200</v>
      </c>
      <c r="H992">
        <v>45</v>
      </c>
      <c r="I992" t="s">
        <v>34</v>
      </c>
      <c r="J992" t="str">
        <f>_xlfn.XLOOKUP(C992,'product_masterlist(ifs)'!A:A,'product_masterlist(ifs)'!C:C,"N/A",0)</f>
        <v>Surgical</v>
      </c>
      <c r="K992">
        <f>VLOOKUP(C992,'product_masterlist(ifs)'!A:I,7,FALSE)</f>
        <v>15</v>
      </c>
    </row>
    <row r="993" spans="1:11" x14ac:dyDescent="0.35">
      <c r="A993" t="s">
        <v>1273</v>
      </c>
      <c r="B993" s="1">
        <v>45759</v>
      </c>
      <c r="C993" t="s">
        <v>33</v>
      </c>
      <c r="D993">
        <v>9</v>
      </c>
      <c r="E993" t="s">
        <v>22</v>
      </c>
      <c r="F993" t="s">
        <v>31</v>
      </c>
      <c r="G993">
        <v>1350</v>
      </c>
      <c r="H993">
        <v>45</v>
      </c>
      <c r="I993" t="s">
        <v>34</v>
      </c>
      <c r="J993" t="str">
        <f>_xlfn.XLOOKUP(C993,'product_masterlist(ifs)'!A:A,'product_masterlist(ifs)'!C:C,"N/A",0)</f>
        <v>Surgical</v>
      </c>
      <c r="K993">
        <f>VLOOKUP(C993,'product_masterlist(ifs)'!A:I,7,FALSE)</f>
        <v>15</v>
      </c>
    </row>
    <row r="994" spans="1:11" x14ac:dyDescent="0.35">
      <c r="A994" t="s">
        <v>1274</v>
      </c>
      <c r="B994" s="1">
        <v>45815</v>
      </c>
      <c r="C994" t="s">
        <v>90</v>
      </c>
      <c r="D994">
        <v>24</v>
      </c>
      <c r="E994" t="s">
        <v>12</v>
      </c>
      <c r="F994" t="s">
        <v>31</v>
      </c>
      <c r="G994">
        <v>1164</v>
      </c>
      <c r="H994">
        <v>30</v>
      </c>
      <c r="I994" t="s">
        <v>14</v>
      </c>
      <c r="J994" t="str">
        <f>_xlfn.XLOOKUP(C994,'product_masterlist(ifs)'!A:A,'product_masterlist(ifs)'!C:C,"N/A",0)</f>
        <v>Frames</v>
      </c>
      <c r="K994">
        <f>VLOOKUP(C994,'product_masterlist(ifs)'!A:I,7,FALSE)</f>
        <v>180</v>
      </c>
    </row>
    <row r="995" spans="1:11" x14ac:dyDescent="0.35">
      <c r="A995" t="s">
        <v>1275</v>
      </c>
      <c r="B995" s="1">
        <v>45936</v>
      </c>
      <c r="C995" t="s">
        <v>90</v>
      </c>
      <c r="D995">
        <v>9</v>
      </c>
      <c r="E995" t="s">
        <v>12</v>
      </c>
      <c r="F995" t="s">
        <v>23</v>
      </c>
      <c r="G995" t="s">
        <v>91</v>
      </c>
      <c r="H995">
        <v>30</v>
      </c>
      <c r="I995" t="s">
        <v>14</v>
      </c>
      <c r="J995" t="str">
        <f>_xlfn.XLOOKUP(C995,'product_masterlist(ifs)'!A:A,'product_masterlist(ifs)'!C:C,"N/A",0)</f>
        <v>Frames</v>
      </c>
      <c r="K995">
        <f>VLOOKUP(C995,'product_masterlist(ifs)'!A:I,7,FALSE)</f>
        <v>180</v>
      </c>
    </row>
    <row r="996" spans="1:11" x14ac:dyDescent="0.35">
      <c r="A996" t="s">
        <v>1276</v>
      </c>
      <c r="B996" t="s">
        <v>58</v>
      </c>
      <c r="C996" t="s">
        <v>11</v>
      </c>
      <c r="D996">
        <v>10</v>
      </c>
      <c r="E996" t="s">
        <v>12</v>
      </c>
      <c r="F996" t="s">
        <v>23</v>
      </c>
      <c r="G996">
        <v>850</v>
      </c>
      <c r="H996">
        <v>30</v>
      </c>
      <c r="I996" t="s">
        <v>14</v>
      </c>
      <c r="J996" t="str">
        <f>_xlfn.XLOOKUP(C996,'product_masterlist(ifs)'!A:A,'product_masterlist(ifs)'!C:C,"N/A",0)</f>
        <v>Surgical</v>
      </c>
      <c r="K996">
        <f>VLOOKUP(C996,'product_masterlist(ifs)'!A:I,7,FALSE)</f>
        <v>40</v>
      </c>
    </row>
    <row r="997" spans="1:11" x14ac:dyDescent="0.35">
      <c r="A997" t="s">
        <v>1277</v>
      </c>
      <c r="B997" s="1">
        <v>45778</v>
      </c>
      <c r="C997" t="s">
        <v>11</v>
      </c>
      <c r="D997">
        <v>15</v>
      </c>
      <c r="E997" t="s">
        <v>12</v>
      </c>
      <c r="F997" t="s">
        <v>13</v>
      </c>
      <c r="G997">
        <v>1275</v>
      </c>
      <c r="H997">
        <v>30</v>
      </c>
      <c r="I997" t="s">
        <v>14</v>
      </c>
      <c r="J997" t="str">
        <f>_xlfn.XLOOKUP(C997,'product_masterlist(ifs)'!A:A,'product_masterlist(ifs)'!C:C,"N/A",0)</f>
        <v>Surgical</v>
      </c>
      <c r="K997">
        <f>VLOOKUP(C997,'product_masterlist(ifs)'!A:I,7,FALSE)</f>
        <v>40</v>
      </c>
    </row>
    <row r="998" spans="1:11" x14ac:dyDescent="0.35">
      <c r="A998" t="s">
        <v>1278</v>
      </c>
      <c r="B998" s="1">
        <v>45783</v>
      </c>
      <c r="C998" t="s">
        <v>11</v>
      </c>
      <c r="D998">
        <v>24</v>
      </c>
      <c r="E998" t="s">
        <v>20</v>
      </c>
      <c r="F998" t="s">
        <v>23</v>
      </c>
      <c r="G998">
        <v>2040</v>
      </c>
      <c r="H998">
        <v>30</v>
      </c>
      <c r="I998" t="s">
        <v>14</v>
      </c>
      <c r="J998" t="str">
        <f>_xlfn.XLOOKUP(C998,'product_masterlist(ifs)'!A:A,'product_masterlist(ifs)'!C:C,"N/A",0)</f>
        <v>Surgical</v>
      </c>
      <c r="K998">
        <f>VLOOKUP(C998,'product_masterlist(ifs)'!A:I,7,FALSE)</f>
        <v>40</v>
      </c>
    </row>
    <row r="999" spans="1:11" x14ac:dyDescent="0.35">
      <c r="A999" t="s">
        <v>1279</v>
      </c>
      <c r="B999" t="s">
        <v>108</v>
      </c>
      <c r="C999" t="s">
        <v>33</v>
      </c>
      <c r="D999">
        <v>1</v>
      </c>
      <c r="E999" t="s">
        <v>37</v>
      </c>
      <c r="F999" t="s">
        <v>13</v>
      </c>
      <c r="G999">
        <v>150</v>
      </c>
      <c r="H999">
        <v>45</v>
      </c>
      <c r="I999" t="s">
        <v>34</v>
      </c>
      <c r="J999" t="str">
        <f>_xlfn.XLOOKUP(C999,'product_masterlist(ifs)'!A:A,'product_masterlist(ifs)'!C:C,"N/A",0)</f>
        <v>Surgical</v>
      </c>
      <c r="K999">
        <f>VLOOKUP(C999,'product_masterlist(ifs)'!A:I,7,FALSE)</f>
        <v>15</v>
      </c>
    </row>
    <row r="1000" spans="1:11" x14ac:dyDescent="0.35">
      <c r="A1000" t="s">
        <v>1280</v>
      </c>
      <c r="B1000" t="s">
        <v>364</v>
      </c>
      <c r="C1000" t="s">
        <v>26</v>
      </c>
      <c r="D1000">
        <v>4</v>
      </c>
      <c r="E1000" t="s">
        <v>12</v>
      </c>
      <c r="F1000" t="s">
        <v>23</v>
      </c>
      <c r="G1000">
        <v>50</v>
      </c>
      <c r="H1000">
        <v>14</v>
      </c>
      <c r="I1000" t="s">
        <v>28</v>
      </c>
      <c r="J1000" t="str">
        <f>_xlfn.XLOOKUP(C1000,'product_masterlist(ifs)'!A:A,'product_masterlist(ifs)'!C:C,"N/A",0)</f>
        <v>Contact Lenses</v>
      </c>
      <c r="K1000">
        <f>VLOOKUP(C1000,'product_masterlist(ifs)'!A:I,7,FALSE)</f>
        <v>450</v>
      </c>
    </row>
    <row r="1001" spans="1:11" x14ac:dyDescent="0.35">
      <c r="A1001" t="s">
        <v>1281</v>
      </c>
      <c r="B1001" t="s">
        <v>16</v>
      </c>
      <c r="C1001" t="s">
        <v>26</v>
      </c>
      <c r="D1001">
        <v>2</v>
      </c>
      <c r="E1001" t="s">
        <v>20</v>
      </c>
      <c r="F1001" t="s">
        <v>13</v>
      </c>
      <c r="G1001">
        <v>25</v>
      </c>
      <c r="H1001">
        <v>14</v>
      </c>
      <c r="I1001" t="s">
        <v>28</v>
      </c>
      <c r="J1001" t="str">
        <f>_xlfn.XLOOKUP(C1001,'product_masterlist(ifs)'!A:A,'product_masterlist(ifs)'!C:C,"N/A",0)</f>
        <v>Contact Lenses</v>
      </c>
      <c r="K1001">
        <f>VLOOKUP(C1001,'product_masterlist(ifs)'!A:I,7,FALSE)</f>
        <v>450</v>
      </c>
    </row>
    <row r="1002" spans="1:11" x14ac:dyDescent="0.35">
      <c r="A1002" t="s">
        <v>1282</v>
      </c>
      <c r="B1002" t="s">
        <v>747</v>
      </c>
      <c r="C1002" t="s">
        <v>42</v>
      </c>
      <c r="D1002">
        <v>7</v>
      </c>
      <c r="E1002" t="s">
        <v>22</v>
      </c>
      <c r="F1002" t="s">
        <v>18</v>
      </c>
      <c r="G1002">
        <v>175</v>
      </c>
      <c r="H1002">
        <v>21</v>
      </c>
      <c r="I1002" t="s">
        <v>14</v>
      </c>
      <c r="J1002" t="str">
        <f>_xlfn.XLOOKUP(C1002,'product_masterlist(ifs)'!A:A,'product_masterlist(ifs)'!C:C,"N/A",0)</f>
        <v>Contact Lenses</v>
      </c>
      <c r="K1002">
        <f>VLOOKUP(C1002,'product_masterlist(ifs)'!A:I,7,FALSE)</f>
        <v>120</v>
      </c>
    </row>
    <row r="1003" spans="1:11" x14ac:dyDescent="0.35">
      <c r="A1003" t="s">
        <v>1283</v>
      </c>
      <c r="B1003" t="s">
        <v>255</v>
      </c>
      <c r="C1003" t="s">
        <v>26</v>
      </c>
      <c r="D1003">
        <v>2</v>
      </c>
      <c r="E1003" t="s">
        <v>37</v>
      </c>
      <c r="F1003" t="s">
        <v>23</v>
      </c>
      <c r="G1003">
        <v>25</v>
      </c>
      <c r="H1003">
        <v>14</v>
      </c>
      <c r="I1003" t="s">
        <v>28</v>
      </c>
      <c r="J1003" t="str">
        <f>_xlfn.XLOOKUP(C1003,'product_masterlist(ifs)'!A:A,'product_masterlist(ifs)'!C:C,"N/A",0)</f>
        <v>Contact Lenses</v>
      </c>
      <c r="K1003">
        <f>VLOOKUP(C1003,'product_masterlist(ifs)'!A:I,7,FALSE)</f>
        <v>450</v>
      </c>
    </row>
    <row r="1004" spans="1:11" x14ac:dyDescent="0.35">
      <c r="A1004" t="s">
        <v>1284</v>
      </c>
      <c r="B1004" t="s">
        <v>575</v>
      </c>
      <c r="C1004" t="s">
        <v>90</v>
      </c>
      <c r="D1004">
        <v>14</v>
      </c>
      <c r="E1004" t="s">
        <v>37</v>
      </c>
      <c r="F1004" t="s">
        <v>13</v>
      </c>
      <c r="G1004">
        <v>679</v>
      </c>
      <c r="H1004">
        <v>30</v>
      </c>
      <c r="I1004" t="s">
        <v>14</v>
      </c>
      <c r="J1004" t="str">
        <f>_xlfn.XLOOKUP(C1004,'product_masterlist(ifs)'!A:A,'product_masterlist(ifs)'!C:C,"N/A",0)</f>
        <v>Frames</v>
      </c>
      <c r="K1004">
        <f>VLOOKUP(C1004,'product_masterlist(ifs)'!A:I,7,FALSE)</f>
        <v>180</v>
      </c>
    </row>
    <row r="1005" spans="1:11" x14ac:dyDescent="0.35">
      <c r="A1005" t="s">
        <v>1285</v>
      </c>
      <c r="B1005" s="1">
        <v>45993</v>
      </c>
      <c r="C1005" t="s">
        <v>11</v>
      </c>
      <c r="D1005">
        <v>1</v>
      </c>
      <c r="E1005" t="s">
        <v>12</v>
      </c>
      <c r="F1005" t="s">
        <v>13</v>
      </c>
      <c r="G1005">
        <v>85</v>
      </c>
      <c r="H1005">
        <v>30</v>
      </c>
      <c r="I1005" t="s">
        <v>14</v>
      </c>
      <c r="J1005" t="str">
        <f>_xlfn.XLOOKUP(C1005,'product_masterlist(ifs)'!A:A,'product_masterlist(ifs)'!C:C,"N/A",0)</f>
        <v>Surgical</v>
      </c>
      <c r="K1005">
        <f>VLOOKUP(C1005,'product_masterlist(ifs)'!A:I,7,FALSE)</f>
        <v>40</v>
      </c>
    </row>
    <row r="1006" spans="1:11" x14ac:dyDescent="0.35">
      <c r="A1006" t="s">
        <v>1286</v>
      </c>
      <c r="B1006" s="1">
        <v>45752</v>
      </c>
      <c r="C1006" t="s">
        <v>17</v>
      </c>
      <c r="D1006">
        <v>25</v>
      </c>
      <c r="E1006" t="s">
        <v>12</v>
      </c>
      <c r="F1006" t="s">
        <v>23</v>
      </c>
      <c r="G1006">
        <v>1125</v>
      </c>
      <c r="H1006">
        <v>30</v>
      </c>
      <c r="I1006" t="s">
        <v>14</v>
      </c>
      <c r="J1006" t="str">
        <f>_xlfn.XLOOKUP(C1006,'product_masterlist(ifs)'!A:A,'product_masterlist(ifs)'!C:C,"N/A",0)</f>
        <v>Frames</v>
      </c>
      <c r="K1006">
        <f>VLOOKUP(C1006,'product_masterlist(ifs)'!A:I,7,FALSE)</f>
        <v>45</v>
      </c>
    </row>
    <row r="1007" spans="1:11" x14ac:dyDescent="0.35">
      <c r="A1007" t="s">
        <v>1287</v>
      </c>
      <c r="B1007" t="s">
        <v>10</v>
      </c>
      <c r="C1007" t="s">
        <v>26</v>
      </c>
      <c r="D1007">
        <v>18</v>
      </c>
      <c r="E1007" t="s">
        <v>20</v>
      </c>
      <c r="F1007" t="s">
        <v>13</v>
      </c>
      <c r="G1007">
        <v>225</v>
      </c>
      <c r="H1007">
        <v>14</v>
      </c>
      <c r="I1007" t="s">
        <v>28</v>
      </c>
      <c r="J1007" t="str">
        <f>_xlfn.XLOOKUP(C1007,'product_masterlist(ifs)'!A:A,'product_masterlist(ifs)'!C:C,"N/A",0)</f>
        <v>Contact Lenses</v>
      </c>
      <c r="K1007">
        <f>VLOOKUP(C1007,'product_masterlist(ifs)'!A:I,7,FALSE)</f>
        <v>450</v>
      </c>
    </row>
    <row r="1008" spans="1:11" x14ac:dyDescent="0.35">
      <c r="A1008" t="s">
        <v>1288</v>
      </c>
      <c r="B1008" t="s">
        <v>115</v>
      </c>
      <c r="C1008" t="s">
        <v>11</v>
      </c>
      <c r="D1008">
        <v>5</v>
      </c>
      <c r="E1008" t="s">
        <v>12</v>
      </c>
      <c r="F1008" t="s">
        <v>23</v>
      </c>
      <c r="G1008">
        <v>425</v>
      </c>
      <c r="H1008">
        <v>30</v>
      </c>
      <c r="I1008" t="s">
        <v>14</v>
      </c>
      <c r="J1008" t="str">
        <f>_xlfn.XLOOKUP(C1008,'product_masterlist(ifs)'!A:A,'product_masterlist(ifs)'!C:C,"N/A",0)</f>
        <v>Surgical</v>
      </c>
      <c r="K1008">
        <f>VLOOKUP(C1008,'product_masterlist(ifs)'!A:I,7,FALSE)</f>
        <v>40</v>
      </c>
    </row>
    <row r="1009" spans="1:11" x14ac:dyDescent="0.35">
      <c r="A1009" t="s">
        <v>1289</v>
      </c>
      <c r="B1009" t="s">
        <v>100</v>
      </c>
      <c r="C1009" t="s">
        <v>33</v>
      </c>
      <c r="D1009">
        <v>24</v>
      </c>
      <c r="E1009" t="s">
        <v>20</v>
      </c>
      <c r="F1009" t="s">
        <v>18</v>
      </c>
      <c r="G1009">
        <v>3600</v>
      </c>
      <c r="H1009">
        <v>45</v>
      </c>
      <c r="I1009" t="s">
        <v>34</v>
      </c>
      <c r="J1009" t="str">
        <f>_xlfn.XLOOKUP(C1009,'product_masterlist(ifs)'!A:A,'product_masterlist(ifs)'!C:C,"N/A",0)</f>
        <v>Surgical</v>
      </c>
      <c r="K1009">
        <f>VLOOKUP(C1009,'product_masterlist(ifs)'!A:I,7,FALSE)</f>
        <v>15</v>
      </c>
    </row>
    <row r="1010" spans="1:11" x14ac:dyDescent="0.35">
      <c r="A1010" t="s">
        <v>1290</v>
      </c>
      <c r="B1010" t="s">
        <v>214</v>
      </c>
      <c r="C1010" t="s">
        <v>53</v>
      </c>
      <c r="D1010">
        <v>18</v>
      </c>
      <c r="E1010" t="s">
        <v>20</v>
      </c>
      <c r="F1010" t="s">
        <v>31</v>
      </c>
      <c r="G1010" t="s">
        <v>336</v>
      </c>
      <c r="H1010">
        <v>7</v>
      </c>
      <c r="I1010" t="s">
        <v>28</v>
      </c>
      <c r="J1010" t="str">
        <f>_xlfn.XLOOKUP(C1010,'product_masterlist(ifs)'!A:A,'product_masterlist(ifs)'!C:C,"N/A",0)</f>
        <v>Solutions</v>
      </c>
      <c r="K1010">
        <f>VLOOKUP(C1010,'product_masterlist(ifs)'!A:I,7,FALSE)</f>
        <v>800</v>
      </c>
    </row>
    <row r="1011" spans="1:11" x14ac:dyDescent="0.35">
      <c r="A1011" t="s">
        <v>1291</v>
      </c>
      <c r="B1011" t="s">
        <v>561</v>
      </c>
      <c r="C1011" t="s">
        <v>26</v>
      </c>
      <c r="D1011">
        <v>3</v>
      </c>
      <c r="E1011" t="s">
        <v>37</v>
      </c>
      <c r="F1011" t="s">
        <v>18</v>
      </c>
      <c r="G1011" t="s">
        <v>40</v>
      </c>
      <c r="H1011">
        <v>14</v>
      </c>
      <c r="I1011" t="s">
        <v>28</v>
      </c>
      <c r="J1011" t="str">
        <f>_xlfn.XLOOKUP(C1011,'product_masterlist(ifs)'!A:A,'product_masterlist(ifs)'!C:C,"N/A",0)</f>
        <v>Contact Lenses</v>
      </c>
      <c r="K1011">
        <f>VLOOKUP(C1011,'product_masterlist(ifs)'!A:I,7,FALSE)</f>
        <v>450</v>
      </c>
    </row>
    <row r="1012" spans="1:11" x14ac:dyDescent="0.35">
      <c r="A1012" t="s">
        <v>1292</v>
      </c>
      <c r="B1012" t="s">
        <v>298</v>
      </c>
      <c r="C1012" t="s">
        <v>42</v>
      </c>
      <c r="D1012">
        <v>1</v>
      </c>
      <c r="E1012" t="s">
        <v>20</v>
      </c>
      <c r="F1012" t="s">
        <v>31</v>
      </c>
      <c r="G1012">
        <v>25</v>
      </c>
      <c r="H1012">
        <v>21</v>
      </c>
      <c r="I1012" t="s">
        <v>14</v>
      </c>
      <c r="J1012" t="str">
        <f>_xlfn.XLOOKUP(C1012,'product_masterlist(ifs)'!A:A,'product_masterlist(ifs)'!C:C,"N/A",0)</f>
        <v>Contact Lenses</v>
      </c>
      <c r="K1012">
        <f>VLOOKUP(C1012,'product_masterlist(ifs)'!A:I,7,FALSE)</f>
        <v>120</v>
      </c>
    </row>
    <row r="1013" spans="1:11" x14ac:dyDescent="0.35">
      <c r="A1013" t="s">
        <v>1293</v>
      </c>
      <c r="B1013" s="1">
        <v>45692</v>
      </c>
      <c r="C1013" t="s">
        <v>42</v>
      </c>
      <c r="D1013">
        <v>18</v>
      </c>
      <c r="E1013" t="s">
        <v>22</v>
      </c>
      <c r="F1013" t="s">
        <v>18</v>
      </c>
      <c r="G1013">
        <v>450</v>
      </c>
      <c r="H1013">
        <v>21</v>
      </c>
      <c r="I1013" t="s">
        <v>14</v>
      </c>
      <c r="J1013" t="str">
        <f>_xlfn.XLOOKUP(C1013,'product_masterlist(ifs)'!A:A,'product_masterlist(ifs)'!C:C,"N/A",0)</f>
        <v>Contact Lenses</v>
      </c>
      <c r="K1013">
        <f>VLOOKUP(C1013,'product_masterlist(ifs)'!A:I,7,FALSE)</f>
        <v>120</v>
      </c>
    </row>
    <row r="1014" spans="1:11" x14ac:dyDescent="0.35">
      <c r="A1014" t="s">
        <v>1294</v>
      </c>
      <c r="B1014" s="1">
        <v>45788</v>
      </c>
      <c r="C1014" t="s">
        <v>90</v>
      </c>
      <c r="D1014">
        <v>8</v>
      </c>
      <c r="E1014" t="s">
        <v>22</v>
      </c>
      <c r="F1014" t="s">
        <v>31</v>
      </c>
      <c r="G1014">
        <v>388</v>
      </c>
      <c r="H1014">
        <v>30</v>
      </c>
      <c r="I1014" t="s">
        <v>14</v>
      </c>
      <c r="J1014" t="str">
        <f>_xlfn.XLOOKUP(C1014,'product_masterlist(ifs)'!A:A,'product_masterlist(ifs)'!C:C,"N/A",0)</f>
        <v>Frames</v>
      </c>
      <c r="K1014">
        <f>VLOOKUP(C1014,'product_masterlist(ifs)'!A:I,7,FALSE)</f>
        <v>180</v>
      </c>
    </row>
    <row r="1015" spans="1:11" x14ac:dyDescent="0.35">
      <c r="A1015" t="s">
        <v>1295</v>
      </c>
      <c r="B1015" t="s">
        <v>506</v>
      </c>
      <c r="C1015" t="s">
        <v>33</v>
      </c>
      <c r="D1015">
        <v>17</v>
      </c>
      <c r="E1015" t="s">
        <v>12</v>
      </c>
      <c r="F1015" t="s">
        <v>13</v>
      </c>
      <c r="G1015">
        <v>2550</v>
      </c>
      <c r="H1015">
        <v>45</v>
      </c>
      <c r="I1015" t="s">
        <v>34</v>
      </c>
      <c r="J1015" t="str">
        <f>_xlfn.XLOOKUP(C1015,'product_masterlist(ifs)'!A:A,'product_masterlist(ifs)'!C:C,"N/A",0)</f>
        <v>Surgical</v>
      </c>
      <c r="K1015">
        <f>VLOOKUP(C1015,'product_masterlist(ifs)'!A:I,7,FALSE)</f>
        <v>15</v>
      </c>
    </row>
    <row r="1016" spans="1:11" x14ac:dyDescent="0.35">
      <c r="A1016" t="s">
        <v>1296</v>
      </c>
      <c r="B1016" t="s">
        <v>797</v>
      </c>
      <c r="C1016" t="s">
        <v>26</v>
      </c>
      <c r="D1016">
        <v>11</v>
      </c>
      <c r="E1016" t="s">
        <v>37</v>
      </c>
      <c r="F1016" t="s">
        <v>31</v>
      </c>
      <c r="G1016" t="s">
        <v>47</v>
      </c>
      <c r="H1016">
        <v>14</v>
      </c>
      <c r="I1016" t="s">
        <v>28</v>
      </c>
      <c r="J1016" t="str">
        <f>_xlfn.XLOOKUP(C1016,'product_masterlist(ifs)'!A:A,'product_masterlist(ifs)'!C:C,"N/A",0)</f>
        <v>Contact Lenses</v>
      </c>
      <c r="K1016">
        <f>VLOOKUP(C1016,'product_masterlist(ifs)'!A:I,7,FALSE)</f>
        <v>450</v>
      </c>
    </row>
    <row r="1017" spans="1:11" x14ac:dyDescent="0.35">
      <c r="A1017" t="s">
        <v>1297</v>
      </c>
      <c r="B1017" s="1">
        <v>45964</v>
      </c>
      <c r="C1017" t="s">
        <v>42</v>
      </c>
      <c r="D1017">
        <v>5</v>
      </c>
      <c r="E1017" t="s">
        <v>20</v>
      </c>
      <c r="F1017" t="s">
        <v>23</v>
      </c>
      <c r="G1017">
        <v>125</v>
      </c>
      <c r="H1017">
        <v>21</v>
      </c>
      <c r="I1017" t="s">
        <v>14</v>
      </c>
      <c r="J1017" t="str">
        <f>_xlfn.XLOOKUP(C1017,'product_masterlist(ifs)'!A:A,'product_masterlist(ifs)'!C:C,"N/A",0)</f>
        <v>Contact Lenses</v>
      </c>
      <c r="K1017">
        <f>VLOOKUP(C1017,'product_masterlist(ifs)'!A:I,7,FALSE)</f>
        <v>120</v>
      </c>
    </row>
    <row r="1018" spans="1:11" x14ac:dyDescent="0.35">
      <c r="A1018" t="s">
        <v>1298</v>
      </c>
      <c r="B1018" t="s">
        <v>395</v>
      </c>
      <c r="C1018" t="s">
        <v>17</v>
      </c>
      <c r="D1018">
        <v>3</v>
      </c>
      <c r="E1018" t="s">
        <v>12</v>
      </c>
      <c r="F1018" t="s">
        <v>31</v>
      </c>
      <c r="G1018">
        <v>135</v>
      </c>
      <c r="H1018">
        <v>30</v>
      </c>
      <c r="I1018" t="s">
        <v>14</v>
      </c>
      <c r="J1018" t="str">
        <f>_xlfn.XLOOKUP(C1018,'product_masterlist(ifs)'!A:A,'product_masterlist(ifs)'!C:C,"N/A",0)</f>
        <v>Frames</v>
      </c>
      <c r="K1018">
        <f>VLOOKUP(C1018,'product_masterlist(ifs)'!A:I,7,FALSE)</f>
        <v>45</v>
      </c>
    </row>
    <row r="1019" spans="1:11" x14ac:dyDescent="0.35">
      <c r="A1019" t="s">
        <v>1299</v>
      </c>
      <c r="B1019" t="s">
        <v>173</v>
      </c>
      <c r="C1019" t="s">
        <v>17</v>
      </c>
      <c r="D1019">
        <v>9</v>
      </c>
      <c r="E1019" t="s">
        <v>12</v>
      </c>
      <c r="F1019" t="s">
        <v>13</v>
      </c>
      <c r="G1019">
        <v>405</v>
      </c>
      <c r="H1019">
        <v>30</v>
      </c>
      <c r="I1019" t="s">
        <v>14</v>
      </c>
      <c r="J1019" t="str">
        <f>_xlfn.XLOOKUP(C1019,'product_masterlist(ifs)'!A:A,'product_masterlist(ifs)'!C:C,"N/A",0)</f>
        <v>Frames</v>
      </c>
      <c r="K1019">
        <f>VLOOKUP(C1019,'product_masterlist(ifs)'!A:I,7,FALSE)</f>
        <v>45</v>
      </c>
    </row>
    <row r="1020" spans="1:11" x14ac:dyDescent="0.35">
      <c r="A1020" t="s">
        <v>1300</v>
      </c>
      <c r="B1020" t="s">
        <v>62</v>
      </c>
      <c r="C1020" t="s">
        <v>11</v>
      </c>
      <c r="D1020">
        <v>7</v>
      </c>
      <c r="E1020" t="s">
        <v>37</v>
      </c>
      <c r="F1020" t="s">
        <v>18</v>
      </c>
      <c r="G1020">
        <v>595</v>
      </c>
      <c r="H1020">
        <v>30</v>
      </c>
      <c r="I1020" t="s">
        <v>14</v>
      </c>
      <c r="J1020" t="str">
        <f>_xlfn.XLOOKUP(C1020,'product_masterlist(ifs)'!A:A,'product_masterlist(ifs)'!C:C,"N/A",0)</f>
        <v>Surgical</v>
      </c>
      <c r="K1020">
        <f>VLOOKUP(C1020,'product_masterlist(ifs)'!A:I,7,FALSE)</f>
        <v>40</v>
      </c>
    </row>
    <row r="1021" spans="1:11" x14ac:dyDescent="0.35">
      <c r="A1021" t="s">
        <v>1301</v>
      </c>
      <c r="B1021" t="s">
        <v>475</v>
      </c>
      <c r="C1021" t="s">
        <v>26</v>
      </c>
      <c r="D1021">
        <v>9</v>
      </c>
      <c r="E1021" t="s">
        <v>37</v>
      </c>
      <c r="F1021" t="s">
        <v>13</v>
      </c>
      <c r="G1021" t="s">
        <v>170</v>
      </c>
      <c r="H1021">
        <v>14</v>
      </c>
      <c r="I1021" t="s">
        <v>28</v>
      </c>
      <c r="J1021" t="str">
        <f>_xlfn.XLOOKUP(C1021,'product_masterlist(ifs)'!A:A,'product_masterlist(ifs)'!C:C,"N/A",0)</f>
        <v>Contact Lenses</v>
      </c>
      <c r="K1021">
        <f>VLOOKUP(C1021,'product_masterlist(ifs)'!A:I,7,FALSE)</f>
        <v>450</v>
      </c>
    </row>
    <row r="1022" spans="1:11" x14ac:dyDescent="0.35">
      <c r="A1022" t="s">
        <v>1302</v>
      </c>
      <c r="B1022" s="1">
        <v>45840</v>
      </c>
      <c r="C1022" t="s">
        <v>11</v>
      </c>
      <c r="D1022">
        <v>21</v>
      </c>
      <c r="E1022" t="s">
        <v>37</v>
      </c>
      <c r="F1022" t="s">
        <v>18</v>
      </c>
      <c r="G1022">
        <v>1785</v>
      </c>
      <c r="H1022">
        <v>30</v>
      </c>
      <c r="I1022" t="s">
        <v>14</v>
      </c>
      <c r="J1022" t="str">
        <f>_xlfn.XLOOKUP(C1022,'product_masterlist(ifs)'!A:A,'product_masterlist(ifs)'!C:C,"N/A",0)</f>
        <v>Surgical</v>
      </c>
      <c r="K1022">
        <f>VLOOKUP(C1022,'product_masterlist(ifs)'!A:I,7,FALSE)</f>
        <v>40</v>
      </c>
    </row>
    <row r="1023" spans="1:11" x14ac:dyDescent="0.35">
      <c r="A1023" t="s">
        <v>1303</v>
      </c>
      <c r="B1023" t="s">
        <v>319</v>
      </c>
      <c r="C1023" t="s">
        <v>53</v>
      </c>
      <c r="D1023">
        <v>22</v>
      </c>
      <c r="E1023" t="s">
        <v>12</v>
      </c>
      <c r="F1023" t="s">
        <v>18</v>
      </c>
      <c r="G1023" t="s">
        <v>176</v>
      </c>
      <c r="H1023">
        <v>7</v>
      </c>
      <c r="I1023" t="s">
        <v>28</v>
      </c>
      <c r="J1023" t="str">
        <f>_xlfn.XLOOKUP(C1023,'product_masterlist(ifs)'!A:A,'product_masterlist(ifs)'!C:C,"N/A",0)</f>
        <v>Solutions</v>
      </c>
      <c r="K1023">
        <f>VLOOKUP(C1023,'product_masterlist(ifs)'!A:I,7,FALSE)</f>
        <v>800</v>
      </c>
    </row>
    <row r="1024" spans="1:11" x14ac:dyDescent="0.35">
      <c r="A1024" t="s">
        <v>1304</v>
      </c>
      <c r="B1024" s="1">
        <v>45663</v>
      </c>
      <c r="C1024" t="s">
        <v>53</v>
      </c>
      <c r="D1024">
        <v>12</v>
      </c>
      <c r="E1024" t="s">
        <v>37</v>
      </c>
      <c r="F1024" t="s">
        <v>18</v>
      </c>
      <c r="G1024">
        <v>51</v>
      </c>
      <c r="H1024">
        <v>7</v>
      </c>
      <c r="I1024" t="s">
        <v>28</v>
      </c>
      <c r="J1024" t="str">
        <f>_xlfn.XLOOKUP(C1024,'product_masterlist(ifs)'!A:A,'product_masterlist(ifs)'!C:C,"N/A",0)</f>
        <v>Solutions</v>
      </c>
      <c r="K1024">
        <f>VLOOKUP(C1024,'product_masterlist(ifs)'!A:I,7,FALSE)</f>
        <v>800</v>
      </c>
    </row>
    <row r="1025" spans="1:11" x14ac:dyDescent="0.35">
      <c r="A1025" t="s">
        <v>1305</v>
      </c>
      <c r="B1025" t="s">
        <v>310</v>
      </c>
      <c r="C1025" t="s">
        <v>90</v>
      </c>
      <c r="D1025">
        <v>25</v>
      </c>
      <c r="E1025" t="s">
        <v>20</v>
      </c>
      <c r="F1025" t="s">
        <v>31</v>
      </c>
      <c r="G1025" t="s">
        <v>308</v>
      </c>
      <c r="H1025">
        <v>30</v>
      </c>
      <c r="I1025" t="s">
        <v>14</v>
      </c>
      <c r="J1025" t="str">
        <f>_xlfn.XLOOKUP(C1025,'product_masterlist(ifs)'!A:A,'product_masterlist(ifs)'!C:C,"N/A",0)</f>
        <v>Frames</v>
      </c>
      <c r="K1025">
        <f>VLOOKUP(C1025,'product_masterlist(ifs)'!A:I,7,FALSE)</f>
        <v>180</v>
      </c>
    </row>
    <row r="1026" spans="1:11" x14ac:dyDescent="0.35">
      <c r="A1026" t="s">
        <v>1306</v>
      </c>
      <c r="B1026" t="s">
        <v>591</v>
      </c>
      <c r="C1026" t="s">
        <v>11</v>
      </c>
      <c r="D1026">
        <v>14</v>
      </c>
      <c r="E1026" t="s">
        <v>22</v>
      </c>
      <c r="F1026" t="s">
        <v>13</v>
      </c>
      <c r="G1026">
        <v>1190</v>
      </c>
      <c r="H1026">
        <v>30</v>
      </c>
      <c r="I1026" t="s">
        <v>14</v>
      </c>
      <c r="J1026" t="str">
        <f>_xlfn.XLOOKUP(C1026,'product_masterlist(ifs)'!A:A,'product_masterlist(ifs)'!C:C,"N/A",0)</f>
        <v>Surgical</v>
      </c>
      <c r="K1026">
        <f>VLOOKUP(C1026,'product_masterlist(ifs)'!A:I,7,FALSE)</f>
        <v>40</v>
      </c>
    </row>
    <row r="1027" spans="1:11" x14ac:dyDescent="0.35">
      <c r="A1027" t="s">
        <v>1307</v>
      </c>
      <c r="B1027" s="1">
        <v>45717</v>
      </c>
      <c r="C1027" t="s">
        <v>17</v>
      </c>
      <c r="D1027">
        <v>9</v>
      </c>
      <c r="E1027" t="s">
        <v>37</v>
      </c>
      <c r="F1027" t="s">
        <v>31</v>
      </c>
      <c r="G1027">
        <v>405</v>
      </c>
      <c r="H1027">
        <v>30</v>
      </c>
      <c r="I1027" t="s">
        <v>14</v>
      </c>
      <c r="J1027" t="str">
        <f>_xlfn.XLOOKUP(C1027,'product_masterlist(ifs)'!A:A,'product_masterlist(ifs)'!C:C,"N/A",0)</f>
        <v>Frames</v>
      </c>
      <c r="K1027">
        <f>VLOOKUP(C1027,'product_masterlist(ifs)'!A:I,7,FALSE)</f>
        <v>45</v>
      </c>
    </row>
    <row r="1028" spans="1:11" x14ac:dyDescent="0.35">
      <c r="A1028" t="s">
        <v>1308</v>
      </c>
      <c r="B1028" t="s">
        <v>704</v>
      </c>
      <c r="C1028" t="s">
        <v>26</v>
      </c>
      <c r="D1028">
        <v>9</v>
      </c>
      <c r="E1028" t="s">
        <v>20</v>
      </c>
      <c r="F1028" t="s">
        <v>31</v>
      </c>
      <c r="G1028" t="s">
        <v>170</v>
      </c>
      <c r="H1028">
        <v>14</v>
      </c>
      <c r="I1028" t="s">
        <v>28</v>
      </c>
      <c r="J1028" t="str">
        <f>_xlfn.XLOOKUP(C1028,'product_masterlist(ifs)'!A:A,'product_masterlist(ifs)'!C:C,"N/A",0)</f>
        <v>Contact Lenses</v>
      </c>
      <c r="K1028">
        <f>VLOOKUP(C1028,'product_masterlist(ifs)'!A:I,7,FALSE)</f>
        <v>450</v>
      </c>
    </row>
    <row r="1029" spans="1:11" x14ac:dyDescent="0.35">
      <c r="A1029" t="s">
        <v>1309</v>
      </c>
      <c r="B1029" s="1">
        <v>45874</v>
      </c>
      <c r="C1029" t="s">
        <v>90</v>
      </c>
      <c r="D1029">
        <v>13</v>
      </c>
      <c r="E1029" t="s">
        <v>20</v>
      </c>
      <c r="F1029" t="s">
        <v>23</v>
      </c>
      <c r="G1029" t="s">
        <v>262</v>
      </c>
      <c r="H1029">
        <v>30</v>
      </c>
      <c r="I1029" t="s">
        <v>14</v>
      </c>
      <c r="J1029" t="str">
        <f>_xlfn.XLOOKUP(C1029,'product_masterlist(ifs)'!A:A,'product_masterlist(ifs)'!C:C,"N/A",0)</f>
        <v>Frames</v>
      </c>
      <c r="K1029">
        <f>VLOOKUP(C1029,'product_masterlist(ifs)'!A:I,7,FALSE)</f>
        <v>180</v>
      </c>
    </row>
    <row r="1030" spans="1:11" x14ac:dyDescent="0.35">
      <c r="A1030" t="s">
        <v>1310</v>
      </c>
      <c r="B1030" s="1">
        <v>45901</v>
      </c>
      <c r="C1030" t="s">
        <v>90</v>
      </c>
      <c r="D1030">
        <v>6</v>
      </c>
      <c r="E1030" t="s">
        <v>37</v>
      </c>
      <c r="F1030" t="s">
        <v>13</v>
      </c>
      <c r="G1030">
        <v>291</v>
      </c>
      <c r="H1030">
        <v>30</v>
      </c>
      <c r="I1030" t="s">
        <v>14</v>
      </c>
      <c r="J1030" t="str">
        <f>_xlfn.XLOOKUP(C1030,'product_masterlist(ifs)'!A:A,'product_masterlist(ifs)'!C:C,"N/A",0)</f>
        <v>Frames</v>
      </c>
      <c r="K1030">
        <f>VLOOKUP(C1030,'product_masterlist(ifs)'!A:I,7,FALSE)</f>
        <v>180</v>
      </c>
    </row>
    <row r="1031" spans="1:11" x14ac:dyDescent="0.35">
      <c r="A1031" t="s">
        <v>1311</v>
      </c>
      <c r="B1031" t="s">
        <v>770</v>
      </c>
      <c r="C1031" t="s">
        <v>90</v>
      </c>
      <c r="D1031">
        <v>15</v>
      </c>
      <c r="E1031" t="s">
        <v>37</v>
      </c>
      <c r="F1031" t="s">
        <v>31</v>
      </c>
      <c r="G1031" t="s">
        <v>250</v>
      </c>
      <c r="H1031">
        <v>30</v>
      </c>
      <c r="I1031" t="s">
        <v>14</v>
      </c>
      <c r="J1031" t="str">
        <f>_xlfn.XLOOKUP(C1031,'product_masterlist(ifs)'!A:A,'product_masterlist(ifs)'!C:C,"N/A",0)</f>
        <v>Frames</v>
      </c>
      <c r="K1031">
        <f>VLOOKUP(C1031,'product_masterlist(ifs)'!A:I,7,FALSE)</f>
        <v>180</v>
      </c>
    </row>
    <row r="1032" spans="1:11" x14ac:dyDescent="0.35">
      <c r="A1032" t="s">
        <v>1312</v>
      </c>
      <c r="B1032" t="s">
        <v>636</v>
      </c>
      <c r="C1032" t="s">
        <v>33</v>
      </c>
      <c r="D1032">
        <v>3</v>
      </c>
      <c r="E1032" t="s">
        <v>20</v>
      </c>
      <c r="F1032" t="s">
        <v>31</v>
      </c>
      <c r="G1032">
        <v>450</v>
      </c>
      <c r="H1032">
        <v>45</v>
      </c>
      <c r="I1032" t="s">
        <v>34</v>
      </c>
      <c r="J1032" t="str">
        <f>_xlfn.XLOOKUP(C1032,'product_masterlist(ifs)'!A:A,'product_masterlist(ifs)'!C:C,"N/A",0)</f>
        <v>Surgical</v>
      </c>
      <c r="K1032">
        <f>VLOOKUP(C1032,'product_masterlist(ifs)'!A:I,7,FALSE)</f>
        <v>15</v>
      </c>
    </row>
    <row r="1033" spans="1:11" x14ac:dyDescent="0.35">
      <c r="A1033" t="s">
        <v>1313</v>
      </c>
      <c r="B1033" s="1">
        <v>45696</v>
      </c>
      <c r="C1033" t="s">
        <v>11</v>
      </c>
      <c r="D1033">
        <v>5</v>
      </c>
      <c r="E1033" t="s">
        <v>20</v>
      </c>
      <c r="F1033" t="s">
        <v>18</v>
      </c>
      <c r="G1033">
        <v>425</v>
      </c>
      <c r="H1033">
        <v>30</v>
      </c>
      <c r="I1033" t="s">
        <v>14</v>
      </c>
      <c r="J1033" t="str">
        <f>_xlfn.XLOOKUP(C1033,'product_masterlist(ifs)'!A:A,'product_masterlist(ifs)'!C:C,"N/A",0)</f>
        <v>Surgical</v>
      </c>
      <c r="K1033">
        <f>VLOOKUP(C1033,'product_masterlist(ifs)'!A:I,7,FALSE)</f>
        <v>40</v>
      </c>
    </row>
    <row r="1034" spans="1:11" x14ac:dyDescent="0.35">
      <c r="A1034" t="s">
        <v>1314</v>
      </c>
      <c r="B1034" s="1">
        <v>45663</v>
      </c>
      <c r="C1034" t="s">
        <v>26</v>
      </c>
      <c r="D1034">
        <v>9</v>
      </c>
      <c r="E1034" t="s">
        <v>20</v>
      </c>
      <c r="F1034" t="s">
        <v>23</v>
      </c>
      <c r="G1034" t="s">
        <v>170</v>
      </c>
      <c r="H1034">
        <v>14</v>
      </c>
      <c r="I1034" t="s">
        <v>28</v>
      </c>
      <c r="J1034" t="str">
        <f>_xlfn.XLOOKUP(C1034,'product_masterlist(ifs)'!A:A,'product_masterlist(ifs)'!C:C,"N/A",0)</f>
        <v>Contact Lenses</v>
      </c>
      <c r="K1034">
        <f>VLOOKUP(C1034,'product_masterlist(ifs)'!A:I,7,FALSE)</f>
        <v>450</v>
      </c>
    </row>
    <row r="1035" spans="1:11" x14ac:dyDescent="0.35">
      <c r="A1035" t="s">
        <v>1315</v>
      </c>
      <c r="B1035" s="1">
        <v>45660</v>
      </c>
      <c r="C1035" t="s">
        <v>26</v>
      </c>
      <c r="D1035">
        <v>10</v>
      </c>
      <c r="E1035" t="s">
        <v>37</v>
      </c>
      <c r="F1035" t="s">
        <v>23</v>
      </c>
      <c r="G1035">
        <v>125</v>
      </c>
      <c r="H1035">
        <v>14</v>
      </c>
      <c r="I1035" t="s">
        <v>28</v>
      </c>
      <c r="J1035" t="str">
        <f>_xlfn.XLOOKUP(C1035,'product_masterlist(ifs)'!A:A,'product_masterlist(ifs)'!C:C,"N/A",0)</f>
        <v>Contact Lenses</v>
      </c>
      <c r="K1035">
        <f>VLOOKUP(C1035,'product_masterlist(ifs)'!A:I,7,FALSE)</f>
        <v>450</v>
      </c>
    </row>
    <row r="1036" spans="1:11" x14ac:dyDescent="0.35">
      <c r="A1036" t="s">
        <v>1316</v>
      </c>
      <c r="B1036" s="1">
        <v>45728</v>
      </c>
      <c r="C1036" t="s">
        <v>42</v>
      </c>
      <c r="D1036">
        <v>22</v>
      </c>
      <c r="E1036" t="s">
        <v>12</v>
      </c>
      <c r="F1036" t="s">
        <v>13</v>
      </c>
      <c r="G1036">
        <v>550</v>
      </c>
      <c r="H1036">
        <v>21</v>
      </c>
      <c r="I1036" t="s">
        <v>14</v>
      </c>
      <c r="J1036" t="str">
        <f>_xlfn.XLOOKUP(C1036,'product_masterlist(ifs)'!A:A,'product_masterlist(ifs)'!C:C,"N/A",0)</f>
        <v>Contact Lenses</v>
      </c>
      <c r="K1036">
        <f>VLOOKUP(C1036,'product_masterlist(ifs)'!A:I,7,FALSE)</f>
        <v>120</v>
      </c>
    </row>
    <row r="1037" spans="1:11" x14ac:dyDescent="0.35">
      <c r="A1037" t="s">
        <v>1317</v>
      </c>
      <c r="B1037" s="1">
        <v>45749</v>
      </c>
      <c r="C1037" t="s">
        <v>42</v>
      </c>
      <c r="D1037">
        <v>9</v>
      </c>
      <c r="E1037" t="s">
        <v>12</v>
      </c>
      <c r="F1037" t="s">
        <v>13</v>
      </c>
      <c r="G1037">
        <v>225</v>
      </c>
      <c r="H1037">
        <v>21</v>
      </c>
      <c r="I1037" t="s">
        <v>14</v>
      </c>
      <c r="J1037" t="str">
        <f>_xlfn.XLOOKUP(C1037,'product_masterlist(ifs)'!A:A,'product_masterlist(ifs)'!C:C,"N/A",0)</f>
        <v>Contact Lenses</v>
      </c>
      <c r="K1037">
        <f>VLOOKUP(C1037,'product_masterlist(ifs)'!A:I,7,FALSE)</f>
        <v>120</v>
      </c>
    </row>
    <row r="1038" spans="1:11" x14ac:dyDescent="0.35">
      <c r="A1038" t="s">
        <v>1318</v>
      </c>
      <c r="B1038" s="1">
        <v>45873</v>
      </c>
      <c r="C1038" t="s">
        <v>90</v>
      </c>
      <c r="D1038">
        <v>10</v>
      </c>
      <c r="E1038" t="s">
        <v>12</v>
      </c>
      <c r="F1038" t="s">
        <v>23</v>
      </c>
      <c r="G1038">
        <v>485</v>
      </c>
      <c r="H1038">
        <v>30</v>
      </c>
      <c r="I1038" t="s">
        <v>14</v>
      </c>
      <c r="J1038" t="str">
        <f>_xlfn.XLOOKUP(C1038,'product_masterlist(ifs)'!A:A,'product_masterlist(ifs)'!C:C,"N/A",0)</f>
        <v>Frames</v>
      </c>
      <c r="K1038">
        <f>VLOOKUP(C1038,'product_masterlist(ifs)'!A:I,7,FALSE)</f>
        <v>180</v>
      </c>
    </row>
    <row r="1039" spans="1:11" x14ac:dyDescent="0.35">
      <c r="A1039" t="s">
        <v>1319</v>
      </c>
      <c r="B1039" t="s">
        <v>1320</v>
      </c>
      <c r="C1039" t="s">
        <v>17</v>
      </c>
      <c r="D1039">
        <v>15</v>
      </c>
      <c r="E1039" t="s">
        <v>20</v>
      </c>
      <c r="F1039" t="s">
        <v>23</v>
      </c>
      <c r="G1039">
        <v>675</v>
      </c>
      <c r="H1039">
        <v>30</v>
      </c>
      <c r="I1039" t="s">
        <v>14</v>
      </c>
      <c r="J1039" t="str">
        <f>_xlfn.XLOOKUP(C1039,'product_masterlist(ifs)'!A:A,'product_masterlist(ifs)'!C:C,"N/A",0)</f>
        <v>Frames</v>
      </c>
      <c r="K1039">
        <f>VLOOKUP(C1039,'product_masterlist(ifs)'!A:I,7,FALSE)</f>
        <v>45</v>
      </c>
    </row>
    <row r="1040" spans="1:11" x14ac:dyDescent="0.35">
      <c r="A1040" t="s">
        <v>1321</v>
      </c>
      <c r="B1040" t="s">
        <v>802</v>
      </c>
      <c r="C1040" t="s">
        <v>33</v>
      </c>
      <c r="D1040">
        <v>2</v>
      </c>
      <c r="E1040" t="s">
        <v>22</v>
      </c>
      <c r="F1040" t="s">
        <v>23</v>
      </c>
      <c r="G1040">
        <v>300</v>
      </c>
      <c r="H1040">
        <v>45</v>
      </c>
      <c r="I1040" t="s">
        <v>34</v>
      </c>
      <c r="J1040" t="str">
        <f>_xlfn.XLOOKUP(C1040,'product_masterlist(ifs)'!A:A,'product_masterlist(ifs)'!C:C,"N/A",0)</f>
        <v>Surgical</v>
      </c>
      <c r="K1040">
        <f>VLOOKUP(C1040,'product_masterlist(ifs)'!A:I,7,FALSE)</f>
        <v>15</v>
      </c>
    </row>
    <row r="1041" spans="1:11" x14ac:dyDescent="0.35">
      <c r="A1041" t="s">
        <v>1322</v>
      </c>
      <c r="B1041" s="1">
        <v>45997</v>
      </c>
      <c r="C1041" t="s">
        <v>33</v>
      </c>
      <c r="D1041">
        <v>12</v>
      </c>
      <c r="E1041" t="s">
        <v>12</v>
      </c>
      <c r="F1041" t="s">
        <v>23</v>
      </c>
      <c r="G1041">
        <v>1800</v>
      </c>
      <c r="H1041">
        <v>45</v>
      </c>
      <c r="I1041" t="s">
        <v>34</v>
      </c>
      <c r="J1041" t="str">
        <f>_xlfn.XLOOKUP(C1041,'product_masterlist(ifs)'!A:A,'product_masterlist(ifs)'!C:C,"N/A",0)</f>
        <v>Surgical</v>
      </c>
      <c r="K1041">
        <f>VLOOKUP(C1041,'product_masterlist(ifs)'!A:I,7,FALSE)</f>
        <v>15</v>
      </c>
    </row>
    <row r="1042" spans="1:11" x14ac:dyDescent="0.35">
      <c r="A1042" t="s">
        <v>1323</v>
      </c>
      <c r="B1042" t="s">
        <v>408</v>
      </c>
      <c r="C1042" t="s">
        <v>53</v>
      </c>
      <c r="D1042">
        <v>13</v>
      </c>
      <c r="E1042" t="s">
        <v>20</v>
      </c>
      <c r="F1042" t="s">
        <v>18</v>
      </c>
      <c r="G1042" t="s">
        <v>188</v>
      </c>
      <c r="H1042">
        <v>7</v>
      </c>
      <c r="I1042" t="s">
        <v>28</v>
      </c>
      <c r="J1042" t="str">
        <f>_xlfn.XLOOKUP(C1042,'product_masterlist(ifs)'!A:A,'product_masterlist(ifs)'!C:C,"N/A",0)</f>
        <v>Solutions</v>
      </c>
      <c r="K1042">
        <f>VLOOKUP(C1042,'product_masterlist(ifs)'!A:I,7,FALSE)</f>
        <v>800</v>
      </c>
    </row>
    <row r="1043" spans="1:11" x14ac:dyDescent="0.35">
      <c r="A1043" t="s">
        <v>1324</v>
      </c>
      <c r="B1043" t="s">
        <v>144</v>
      </c>
      <c r="C1043" t="s">
        <v>90</v>
      </c>
      <c r="D1043">
        <v>25</v>
      </c>
      <c r="E1043" t="s">
        <v>12</v>
      </c>
      <c r="F1043" t="s">
        <v>18</v>
      </c>
      <c r="G1043" t="s">
        <v>308</v>
      </c>
      <c r="H1043">
        <v>30</v>
      </c>
      <c r="I1043" t="s">
        <v>14</v>
      </c>
      <c r="J1043" t="str">
        <f>_xlfn.XLOOKUP(C1043,'product_masterlist(ifs)'!A:A,'product_masterlist(ifs)'!C:C,"N/A",0)</f>
        <v>Frames</v>
      </c>
      <c r="K1043">
        <f>VLOOKUP(C1043,'product_masterlist(ifs)'!A:I,7,FALSE)</f>
        <v>180</v>
      </c>
    </row>
    <row r="1044" spans="1:11" x14ac:dyDescent="0.35">
      <c r="A1044" t="s">
        <v>1325</v>
      </c>
      <c r="B1044" s="1">
        <v>45845</v>
      </c>
      <c r="C1044" t="s">
        <v>90</v>
      </c>
      <c r="D1044">
        <v>12</v>
      </c>
      <c r="E1044" t="s">
        <v>22</v>
      </c>
      <c r="F1044" t="s">
        <v>13</v>
      </c>
      <c r="G1044">
        <v>582</v>
      </c>
      <c r="H1044">
        <v>30</v>
      </c>
      <c r="I1044" t="s">
        <v>14</v>
      </c>
      <c r="J1044" t="str">
        <f>_xlfn.XLOOKUP(C1044,'product_masterlist(ifs)'!A:A,'product_masterlist(ifs)'!C:C,"N/A",0)</f>
        <v>Frames</v>
      </c>
      <c r="K1044">
        <f>VLOOKUP(C1044,'product_masterlist(ifs)'!A:I,7,FALSE)</f>
        <v>180</v>
      </c>
    </row>
    <row r="1045" spans="1:11" x14ac:dyDescent="0.35">
      <c r="A1045" t="s">
        <v>1326</v>
      </c>
      <c r="B1045" t="s">
        <v>271</v>
      </c>
      <c r="C1045" t="s">
        <v>53</v>
      </c>
      <c r="D1045">
        <v>11</v>
      </c>
      <c r="E1045" t="s">
        <v>22</v>
      </c>
      <c r="F1045" t="s">
        <v>18</v>
      </c>
      <c r="G1045" t="s">
        <v>240</v>
      </c>
      <c r="H1045">
        <v>7</v>
      </c>
      <c r="I1045" t="s">
        <v>28</v>
      </c>
      <c r="J1045" t="str">
        <f>_xlfn.XLOOKUP(C1045,'product_masterlist(ifs)'!A:A,'product_masterlist(ifs)'!C:C,"N/A",0)</f>
        <v>Solutions</v>
      </c>
      <c r="K1045">
        <f>VLOOKUP(C1045,'product_masterlist(ifs)'!A:I,7,FALSE)</f>
        <v>800</v>
      </c>
    </row>
    <row r="1046" spans="1:11" x14ac:dyDescent="0.35">
      <c r="A1046" t="s">
        <v>1327</v>
      </c>
      <c r="B1046" t="s">
        <v>205</v>
      </c>
      <c r="C1046" t="s">
        <v>53</v>
      </c>
      <c r="D1046">
        <v>13</v>
      </c>
      <c r="E1046" t="s">
        <v>20</v>
      </c>
      <c r="F1046" t="s">
        <v>18</v>
      </c>
      <c r="G1046" t="s">
        <v>188</v>
      </c>
      <c r="H1046">
        <v>7</v>
      </c>
      <c r="I1046" t="s">
        <v>28</v>
      </c>
      <c r="J1046" t="str">
        <f>_xlfn.XLOOKUP(C1046,'product_masterlist(ifs)'!A:A,'product_masterlist(ifs)'!C:C,"N/A",0)</f>
        <v>Solutions</v>
      </c>
      <c r="K1046">
        <f>VLOOKUP(C1046,'product_masterlist(ifs)'!A:I,7,FALSE)</f>
        <v>800</v>
      </c>
    </row>
    <row r="1047" spans="1:11" x14ac:dyDescent="0.35">
      <c r="A1047" t="s">
        <v>1328</v>
      </c>
      <c r="B1047" t="s">
        <v>1060</v>
      </c>
      <c r="C1047" t="s">
        <v>26</v>
      </c>
      <c r="D1047">
        <v>1</v>
      </c>
      <c r="E1047" t="s">
        <v>22</v>
      </c>
      <c r="F1047" t="s">
        <v>13</v>
      </c>
      <c r="G1047" t="s">
        <v>101</v>
      </c>
      <c r="H1047">
        <v>14</v>
      </c>
      <c r="I1047" t="s">
        <v>28</v>
      </c>
      <c r="J1047" t="str">
        <f>_xlfn.XLOOKUP(C1047,'product_masterlist(ifs)'!A:A,'product_masterlist(ifs)'!C:C,"N/A",0)</f>
        <v>Contact Lenses</v>
      </c>
      <c r="K1047">
        <f>VLOOKUP(C1047,'product_masterlist(ifs)'!A:I,7,FALSE)</f>
        <v>450</v>
      </c>
    </row>
    <row r="1048" spans="1:11" x14ac:dyDescent="0.35">
      <c r="A1048" t="s">
        <v>1329</v>
      </c>
      <c r="B1048" s="1">
        <v>45818</v>
      </c>
      <c r="C1048" t="s">
        <v>11</v>
      </c>
      <c r="D1048">
        <v>7</v>
      </c>
      <c r="E1048" t="s">
        <v>22</v>
      </c>
      <c r="F1048" t="s">
        <v>18</v>
      </c>
      <c r="G1048">
        <v>595</v>
      </c>
      <c r="H1048">
        <v>30</v>
      </c>
      <c r="I1048" t="s">
        <v>14</v>
      </c>
      <c r="J1048" t="str">
        <f>_xlfn.XLOOKUP(C1048,'product_masterlist(ifs)'!A:A,'product_masterlist(ifs)'!C:C,"N/A",0)</f>
        <v>Surgical</v>
      </c>
      <c r="K1048">
        <f>VLOOKUP(C1048,'product_masterlist(ifs)'!A:I,7,FALSE)</f>
        <v>40</v>
      </c>
    </row>
    <row r="1049" spans="1:11" x14ac:dyDescent="0.35">
      <c r="A1049" t="s">
        <v>1330</v>
      </c>
      <c r="B1049" s="1">
        <v>45840</v>
      </c>
      <c r="C1049" t="s">
        <v>26</v>
      </c>
      <c r="D1049">
        <v>8</v>
      </c>
      <c r="E1049" t="s">
        <v>20</v>
      </c>
      <c r="F1049" t="s">
        <v>31</v>
      </c>
      <c r="G1049">
        <v>100</v>
      </c>
      <c r="H1049">
        <v>14</v>
      </c>
      <c r="I1049" t="s">
        <v>28</v>
      </c>
      <c r="J1049" t="str">
        <f>_xlfn.XLOOKUP(C1049,'product_masterlist(ifs)'!A:A,'product_masterlist(ifs)'!C:C,"N/A",0)</f>
        <v>Contact Lenses</v>
      </c>
      <c r="K1049">
        <f>VLOOKUP(C1049,'product_masterlist(ifs)'!A:I,7,FALSE)</f>
        <v>450</v>
      </c>
    </row>
    <row r="1050" spans="1:11" x14ac:dyDescent="0.35">
      <c r="A1050" t="s">
        <v>1331</v>
      </c>
      <c r="B1050" s="1">
        <v>46002</v>
      </c>
      <c r="C1050" t="s">
        <v>53</v>
      </c>
      <c r="D1050">
        <v>16</v>
      </c>
      <c r="E1050" t="s">
        <v>20</v>
      </c>
      <c r="F1050" t="s">
        <v>13</v>
      </c>
      <c r="G1050">
        <v>68</v>
      </c>
      <c r="H1050">
        <v>7</v>
      </c>
      <c r="I1050" t="s">
        <v>28</v>
      </c>
      <c r="J1050" t="str">
        <f>_xlfn.XLOOKUP(C1050,'product_masterlist(ifs)'!A:A,'product_masterlist(ifs)'!C:C,"N/A",0)</f>
        <v>Solutions</v>
      </c>
      <c r="K1050">
        <f>VLOOKUP(C1050,'product_masterlist(ifs)'!A:I,7,FALSE)</f>
        <v>800</v>
      </c>
    </row>
    <row r="1051" spans="1:11" x14ac:dyDescent="0.35">
      <c r="A1051" t="s">
        <v>1332</v>
      </c>
      <c r="B1051" t="s">
        <v>105</v>
      </c>
      <c r="C1051" t="s">
        <v>26</v>
      </c>
      <c r="D1051">
        <v>13</v>
      </c>
      <c r="E1051" t="s">
        <v>20</v>
      </c>
      <c r="F1051" t="s">
        <v>18</v>
      </c>
      <c r="G1051" t="s">
        <v>437</v>
      </c>
      <c r="H1051">
        <v>14</v>
      </c>
      <c r="I1051" t="s">
        <v>28</v>
      </c>
      <c r="J1051" t="str">
        <f>_xlfn.XLOOKUP(C1051,'product_masterlist(ifs)'!A:A,'product_masterlist(ifs)'!C:C,"N/A",0)</f>
        <v>Contact Lenses</v>
      </c>
      <c r="K1051">
        <f>VLOOKUP(C1051,'product_masterlist(ifs)'!A:I,7,FALSE)</f>
        <v>450</v>
      </c>
    </row>
    <row r="1052" spans="1:11" x14ac:dyDescent="0.35">
      <c r="A1052" t="s">
        <v>1333</v>
      </c>
      <c r="B1052" t="s">
        <v>1006</v>
      </c>
      <c r="C1052" t="s">
        <v>53</v>
      </c>
      <c r="D1052">
        <v>18</v>
      </c>
      <c r="E1052" t="s">
        <v>12</v>
      </c>
      <c r="F1052" t="s">
        <v>31</v>
      </c>
      <c r="G1052" t="s">
        <v>336</v>
      </c>
      <c r="H1052">
        <v>7</v>
      </c>
      <c r="I1052" t="s">
        <v>28</v>
      </c>
      <c r="J1052" t="str">
        <f>_xlfn.XLOOKUP(C1052,'product_masterlist(ifs)'!A:A,'product_masterlist(ifs)'!C:C,"N/A",0)</f>
        <v>Solutions</v>
      </c>
      <c r="K1052">
        <f>VLOOKUP(C1052,'product_masterlist(ifs)'!A:I,7,FALSE)</f>
        <v>800</v>
      </c>
    </row>
    <row r="1053" spans="1:11" x14ac:dyDescent="0.35">
      <c r="A1053" t="s">
        <v>1334</v>
      </c>
      <c r="B1053" s="1">
        <v>45718</v>
      </c>
      <c r="C1053" t="s">
        <v>53</v>
      </c>
      <c r="D1053">
        <v>2</v>
      </c>
      <c r="E1053" t="s">
        <v>12</v>
      </c>
      <c r="F1053" t="s">
        <v>13</v>
      </c>
      <c r="G1053" t="s">
        <v>291</v>
      </c>
      <c r="H1053">
        <v>7</v>
      </c>
      <c r="I1053" t="s">
        <v>28</v>
      </c>
      <c r="J1053" t="str">
        <f>_xlfn.XLOOKUP(C1053,'product_masterlist(ifs)'!A:A,'product_masterlist(ifs)'!C:C,"N/A",0)</f>
        <v>Solutions</v>
      </c>
      <c r="K1053">
        <f>VLOOKUP(C1053,'product_masterlist(ifs)'!A:I,7,FALSE)</f>
        <v>800</v>
      </c>
    </row>
    <row r="1054" spans="1:11" x14ac:dyDescent="0.35">
      <c r="A1054" t="s">
        <v>1335</v>
      </c>
      <c r="B1054" t="s">
        <v>100</v>
      </c>
      <c r="C1054" t="s">
        <v>11</v>
      </c>
      <c r="D1054">
        <v>13</v>
      </c>
      <c r="E1054" t="s">
        <v>20</v>
      </c>
      <c r="F1054" t="s">
        <v>23</v>
      </c>
      <c r="G1054">
        <v>1105</v>
      </c>
      <c r="H1054">
        <v>30</v>
      </c>
      <c r="I1054" t="s">
        <v>14</v>
      </c>
      <c r="J1054" t="str">
        <f>_xlfn.XLOOKUP(C1054,'product_masterlist(ifs)'!A:A,'product_masterlist(ifs)'!C:C,"N/A",0)</f>
        <v>Surgical</v>
      </c>
      <c r="K1054">
        <f>VLOOKUP(C1054,'product_masterlist(ifs)'!A:I,7,FALSE)</f>
        <v>40</v>
      </c>
    </row>
    <row r="1055" spans="1:11" x14ac:dyDescent="0.35">
      <c r="A1055" t="s">
        <v>1336</v>
      </c>
      <c r="B1055" t="s">
        <v>60</v>
      </c>
      <c r="C1055" t="s">
        <v>90</v>
      </c>
      <c r="D1055">
        <v>9</v>
      </c>
      <c r="E1055" t="s">
        <v>12</v>
      </c>
      <c r="F1055" t="s">
        <v>13</v>
      </c>
      <c r="G1055" t="s">
        <v>91</v>
      </c>
      <c r="H1055">
        <v>30</v>
      </c>
      <c r="I1055" t="s">
        <v>14</v>
      </c>
      <c r="J1055" t="str">
        <f>_xlfn.XLOOKUP(C1055,'product_masterlist(ifs)'!A:A,'product_masterlist(ifs)'!C:C,"N/A",0)</f>
        <v>Frames</v>
      </c>
      <c r="K1055">
        <f>VLOOKUP(C1055,'product_masterlist(ifs)'!A:I,7,FALSE)</f>
        <v>180</v>
      </c>
    </row>
    <row r="1056" spans="1:11" x14ac:dyDescent="0.35">
      <c r="A1056" t="s">
        <v>1337</v>
      </c>
      <c r="B1056" t="s">
        <v>660</v>
      </c>
      <c r="C1056" t="s">
        <v>17</v>
      </c>
      <c r="D1056">
        <v>24</v>
      </c>
      <c r="E1056" t="s">
        <v>20</v>
      </c>
      <c r="F1056" t="s">
        <v>18</v>
      </c>
      <c r="G1056">
        <v>1080</v>
      </c>
      <c r="H1056">
        <v>30</v>
      </c>
      <c r="I1056" t="s">
        <v>14</v>
      </c>
      <c r="J1056" t="str">
        <f>_xlfn.XLOOKUP(C1056,'product_masterlist(ifs)'!A:A,'product_masterlist(ifs)'!C:C,"N/A",0)</f>
        <v>Frames</v>
      </c>
      <c r="K1056">
        <f>VLOOKUP(C1056,'product_masterlist(ifs)'!A:I,7,FALSE)</f>
        <v>45</v>
      </c>
    </row>
    <row r="1057" spans="1:11" x14ac:dyDescent="0.35">
      <c r="A1057" t="s">
        <v>1338</v>
      </c>
      <c r="B1057" s="1">
        <v>45820</v>
      </c>
      <c r="C1057" t="s">
        <v>26</v>
      </c>
      <c r="D1057">
        <v>8</v>
      </c>
      <c r="E1057" t="s">
        <v>22</v>
      </c>
      <c r="F1057" t="s">
        <v>18</v>
      </c>
      <c r="G1057">
        <v>100</v>
      </c>
      <c r="H1057">
        <v>14</v>
      </c>
      <c r="I1057" t="s">
        <v>28</v>
      </c>
      <c r="J1057" t="str">
        <f>_xlfn.XLOOKUP(C1057,'product_masterlist(ifs)'!A:A,'product_masterlist(ifs)'!C:C,"N/A",0)</f>
        <v>Contact Lenses</v>
      </c>
      <c r="K1057">
        <f>VLOOKUP(C1057,'product_masterlist(ifs)'!A:I,7,FALSE)</f>
        <v>450</v>
      </c>
    </row>
    <row r="1058" spans="1:11" x14ac:dyDescent="0.35">
      <c r="A1058" t="s">
        <v>1339</v>
      </c>
      <c r="B1058" s="1">
        <v>45870</v>
      </c>
      <c r="C1058" t="s">
        <v>11</v>
      </c>
      <c r="D1058">
        <v>9</v>
      </c>
      <c r="E1058" t="s">
        <v>12</v>
      </c>
      <c r="F1058" t="s">
        <v>31</v>
      </c>
      <c r="G1058">
        <v>765</v>
      </c>
      <c r="H1058">
        <v>30</v>
      </c>
      <c r="I1058" t="s">
        <v>14</v>
      </c>
      <c r="J1058" t="str">
        <f>_xlfn.XLOOKUP(C1058,'product_masterlist(ifs)'!A:A,'product_masterlist(ifs)'!C:C,"N/A",0)</f>
        <v>Surgical</v>
      </c>
      <c r="K1058">
        <f>VLOOKUP(C1058,'product_masterlist(ifs)'!A:I,7,FALSE)</f>
        <v>40</v>
      </c>
    </row>
    <row r="1059" spans="1:11" x14ac:dyDescent="0.35">
      <c r="A1059" t="s">
        <v>1340</v>
      </c>
      <c r="B1059" s="1">
        <v>45720</v>
      </c>
      <c r="C1059" t="s">
        <v>33</v>
      </c>
      <c r="D1059">
        <v>21</v>
      </c>
      <c r="E1059" t="s">
        <v>20</v>
      </c>
      <c r="F1059" t="s">
        <v>18</v>
      </c>
      <c r="G1059">
        <v>3150</v>
      </c>
      <c r="H1059">
        <v>45</v>
      </c>
      <c r="I1059" t="s">
        <v>34</v>
      </c>
      <c r="J1059" t="str">
        <f>_xlfn.XLOOKUP(C1059,'product_masterlist(ifs)'!A:A,'product_masterlist(ifs)'!C:C,"N/A",0)</f>
        <v>Surgical</v>
      </c>
      <c r="K1059">
        <f>VLOOKUP(C1059,'product_masterlist(ifs)'!A:I,7,FALSE)</f>
        <v>15</v>
      </c>
    </row>
    <row r="1060" spans="1:11" x14ac:dyDescent="0.35">
      <c r="A1060" t="s">
        <v>1341</v>
      </c>
      <c r="B1060" t="s">
        <v>446</v>
      </c>
      <c r="C1060" t="s">
        <v>11</v>
      </c>
      <c r="D1060">
        <v>5</v>
      </c>
      <c r="E1060" t="s">
        <v>20</v>
      </c>
      <c r="F1060" t="s">
        <v>18</v>
      </c>
      <c r="G1060">
        <v>425</v>
      </c>
      <c r="H1060">
        <v>30</v>
      </c>
      <c r="I1060" t="s">
        <v>14</v>
      </c>
      <c r="J1060" t="str">
        <f>_xlfn.XLOOKUP(C1060,'product_masterlist(ifs)'!A:A,'product_masterlist(ifs)'!C:C,"N/A",0)</f>
        <v>Surgical</v>
      </c>
      <c r="K1060">
        <f>VLOOKUP(C1060,'product_masterlist(ifs)'!A:I,7,FALSE)</f>
        <v>40</v>
      </c>
    </row>
    <row r="1061" spans="1:11" x14ac:dyDescent="0.35">
      <c r="A1061" t="s">
        <v>1342</v>
      </c>
      <c r="B1061" s="1">
        <v>45748</v>
      </c>
      <c r="C1061" t="s">
        <v>33</v>
      </c>
      <c r="D1061">
        <v>16</v>
      </c>
      <c r="E1061" t="s">
        <v>37</v>
      </c>
      <c r="F1061" t="s">
        <v>13</v>
      </c>
      <c r="G1061">
        <v>2400</v>
      </c>
      <c r="H1061">
        <v>45</v>
      </c>
      <c r="I1061" t="s">
        <v>34</v>
      </c>
      <c r="J1061" t="str">
        <f>_xlfn.XLOOKUP(C1061,'product_masterlist(ifs)'!A:A,'product_masterlist(ifs)'!C:C,"N/A",0)</f>
        <v>Surgical</v>
      </c>
      <c r="K1061">
        <f>VLOOKUP(C1061,'product_masterlist(ifs)'!A:I,7,FALSE)</f>
        <v>15</v>
      </c>
    </row>
    <row r="1062" spans="1:11" x14ac:dyDescent="0.35">
      <c r="A1062" t="s">
        <v>1343</v>
      </c>
      <c r="B1062" s="1">
        <v>45788</v>
      </c>
      <c r="C1062" t="s">
        <v>26</v>
      </c>
      <c r="D1062">
        <v>15</v>
      </c>
      <c r="E1062" t="s">
        <v>12</v>
      </c>
      <c r="F1062" t="s">
        <v>23</v>
      </c>
      <c r="G1062" t="s">
        <v>513</v>
      </c>
      <c r="H1062">
        <v>14</v>
      </c>
      <c r="I1062" t="s">
        <v>28</v>
      </c>
      <c r="J1062" t="str">
        <f>_xlfn.XLOOKUP(C1062,'product_masterlist(ifs)'!A:A,'product_masterlist(ifs)'!C:C,"N/A",0)</f>
        <v>Contact Lenses</v>
      </c>
      <c r="K1062">
        <f>VLOOKUP(C1062,'product_masterlist(ifs)'!A:I,7,FALSE)</f>
        <v>450</v>
      </c>
    </row>
    <row r="1063" spans="1:11" x14ac:dyDescent="0.35">
      <c r="A1063" t="s">
        <v>1344</v>
      </c>
      <c r="B1063" t="s">
        <v>674</v>
      </c>
      <c r="C1063" t="s">
        <v>17</v>
      </c>
      <c r="D1063">
        <v>13</v>
      </c>
      <c r="E1063" t="s">
        <v>12</v>
      </c>
      <c r="F1063" t="s">
        <v>31</v>
      </c>
      <c r="G1063">
        <v>585</v>
      </c>
      <c r="H1063">
        <v>30</v>
      </c>
      <c r="I1063" t="s">
        <v>14</v>
      </c>
      <c r="J1063" t="str">
        <f>_xlfn.XLOOKUP(C1063,'product_masterlist(ifs)'!A:A,'product_masterlist(ifs)'!C:C,"N/A",0)</f>
        <v>Frames</v>
      </c>
      <c r="K1063">
        <f>VLOOKUP(C1063,'product_masterlist(ifs)'!A:I,7,FALSE)</f>
        <v>45</v>
      </c>
    </row>
    <row r="1064" spans="1:11" x14ac:dyDescent="0.35">
      <c r="A1064" t="s">
        <v>1345</v>
      </c>
      <c r="B1064" t="s">
        <v>354</v>
      </c>
      <c r="C1064" t="s">
        <v>90</v>
      </c>
      <c r="D1064">
        <v>19</v>
      </c>
      <c r="E1064" t="s">
        <v>12</v>
      </c>
      <c r="F1064" t="s">
        <v>31</v>
      </c>
      <c r="G1064" t="s">
        <v>504</v>
      </c>
      <c r="H1064">
        <v>30</v>
      </c>
      <c r="I1064" t="s">
        <v>14</v>
      </c>
      <c r="J1064" t="str">
        <f>_xlfn.XLOOKUP(C1064,'product_masterlist(ifs)'!A:A,'product_masterlist(ifs)'!C:C,"N/A",0)</f>
        <v>Frames</v>
      </c>
      <c r="K1064">
        <f>VLOOKUP(C1064,'product_masterlist(ifs)'!A:I,7,FALSE)</f>
        <v>180</v>
      </c>
    </row>
    <row r="1065" spans="1:11" x14ac:dyDescent="0.35">
      <c r="A1065" t="s">
        <v>1346</v>
      </c>
      <c r="B1065" t="s">
        <v>175</v>
      </c>
      <c r="C1065" t="s">
        <v>53</v>
      </c>
      <c r="D1065">
        <v>13</v>
      </c>
      <c r="E1065" t="s">
        <v>20</v>
      </c>
      <c r="F1065" t="s">
        <v>31</v>
      </c>
      <c r="G1065" t="s">
        <v>188</v>
      </c>
      <c r="H1065">
        <v>7</v>
      </c>
      <c r="I1065" t="s">
        <v>28</v>
      </c>
      <c r="J1065" t="str">
        <f>_xlfn.XLOOKUP(C1065,'product_masterlist(ifs)'!A:A,'product_masterlist(ifs)'!C:C,"N/A",0)</f>
        <v>Solutions</v>
      </c>
      <c r="K1065">
        <f>VLOOKUP(C1065,'product_masterlist(ifs)'!A:I,7,FALSE)</f>
        <v>800</v>
      </c>
    </row>
    <row r="1066" spans="1:11" x14ac:dyDescent="0.35">
      <c r="A1066" t="s">
        <v>1347</v>
      </c>
      <c r="B1066" t="s">
        <v>144</v>
      </c>
      <c r="C1066" t="s">
        <v>26</v>
      </c>
      <c r="D1066">
        <v>25</v>
      </c>
      <c r="E1066" t="s">
        <v>37</v>
      </c>
      <c r="F1066" t="s">
        <v>18</v>
      </c>
      <c r="G1066" t="s">
        <v>285</v>
      </c>
      <c r="H1066">
        <v>14</v>
      </c>
      <c r="I1066" t="s">
        <v>28</v>
      </c>
      <c r="J1066" t="str">
        <f>_xlfn.XLOOKUP(C1066,'product_masterlist(ifs)'!A:A,'product_masterlist(ifs)'!C:C,"N/A",0)</f>
        <v>Contact Lenses</v>
      </c>
      <c r="K1066">
        <f>VLOOKUP(C1066,'product_masterlist(ifs)'!A:I,7,FALSE)</f>
        <v>450</v>
      </c>
    </row>
    <row r="1067" spans="1:11" x14ac:dyDescent="0.35">
      <c r="A1067" t="s">
        <v>1348</v>
      </c>
      <c r="B1067" s="1">
        <v>45848</v>
      </c>
      <c r="C1067" t="s">
        <v>11</v>
      </c>
      <c r="D1067">
        <v>18</v>
      </c>
      <c r="E1067" t="s">
        <v>37</v>
      </c>
      <c r="F1067" t="s">
        <v>18</v>
      </c>
      <c r="G1067">
        <v>1530</v>
      </c>
      <c r="H1067">
        <v>30</v>
      </c>
      <c r="I1067" t="s">
        <v>14</v>
      </c>
      <c r="J1067" t="str">
        <f>_xlfn.XLOOKUP(C1067,'product_masterlist(ifs)'!A:A,'product_masterlist(ifs)'!C:C,"N/A",0)</f>
        <v>Surgical</v>
      </c>
      <c r="K1067">
        <f>VLOOKUP(C1067,'product_masterlist(ifs)'!A:I,7,FALSE)</f>
        <v>40</v>
      </c>
    </row>
    <row r="1068" spans="1:11" x14ac:dyDescent="0.35">
      <c r="A1068" t="s">
        <v>1349</v>
      </c>
      <c r="B1068" t="s">
        <v>757</v>
      </c>
      <c r="C1068" t="s">
        <v>26</v>
      </c>
      <c r="D1068">
        <v>3</v>
      </c>
      <c r="E1068" t="s">
        <v>22</v>
      </c>
      <c r="F1068" t="s">
        <v>31</v>
      </c>
      <c r="G1068" t="s">
        <v>40</v>
      </c>
      <c r="H1068">
        <v>14</v>
      </c>
      <c r="I1068" t="s">
        <v>28</v>
      </c>
      <c r="J1068" t="str">
        <f>_xlfn.XLOOKUP(C1068,'product_masterlist(ifs)'!A:A,'product_masterlist(ifs)'!C:C,"N/A",0)</f>
        <v>Contact Lenses</v>
      </c>
      <c r="K1068">
        <f>VLOOKUP(C1068,'product_masterlist(ifs)'!A:I,7,FALSE)</f>
        <v>450</v>
      </c>
    </row>
    <row r="1069" spans="1:11" x14ac:dyDescent="0.35">
      <c r="A1069" t="s">
        <v>1350</v>
      </c>
      <c r="B1069" t="s">
        <v>125</v>
      </c>
      <c r="C1069" t="s">
        <v>33</v>
      </c>
      <c r="D1069">
        <v>20</v>
      </c>
      <c r="E1069" t="s">
        <v>12</v>
      </c>
      <c r="F1069" t="s">
        <v>23</v>
      </c>
      <c r="G1069">
        <v>3000</v>
      </c>
      <c r="H1069">
        <v>45</v>
      </c>
      <c r="I1069" t="s">
        <v>34</v>
      </c>
      <c r="J1069" t="str">
        <f>_xlfn.XLOOKUP(C1069,'product_masterlist(ifs)'!A:A,'product_masterlist(ifs)'!C:C,"N/A",0)</f>
        <v>Surgical</v>
      </c>
      <c r="K1069">
        <f>VLOOKUP(C1069,'product_masterlist(ifs)'!A:I,7,FALSE)</f>
        <v>15</v>
      </c>
    </row>
    <row r="1070" spans="1:11" x14ac:dyDescent="0.35">
      <c r="A1070" t="s">
        <v>1351</v>
      </c>
      <c r="B1070" t="s">
        <v>757</v>
      </c>
      <c r="C1070" t="s">
        <v>11</v>
      </c>
      <c r="D1070">
        <v>24</v>
      </c>
      <c r="E1070" t="s">
        <v>12</v>
      </c>
      <c r="F1070" t="s">
        <v>31</v>
      </c>
      <c r="G1070">
        <v>2040</v>
      </c>
      <c r="H1070">
        <v>30</v>
      </c>
      <c r="I1070" t="s">
        <v>14</v>
      </c>
      <c r="J1070" t="str">
        <f>_xlfn.XLOOKUP(C1070,'product_masterlist(ifs)'!A:A,'product_masterlist(ifs)'!C:C,"N/A",0)</f>
        <v>Surgical</v>
      </c>
      <c r="K1070">
        <f>VLOOKUP(C1070,'product_masterlist(ifs)'!A:I,7,FALSE)</f>
        <v>40</v>
      </c>
    </row>
    <row r="1071" spans="1:11" x14ac:dyDescent="0.35">
      <c r="A1071" t="s">
        <v>1352</v>
      </c>
      <c r="B1071" s="1">
        <v>45727</v>
      </c>
      <c r="C1071" t="s">
        <v>17</v>
      </c>
      <c r="D1071">
        <v>8</v>
      </c>
      <c r="E1071" t="s">
        <v>37</v>
      </c>
      <c r="F1071" t="s">
        <v>13</v>
      </c>
      <c r="G1071">
        <v>360</v>
      </c>
      <c r="H1071">
        <v>30</v>
      </c>
      <c r="I1071" t="s">
        <v>14</v>
      </c>
      <c r="J1071" t="str">
        <f>_xlfn.XLOOKUP(C1071,'product_masterlist(ifs)'!A:A,'product_masterlist(ifs)'!C:C,"N/A",0)</f>
        <v>Frames</v>
      </c>
      <c r="K1071">
        <f>VLOOKUP(C1071,'product_masterlist(ifs)'!A:I,7,FALSE)</f>
        <v>45</v>
      </c>
    </row>
    <row r="1072" spans="1:11" x14ac:dyDescent="0.35">
      <c r="A1072" t="s">
        <v>1353</v>
      </c>
      <c r="B1072" s="1">
        <v>45845</v>
      </c>
      <c r="C1072" t="s">
        <v>33</v>
      </c>
      <c r="D1072">
        <v>17</v>
      </c>
      <c r="E1072" t="s">
        <v>37</v>
      </c>
      <c r="F1072" t="s">
        <v>18</v>
      </c>
      <c r="G1072">
        <v>2550</v>
      </c>
      <c r="H1072">
        <v>45</v>
      </c>
      <c r="I1072" t="s">
        <v>34</v>
      </c>
      <c r="J1072" t="str">
        <f>_xlfn.XLOOKUP(C1072,'product_masterlist(ifs)'!A:A,'product_masterlist(ifs)'!C:C,"N/A",0)</f>
        <v>Surgical</v>
      </c>
      <c r="K1072">
        <f>VLOOKUP(C1072,'product_masterlist(ifs)'!A:I,7,FALSE)</f>
        <v>15</v>
      </c>
    </row>
    <row r="1073" spans="1:11" x14ac:dyDescent="0.35">
      <c r="A1073" t="s">
        <v>1354</v>
      </c>
      <c r="B1073" t="s">
        <v>619</v>
      </c>
      <c r="C1073" t="s">
        <v>33</v>
      </c>
      <c r="D1073">
        <v>21</v>
      </c>
      <c r="E1073" t="s">
        <v>37</v>
      </c>
      <c r="F1073" t="s">
        <v>13</v>
      </c>
      <c r="G1073">
        <v>3150</v>
      </c>
      <c r="H1073">
        <v>45</v>
      </c>
      <c r="I1073" t="s">
        <v>34</v>
      </c>
      <c r="J1073" t="str">
        <f>_xlfn.XLOOKUP(C1073,'product_masterlist(ifs)'!A:A,'product_masterlist(ifs)'!C:C,"N/A",0)</f>
        <v>Surgical</v>
      </c>
      <c r="K1073">
        <f>VLOOKUP(C1073,'product_masterlist(ifs)'!A:I,7,FALSE)</f>
        <v>15</v>
      </c>
    </row>
    <row r="1074" spans="1:11" x14ac:dyDescent="0.35">
      <c r="A1074" t="s">
        <v>1355</v>
      </c>
      <c r="B1074" s="1">
        <v>45754</v>
      </c>
      <c r="C1074" t="s">
        <v>33</v>
      </c>
      <c r="D1074">
        <v>14</v>
      </c>
      <c r="E1074" t="s">
        <v>12</v>
      </c>
      <c r="F1074" t="s">
        <v>31</v>
      </c>
      <c r="G1074">
        <v>2100</v>
      </c>
      <c r="H1074">
        <v>45</v>
      </c>
      <c r="I1074" t="s">
        <v>34</v>
      </c>
      <c r="J1074" t="str">
        <f>_xlfn.XLOOKUP(C1074,'product_masterlist(ifs)'!A:A,'product_masterlist(ifs)'!C:C,"N/A",0)</f>
        <v>Surgical</v>
      </c>
      <c r="K1074">
        <f>VLOOKUP(C1074,'product_masterlist(ifs)'!A:I,7,FALSE)</f>
        <v>15</v>
      </c>
    </row>
    <row r="1075" spans="1:11" x14ac:dyDescent="0.35">
      <c r="A1075" t="s">
        <v>1356</v>
      </c>
      <c r="B1075" s="1">
        <v>45754</v>
      </c>
      <c r="C1075" t="s">
        <v>17</v>
      </c>
      <c r="D1075">
        <v>24</v>
      </c>
      <c r="E1075" t="s">
        <v>20</v>
      </c>
      <c r="F1075" t="s">
        <v>23</v>
      </c>
      <c r="G1075">
        <v>1080</v>
      </c>
      <c r="H1075">
        <v>30</v>
      </c>
      <c r="I1075" t="s">
        <v>14</v>
      </c>
      <c r="J1075" t="str">
        <f>_xlfn.XLOOKUP(C1075,'product_masterlist(ifs)'!A:A,'product_masterlist(ifs)'!C:C,"N/A",0)</f>
        <v>Frames</v>
      </c>
      <c r="K1075">
        <f>VLOOKUP(C1075,'product_masterlist(ifs)'!A:I,7,FALSE)</f>
        <v>45</v>
      </c>
    </row>
    <row r="1076" spans="1:11" x14ac:dyDescent="0.35">
      <c r="A1076" t="s">
        <v>1357</v>
      </c>
      <c r="B1076" s="1">
        <v>45875</v>
      </c>
      <c r="C1076" t="s">
        <v>42</v>
      </c>
      <c r="D1076">
        <v>2</v>
      </c>
      <c r="E1076" t="s">
        <v>12</v>
      </c>
      <c r="F1076" t="s">
        <v>13</v>
      </c>
      <c r="G1076">
        <v>50</v>
      </c>
      <c r="H1076">
        <v>21</v>
      </c>
      <c r="I1076" t="s">
        <v>14</v>
      </c>
      <c r="J1076" t="str">
        <f>_xlfn.XLOOKUP(C1076,'product_masterlist(ifs)'!A:A,'product_masterlist(ifs)'!C:C,"N/A",0)</f>
        <v>Contact Lenses</v>
      </c>
      <c r="K1076">
        <f>VLOOKUP(C1076,'product_masterlist(ifs)'!A:I,7,FALSE)</f>
        <v>120</v>
      </c>
    </row>
    <row r="1077" spans="1:11" x14ac:dyDescent="0.35">
      <c r="A1077" t="s">
        <v>1358</v>
      </c>
      <c r="B1077" s="1">
        <v>45942</v>
      </c>
      <c r="C1077" t="s">
        <v>11</v>
      </c>
      <c r="D1077">
        <v>6</v>
      </c>
      <c r="E1077" t="s">
        <v>22</v>
      </c>
      <c r="F1077" t="s">
        <v>13</v>
      </c>
      <c r="G1077">
        <v>510</v>
      </c>
      <c r="H1077">
        <v>30</v>
      </c>
      <c r="I1077" t="s">
        <v>14</v>
      </c>
      <c r="J1077" t="str">
        <f>_xlfn.XLOOKUP(C1077,'product_masterlist(ifs)'!A:A,'product_masterlist(ifs)'!C:C,"N/A",0)</f>
        <v>Surgical</v>
      </c>
      <c r="K1077">
        <f>VLOOKUP(C1077,'product_masterlist(ifs)'!A:I,7,FALSE)</f>
        <v>40</v>
      </c>
    </row>
    <row r="1078" spans="1:11" x14ac:dyDescent="0.35">
      <c r="A1078" t="s">
        <v>1359</v>
      </c>
      <c r="B1078" t="s">
        <v>227</v>
      </c>
      <c r="C1078" t="s">
        <v>33</v>
      </c>
      <c r="D1078">
        <v>23</v>
      </c>
      <c r="E1078" t="s">
        <v>20</v>
      </c>
      <c r="F1078" t="s">
        <v>31</v>
      </c>
      <c r="G1078">
        <v>3450</v>
      </c>
      <c r="H1078">
        <v>45</v>
      </c>
      <c r="I1078" t="s">
        <v>34</v>
      </c>
      <c r="J1078" t="str">
        <f>_xlfn.XLOOKUP(C1078,'product_masterlist(ifs)'!A:A,'product_masterlist(ifs)'!C:C,"N/A",0)</f>
        <v>Surgical</v>
      </c>
      <c r="K1078">
        <f>VLOOKUP(C1078,'product_masterlist(ifs)'!A:I,7,FALSE)</f>
        <v>15</v>
      </c>
    </row>
    <row r="1079" spans="1:11" x14ac:dyDescent="0.35">
      <c r="A1079" t="s">
        <v>1360</v>
      </c>
      <c r="B1079" t="s">
        <v>58</v>
      </c>
      <c r="C1079" t="s">
        <v>42</v>
      </c>
      <c r="D1079">
        <v>24</v>
      </c>
      <c r="E1079" t="s">
        <v>20</v>
      </c>
      <c r="F1079" t="s">
        <v>18</v>
      </c>
      <c r="G1079">
        <v>600</v>
      </c>
      <c r="H1079">
        <v>21</v>
      </c>
      <c r="I1079" t="s">
        <v>14</v>
      </c>
      <c r="J1079" t="str">
        <f>_xlfn.XLOOKUP(C1079,'product_masterlist(ifs)'!A:A,'product_masterlist(ifs)'!C:C,"N/A",0)</f>
        <v>Contact Lenses</v>
      </c>
      <c r="K1079">
        <f>VLOOKUP(C1079,'product_masterlist(ifs)'!A:I,7,FALSE)</f>
        <v>120</v>
      </c>
    </row>
    <row r="1080" spans="1:11" x14ac:dyDescent="0.35">
      <c r="A1080" t="s">
        <v>1361</v>
      </c>
      <c r="B1080" t="s">
        <v>683</v>
      </c>
      <c r="C1080" t="s">
        <v>11</v>
      </c>
      <c r="D1080">
        <v>18</v>
      </c>
      <c r="E1080" t="s">
        <v>12</v>
      </c>
      <c r="F1080" t="s">
        <v>31</v>
      </c>
      <c r="G1080">
        <v>1530</v>
      </c>
      <c r="H1080">
        <v>30</v>
      </c>
      <c r="I1080" t="s">
        <v>14</v>
      </c>
      <c r="J1080" t="str">
        <f>_xlfn.XLOOKUP(C1080,'product_masterlist(ifs)'!A:A,'product_masterlist(ifs)'!C:C,"N/A",0)</f>
        <v>Surgical</v>
      </c>
      <c r="K1080">
        <f>VLOOKUP(C1080,'product_masterlist(ifs)'!A:I,7,FALSE)</f>
        <v>40</v>
      </c>
    </row>
    <row r="1081" spans="1:11" x14ac:dyDescent="0.35">
      <c r="A1081" t="s">
        <v>1362</v>
      </c>
      <c r="B1081" t="s">
        <v>499</v>
      </c>
      <c r="C1081" t="s">
        <v>53</v>
      </c>
      <c r="D1081">
        <v>5</v>
      </c>
      <c r="E1081" t="s">
        <v>37</v>
      </c>
      <c r="F1081" t="s">
        <v>31</v>
      </c>
      <c r="G1081" t="s">
        <v>854</v>
      </c>
      <c r="H1081">
        <v>7</v>
      </c>
      <c r="I1081" t="s">
        <v>28</v>
      </c>
      <c r="J1081" t="str">
        <f>_xlfn.XLOOKUP(C1081,'product_masterlist(ifs)'!A:A,'product_masterlist(ifs)'!C:C,"N/A",0)</f>
        <v>Solutions</v>
      </c>
      <c r="K1081">
        <f>VLOOKUP(C1081,'product_masterlist(ifs)'!A:I,7,FALSE)</f>
        <v>800</v>
      </c>
    </row>
    <row r="1082" spans="1:11" x14ac:dyDescent="0.35">
      <c r="A1082" t="s">
        <v>1363</v>
      </c>
      <c r="B1082" s="1">
        <v>45942</v>
      </c>
      <c r="C1082" t="s">
        <v>26</v>
      </c>
      <c r="D1082">
        <v>11</v>
      </c>
      <c r="E1082" t="s">
        <v>20</v>
      </c>
      <c r="F1082" t="s">
        <v>31</v>
      </c>
      <c r="G1082" t="s">
        <v>47</v>
      </c>
      <c r="H1082">
        <v>14</v>
      </c>
      <c r="I1082" t="s">
        <v>28</v>
      </c>
      <c r="J1082" t="str">
        <f>_xlfn.XLOOKUP(C1082,'product_masterlist(ifs)'!A:A,'product_masterlist(ifs)'!C:C,"N/A",0)</f>
        <v>Contact Lenses</v>
      </c>
      <c r="K1082">
        <f>VLOOKUP(C1082,'product_masterlist(ifs)'!A:I,7,FALSE)</f>
        <v>450</v>
      </c>
    </row>
    <row r="1083" spans="1:11" x14ac:dyDescent="0.35">
      <c r="A1083" t="s">
        <v>1364</v>
      </c>
      <c r="B1083" t="s">
        <v>737</v>
      </c>
      <c r="C1083" t="s">
        <v>53</v>
      </c>
      <c r="D1083">
        <v>12</v>
      </c>
      <c r="E1083" t="s">
        <v>22</v>
      </c>
      <c r="F1083" t="s">
        <v>13</v>
      </c>
      <c r="G1083">
        <v>51</v>
      </c>
      <c r="H1083">
        <v>7</v>
      </c>
      <c r="I1083" t="s">
        <v>28</v>
      </c>
      <c r="J1083" t="str">
        <f>_xlfn.XLOOKUP(C1083,'product_masterlist(ifs)'!A:A,'product_masterlist(ifs)'!C:C,"N/A",0)</f>
        <v>Solutions</v>
      </c>
      <c r="K1083">
        <f>VLOOKUP(C1083,'product_masterlist(ifs)'!A:I,7,FALSE)</f>
        <v>800</v>
      </c>
    </row>
    <row r="1084" spans="1:11" x14ac:dyDescent="0.35">
      <c r="A1084" t="s">
        <v>1365</v>
      </c>
      <c r="B1084" t="s">
        <v>71</v>
      </c>
      <c r="C1084" t="s">
        <v>90</v>
      </c>
      <c r="D1084">
        <v>12</v>
      </c>
      <c r="E1084" t="s">
        <v>22</v>
      </c>
      <c r="F1084" t="s">
        <v>18</v>
      </c>
      <c r="G1084">
        <v>582</v>
      </c>
      <c r="H1084">
        <v>30</v>
      </c>
      <c r="I1084" t="s">
        <v>14</v>
      </c>
      <c r="J1084" t="str">
        <f>_xlfn.XLOOKUP(C1084,'product_masterlist(ifs)'!A:A,'product_masterlist(ifs)'!C:C,"N/A",0)</f>
        <v>Frames</v>
      </c>
      <c r="K1084">
        <f>VLOOKUP(C1084,'product_masterlist(ifs)'!A:I,7,FALSE)</f>
        <v>180</v>
      </c>
    </row>
    <row r="1085" spans="1:11" x14ac:dyDescent="0.35">
      <c r="A1085" t="s">
        <v>1366</v>
      </c>
      <c r="B1085" t="s">
        <v>1367</v>
      </c>
      <c r="C1085" t="s">
        <v>53</v>
      </c>
      <c r="D1085">
        <v>23</v>
      </c>
      <c r="E1085" t="s">
        <v>22</v>
      </c>
      <c r="F1085" t="s">
        <v>18</v>
      </c>
      <c r="G1085" t="s">
        <v>576</v>
      </c>
      <c r="H1085">
        <v>7</v>
      </c>
      <c r="I1085" t="s">
        <v>28</v>
      </c>
      <c r="J1085" t="str">
        <f>_xlfn.XLOOKUP(C1085,'product_masterlist(ifs)'!A:A,'product_masterlist(ifs)'!C:C,"N/A",0)</f>
        <v>Solutions</v>
      </c>
      <c r="K1085">
        <f>VLOOKUP(C1085,'product_masterlist(ifs)'!A:I,7,FALSE)</f>
        <v>800</v>
      </c>
    </row>
    <row r="1086" spans="1:11" x14ac:dyDescent="0.35">
      <c r="A1086" t="s">
        <v>1368</v>
      </c>
      <c r="B1086" s="1">
        <v>45754</v>
      </c>
      <c r="C1086" t="s">
        <v>33</v>
      </c>
      <c r="D1086">
        <v>3</v>
      </c>
      <c r="E1086" t="s">
        <v>22</v>
      </c>
      <c r="F1086" t="s">
        <v>31</v>
      </c>
      <c r="G1086">
        <v>450</v>
      </c>
      <c r="H1086">
        <v>45</v>
      </c>
      <c r="I1086" t="s">
        <v>34</v>
      </c>
      <c r="J1086" t="str">
        <f>_xlfn.XLOOKUP(C1086,'product_masterlist(ifs)'!A:A,'product_masterlist(ifs)'!C:C,"N/A",0)</f>
        <v>Surgical</v>
      </c>
      <c r="K1086">
        <f>VLOOKUP(C1086,'product_masterlist(ifs)'!A:I,7,FALSE)</f>
        <v>15</v>
      </c>
    </row>
    <row r="1087" spans="1:11" x14ac:dyDescent="0.35">
      <c r="A1087" t="s">
        <v>1369</v>
      </c>
      <c r="B1087" t="s">
        <v>815</v>
      </c>
      <c r="C1087" t="s">
        <v>11</v>
      </c>
      <c r="D1087">
        <v>6</v>
      </c>
      <c r="E1087" t="s">
        <v>12</v>
      </c>
      <c r="F1087" t="s">
        <v>18</v>
      </c>
      <c r="G1087">
        <v>510</v>
      </c>
      <c r="H1087">
        <v>30</v>
      </c>
      <c r="I1087" t="s">
        <v>14</v>
      </c>
      <c r="J1087" t="str">
        <f>_xlfn.XLOOKUP(C1087,'product_masterlist(ifs)'!A:A,'product_masterlist(ifs)'!C:C,"N/A",0)</f>
        <v>Surgical</v>
      </c>
      <c r="K1087">
        <f>VLOOKUP(C1087,'product_masterlist(ifs)'!A:I,7,FALSE)</f>
        <v>40</v>
      </c>
    </row>
    <row r="1088" spans="1:11" x14ac:dyDescent="0.35">
      <c r="A1088" t="s">
        <v>1370</v>
      </c>
      <c r="B1088" t="s">
        <v>403</v>
      </c>
      <c r="C1088" t="s">
        <v>26</v>
      </c>
      <c r="D1088">
        <v>9</v>
      </c>
      <c r="E1088" t="s">
        <v>22</v>
      </c>
      <c r="F1088" t="s">
        <v>18</v>
      </c>
      <c r="G1088" t="s">
        <v>170</v>
      </c>
      <c r="H1088">
        <v>14</v>
      </c>
      <c r="I1088" t="s">
        <v>28</v>
      </c>
      <c r="J1088" t="str">
        <f>_xlfn.XLOOKUP(C1088,'product_masterlist(ifs)'!A:A,'product_masterlist(ifs)'!C:C,"N/A",0)</f>
        <v>Contact Lenses</v>
      </c>
      <c r="K1088">
        <f>VLOOKUP(C1088,'product_masterlist(ifs)'!A:I,7,FALSE)</f>
        <v>450</v>
      </c>
    </row>
    <row r="1089" spans="1:11" x14ac:dyDescent="0.35">
      <c r="A1089" t="s">
        <v>1371</v>
      </c>
      <c r="B1089" t="s">
        <v>103</v>
      </c>
      <c r="C1089" t="s">
        <v>26</v>
      </c>
      <c r="D1089">
        <v>1</v>
      </c>
      <c r="E1089" t="s">
        <v>12</v>
      </c>
      <c r="F1089" t="s">
        <v>23</v>
      </c>
      <c r="G1089" t="s">
        <v>101</v>
      </c>
      <c r="H1089">
        <v>14</v>
      </c>
      <c r="I1089" t="s">
        <v>28</v>
      </c>
      <c r="J1089" t="str">
        <f>_xlfn.XLOOKUP(C1089,'product_masterlist(ifs)'!A:A,'product_masterlist(ifs)'!C:C,"N/A",0)</f>
        <v>Contact Lenses</v>
      </c>
      <c r="K1089">
        <f>VLOOKUP(C1089,'product_masterlist(ifs)'!A:I,7,FALSE)</f>
        <v>450</v>
      </c>
    </row>
    <row r="1090" spans="1:11" x14ac:dyDescent="0.35">
      <c r="A1090" t="s">
        <v>1372</v>
      </c>
      <c r="B1090" t="s">
        <v>144</v>
      </c>
      <c r="C1090" t="s">
        <v>33</v>
      </c>
      <c r="D1090">
        <v>23</v>
      </c>
      <c r="E1090" t="s">
        <v>20</v>
      </c>
      <c r="F1090" t="s">
        <v>23</v>
      </c>
      <c r="G1090">
        <v>3450</v>
      </c>
      <c r="H1090">
        <v>45</v>
      </c>
      <c r="I1090" t="s">
        <v>34</v>
      </c>
      <c r="J1090" t="str">
        <f>_xlfn.XLOOKUP(C1090,'product_masterlist(ifs)'!A:A,'product_masterlist(ifs)'!C:C,"N/A",0)</f>
        <v>Surgical</v>
      </c>
      <c r="K1090">
        <f>VLOOKUP(C1090,'product_masterlist(ifs)'!A:I,7,FALSE)</f>
        <v>15</v>
      </c>
    </row>
    <row r="1091" spans="1:11" x14ac:dyDescent="0.35">
      <c r="A1091" t="s">
        <v>1373</v>
      </c>
      <c r="B1091" t="s">
        <v>599</v>
      </c>
      <c r="C1091" t="s">
        <v>17</v>
      </c>
      <c r="D1091">
        <v>8</v>
      </c>
      <c r="E1091" t="s">
        <v>20</v>
      </c>
      <c r="F1091" t="s">
        <v>31</v>
      </c>
      <c r="G1091">
        <v>360</v>
      </c>
      <c r="H1091">
        <v>30</v>
      </c>
      <c r="I1091" t="s">
        <v>14</v>
      </c>
      <c r="J1091" t="str">
        <f>_xlfn.XLOOKUP(C1091,'product_masterlist(ifs)'!A:A,'product_masterlist(ifs)'!C:C,"N/A",0)</f>
        <v>Frames</v>
      </c>
      <c r="K1091">
        <f>VLOOKUP(C1091,'product_masterlist(ifs)'!A:I,7,FALSE)</f>
        <v>45</v>
      </c>
    </row>
    <row r="1092" spans="1:11" x14ac:dyDescent="0.35">
      <c r="A1092" t="s">
        <v>1374</v>
      </c>
      <c r="B1092" t="s">
        <v>884</v>
      </c>
      <c r="C1092" t="s">
        <v>33</v>
      </c>
      <c r="D1092">
        <v>2</v>
      </c>
      <c r="E1092" t="s">
        <v>22</v>
      </c>
      <c r="F1092" t="s">
        <v>18</v>
      </c>
      <c r="G1092">
        <v>300</v>
      </c>
      <c r="H1092">
        <v>45</v>
      </c>
      <c r="I1092" t="s">
        <v>34</v>
      </c>
      <c r="J1092" t="str">
        <f>_xlfn.XLOOKUP(C1092,'product_masterlist(ifs)'!A:A,'product_masterlist(ifs)'!C:C,"N/A",0)</f>
        <v>Surgical</v>
      </c>
      <c r="K1092">
        <f>VLOOKUP(C1092,'product_masterlist(ifs)'!A:I,7,FALSE)</f>
        <v>15</v>
      </c>
    </row>
    <row r="1093" spans="1:11" x14ac:dyDescent="0.35">
      <c r="A1093" t="s">
        <v>1375</v>
      </c>
      <c r="B1093" s="1">
        <v>45880</v>
      </c>
      <c r="C1093" t="s">
        <v>17</v>
      </c>
      <c r="D1093">
        <v>3</v>
      </c>
      <c r="E1093" t="s">
        <v>20</v>
      </c>
      <c r="F1093" t="s">
        <v>13</v>
      </c>
      <c r="G1093">
        <v>135</v>
      </c>
      <c r="H1093">
        <v>30</v>
      </c>
      <c r="I1093" t="s">
        <v>14</v>
      </c>
      <c r="J1093" t="str">
        <f>_xlfn.XLOOKUP(C1093,'product_masterlist(ifs)'!A:A,'product_masterlist(ifs)'!C:C,"N/A",0)</f>
        <v>Frames</v>
      </c>
      <c r="K1093">
        <f>VLOOKUP(C1093,'product_masterlist(ifs)'!A:I,7,FALSE)</f>
        <v>45</v>
      </c>
    </row>
    <row r="1094" spans="1:11" x14ac:dyDescent="0.35">
      <c r="A1094" t="s">
        <v>1376</v>
      </c>
      <c r="B1094" s="1">
        <v>45906</v>
      </c>
      <c r="C1094" t="s">
        <v>33</v>
      </c>
      <c r="D1094">
        <v>17</v>
      </c>
      <c r="E1094" t="s">
        <v>37</v>
      </c>
      <c r="F1094" t="s">
        <v>18</v>
      </c>
      <c r="G1094">
        <v>2550</v>
      </c>
      <c r="H1094">
        <v>45</v>
      </c>
      <c r="I1094" t="s">
        <v>34</v>
      </c>
      <c r="J1094" t="str">
        <f>_xlfn.XLOOKUP(C1094,'product_masterlist(ifs)'!A:A,'product_masterlist(ifs)'!C:C,"N/A",0)</f>
        <v>Surgical</v>
      </c>
      <c r="K1094">
        <f>VLOOKUP(C1094,'product_masterlist(ifs)'!A:I,7,FALSE)</f>
        <v>15</v>
      </c>
    </row>
    <row r="1095" spans="1:11" x14ac:dyDescent="0.35">
      <c r="A1095" t="s">
        <v>1377</v>
      </c>
      <c r="B1095" s="1">
        <v>45720</v>
      </c>
      <c r="C1095" t="s">
        <v>42</v>
      </c>
      <c r="D1095">
        <v>12</v>
      </c>
      <c r="E1095" t="s">
        <v>12</v>
      </c>
      <c r="F1095" t="s">
        <v>18</v>
      </c>
      <c r="G1095">
        <v>300</v>
      </c>
      <c r="H1095">
        <v>21</v>
      </c>
      <c r="I1095" t="s">
        <v>14</v>
      </c>
      <c r="J1095" t="str">
        <f>_xlfn.XLOOKUP(C1095,'product_masterlist(ifs)'!A:A,'product_masterlist(ifs)'!C:C,"N/A",0)</f>
        <v>Contact Lenses</v>
      </c>
      <c r="K1095">
        <f>VLOOKUP(C1095,'product_masterlist(ifs)'!A:I,7,FALSE)</f>
        <v>120</v>
      </c>
    </row>
    <row r="1096" spans="1:11" x14ac:dyDescent="0.35">
      <c r="A1096" t="s">
        <v>1378</v>
      </c>
      <c r="B1096" t="s">
        <v>690</v>
      </c>
      <c r="C1096" t="s">
        <v>53</v>
      </c>
      <c r="D1096">
        <v>11</v>
      </c>
      <c r="E1096" t="s">
        <v>37</v>
      </c>
      <c r="F1096" t="s">
        <v>13</v>
      </c>
      <c r="G1096" t="s">
        <v>240</v>
      </c>
      <c r="H1096">
        <v>7</v>
      </c>
      <c r="I1096" t="s">
        <v>28</v>
      </c>
      <c r="J1096" t="str">
        <f>_xlfn.XLOOKUP(C1096,'product_masterlist(ifs)'!A:A,'product_masterlist(ifs)'!C:C,"N/A",0)</f>
        <v>Solutions</v>
      </c>
      <c r="K1096">
        <f>VLOOKUP(C1096,'product_masterlist(ifs)'!A:I,7,FALSE)</f>
        <v>800</v>
      </c>
    </row>
    <row r="1097" spans="1:11" x14ac:dyDescent="0.35">
      <c r="A1097" t="s">
        <v>1379</v>
      </c>
      <c r="B1097" s="1">
        <v>45971</v>
      </c>
      <c r="C1097" t="s">
        <v>33</v>
      </c>
      <c r="D1097">
        <v>17</v>
      </c>
      <c r="E1097" t="s">
        <v>20</v>
      </c>
      <c r="F1097" t="s">
        <v>23</v>
      </c>
      <c r="G1097">
        <v>2550</v>
      </c>
      <c r="H1097">
        <v>45</v>
      </c>
      <c r="I1097" t="s">
        <v>34</v>
      </c>
      <c r="J1097" t="str">
        <f>_xlfn.XLOOKUP(C1097,'product_masterlist(ifs)'!A:A,'product_masterlist(ifs)'!C:C,"N/A",0)</f>
        <v>Surgical</v>
      </c>
      <c r="K1097">
        <f>VLOOKUP(C1097,'product_masterlist(ifs)'!A:I,7,FALSE)</f>
        <v>15</v>
      </c>
    </row>
    <row r="1098" spans="1:11" x14ac:dyDescent="0.35">
      <c r="A1098" t="s">
        <v>1380</v>
      </c>
      <c r="B1098" s="1">
        <v>45870</v>
      </c>
      <c r="C1098" t="s">
        <v>53</v>
      </c>
      <c r="D1098">
        <v>14</v>
      </c>
      <c r="E1098" t="s">
        <v>22</v>
      </c>
      <c r="F1098" t="s">
        <v>23</v>
      </c>
      <c r="G1098" t="s">
        <v>228</v>
      </c>
      <c r="H1098">
        <v>7</v>
      </c>
      <c r="I1098" t="s">
        <v>28</v>
      </c>
      <c r="J1098" t="str">
        <f>_xlfn.XLOOKUP(C1098,'product_masterlist(ifs)'!A:A,'product_masterlist(ifs)'!C:C,"N/A",0)</f>
        <v>Solutions</v>
      </c>
      <c r="K1098">
        <f>VLOOKUP(C1098,'product_masterlist(ifs)'!A:I,7,FALSE)</f>
        <v>800</v>
      </c>
    </row>
    <row r="1099" spans="1:11" x14ac:dyDescent="0.35">
      <c r="A1099" t="s">
        <v>1381</v>
      </c>
      <c r="B1099" s="1">
        <v>45698</v>
      </c>
      <c r="C1099" t="s">
        <v>17</v>
      </c>
      <c r="D1099">
        <v>9</v>
      </c>
      <c r="E1099" t="s">
        <v>12</v>
      </c>
      <c r="F1099" t="s">
        <v>13</v>
      </c>
      <c r="G1099">
        <v>405</v>
      </c>
      <c r="H1099">
        <v>30</v>
      </c>
      <c r="I1099" t="s">
        <v>14</v>
      </c>
      <c r="J1099" t="str">
        <f>_xlfn.XLOOKUP(C1099,'product_masterlist(ifs)'!A:A,'product_masterlist(ifs)'!C:C,"N/A",0)</f>
        <v>Frames</v>
      </c>
      <c r="K1099">
        <f>VLOOKUP(C1099,'product_masterlist(ifs)'!A:I,7,FALSE)</f>
        <v>45</v>
      </c>
    </row>
    <row r="1100" spans="1:11" x14ac:dyDescent="0.35">
      <c r="A1100" t="s">
        <v>1382</v>
      </c>
      <c r="B1100" s="1">
        <v>46001</v>
      </c>
      <c r="C1100" t="s">
        <v>42</v>
      </c>
      <c r="D1100">
        <v>8</v>
      </c>
      <c r="E1100" t="s">
        <v>12</v>
      </c>
      <c r="F1100" t="s">
        <v>31</v>
      </c>
      <c r="G1100">
        <v>200</v>
      </c>
      <c r="H1100">
        <v>21</v>
      </c>
      <c r="I1100" t="s">
        <v>14</v>
      </c>
      <c r="J1100" t="str">
        <f>_xlfn.XLOOKUP(C1100,'product_masterlist(ifs)'!A:A,'product_masterlist(ifs)'!C:C,"N/A",0)</f>
        <v>Contact Lenses</v>
      </c>
      <c r="K1100">
        <f>VLOOKUP(C1100,'product_masterlist(ifs)'!A:I,7,FALSE)</f>
        <v>120</v>
      </c>
    </row>
    <row r="1101" spans="1:11" x14ac:dyDescent="0.35">
      <c r="A1101" t="s">
        <v>1383</v>
      </c>
      <c r="B1101" t="s">
        <v>654</v>
      </c>
      <c r="C1101" t="s">
        <v>53</v>
      </c>
      <c r="D1101">
        <v>12</v>
      </c>
      <c r="E1101" t="s">
        <v>37</v>
      </c>
      <c r="F1101" t="s">
        <v>23</v>
      </c>
      <c r="G1101">
        <v>51</v>
      </c>
      <c r="H1101">
        <v>7</v>
      </c>
      <c r="I1101" t="s">
        <v>28</v>
      </c>
      <c r="J1101" t="str">
        <f>_xlfn.XLOOKUP(C1101,'product_masterlist(ifs)'!A:A,'product_masterlist(ifs)'!C:C,"N/A",0)</f>
        <v>Solutions</v>
      </c>
      <c r="K1101">
        <f>VLOOKUP(C1101,'product_masterlist(ifs)'!A:I,7,FALSE)</f>
        <v>800</v>
      </c>
    </row>
    <row r="1102" spans="1:11" x14ac:dyDescent="0.35">
      <c r="A1102" t="s">
        <v>1384</v>
      </c>
      <c r="B1102" s="1">
        <v>45876</v>
      </c>
      <c r="C1102" t="s">
        <v>11</v>
      </c>
      <c r="D1102">
        <v>10</v>
      </c>
      <c r="E1102" t="s">
        <v>12</v>
      </c>
      <c r="F1102" t="s">
        <v>31</v>
      </c>
      <c r="G1102">
        <v>850</v>
      </c>
      <c r="H1102">
        <v>30</v>
      </c>
      <c r="I1102" t="s">
        <v>14</v>
      </c>
      <c r="J1102" t="str">
        <f>_xlfn.XLOOKUP(C1102,'product_masterlist(ifs)'!A:A,'product_masterlist(ifs)'!C:C,"N/A",0)</f>
        <v>Surgical</v>
      </c>
      <c r="K1102">
        <f>VLOOKUP(C1102,'product_masterlist(ifs)'!A:I,7,FALSE)</f>
        <v>40</v>
      </c>
    </row>
    <row r="1103" spans="1:11" x14ac:dyDescent="0.35">
      <c r="A1103" t="s">
        <v>1385</v>
      </c>
      <c r="B1103" t="s">
        <v>888</v>
      </c>
      <c r="C1103" t="s">
        <v>26</v>
      </c>
      <c r="D1103">
        <v>22</v>
      </c>
      <c r="E1103" t="s">
        <v>22</v>
      </c>
      <c r="F1103" t="s">
        <v>31</v>
      </c>
      <c r="G1103">
        <v>275</v>
      </c>
      <c r="H1103">
        <v>14</v>
      </c>
      <c r="I1103" t="s">
        <v>28</v>
      </c>
      <c r="J1103" t="str">
        <f>_xlfn.XLOOKUP(C1103,'product_masterlist(ifs)'!A:A,'product_masterlist(ifs)'!C:C,"N/A",0)</f>
        <v>Contact Lenses</v>
      </c>
      <c r="K1103">
        <f>VLOOKUP(C1103,'product_masterlist(ifs)'!A:I,7,FALSE)</f>
        <v>450</v>
      </c>
    </row>
    <row r="1104" spans="1:11" x14ac:dyDescent="0.35">
      <c r="A1104" t="s">
        <v>1386</v>
      </c>
      <c r="B1104" t="s">
        <v>65</v>
      </c>
      <c r="C1104" t="s">
        <v>90</v>
      </c>
      <c r="D1104">
        <v>2</v>
      </c>
      <c r="E1104" t="s">
        <v>22</v>
      </c>
      <c r="F1104" t="s">
        <v>23</v>
      </c>
      <c r="G1104">
        <v>97</v>
      </c>
      <c r="H1104">
        <v>30</v>
      </c>
      <c r="I1104" t="s">
        <v>14</v>
      </c>
      <c r="J1104" t="str">
        <f>_xlfn.XLOOKUP(C1104,'product_masterlist(ifs)'!A:A,'product_masterlist(ifs)'!C:C,"N/A",0)</f>
        <v>Frames</v>
      </c>
      <c r="K1104">
        <f>VLOOKUP(C1104,'product_masterlist(ifs)'!A:I,7,FALSE)</f>
        <v>180</v>
      </c>
    </row>
    <row r="1105" spans="1:11" x14ac:dyDescent="0.35">
      <c r="A1105" t="s">
        <v>1387</v>
      </c>
      <c r="B1105" s="1">
        <v>45812</v>
      </c>
      <c r="C1105" t="s">
        <v>17</v>
      </c>
      <c r="D1105">
        <v>22</v>
      </c>
      <c r="E1105" t="s">
        <v>22</v>
      </c>
      <c r="F1105" t="s">
        <v>18</v>
      </c>
      <c r="G1105">
        <v>990</v>
      </c>
      <c r="H1105">
        <v>30</v>
      </c>
      <c r="I1105" t="s">
        <v>14</v>
      </c>
      <c r="J1105" t="str">
        <f>_xlfn.XLOOKUP(C1105,'product_masterlist(ifs)'!A:A,'product_masterlist(ifs)'!C:C,"N/A",0)</f>
        <v>Frames</v>
      </c>
      <c r="K1105">
        <f>VLOOKUP(C1105,'product_masterlist(ifs)'!A:I,7,FALSE)</f>
        <v>45</v>
      </c>
    </row>
    <row r="1106" spans="1:11" x14ac:dyDescent="0.35">
      <c r="A1106" t="s">
        <v>1388</v>
      </c>
      <c r="B1106" s="1">
        <v>45781</v>
      </c>
      <c r="C1106" t="s">
        <v>33</v>
      </c>
      <c r="D1106">
        <v>4</v>
      </c>
      <c r="E1106" t="s">
        <v>37</v>
      </c>
      <c r="F1106" t="s">
        <v>18</v>
      </c>
      <c r="G1106">
        <v>600</v>
      </c>
      <c r="H1106">
        <v>45</v>
      </c>
      <c r="I1106" t="s">
        <v>34</v>
      </c>
      <c r="J1106" t="str">
        <f>_xlfn.XLOOKUP(C1106,'product_masterlist(ifs)'!A:A,'product_masterlist(ifs)'!C:C,"N/A",0)</f>
        <v>Surgical</v>
      </c>
      <c r="K1106">
        <f>VLOOKUP(C1106,'product_masterlist(ifs)'!A:I,7,FALSE)</f>
        <v>15</v>
      </c>
    </row>
    <row r="1107" spans="1:11" x14ac:dyDescent="0.35">
      <c r="A1107" t="s">
        <v>1389</v>
      </c>
      <c r="B1107" s="1">
        <v>45658</v>
      </c>
      <c r="C1107" t="s">
        <v>26</v>
      </c>
      <c r="D1107">
        <v>13</v>
      </c>
      <c r="E1107" t="s">
        <v>12</v>
      </c>
      <c r="F1107" t="s">
        <v>13</v>
      </c>
      <c r="G1107" t="s">
        <v>437</v>
      </c>
      <c r="H1107">
        <v>14</v>
      </c>
      <c r="I1107" t="s">
        <v>28</v>
      </c>
      <c r="J1107" t="str">
        <f>_xlfn.XLOOKUP(C1107,'product_masterlist(ifs)'!A:A,'product_masterlist(ifs)'!C:C,"N/A",0)</f>
        <v>Contact Lenses</v>
      </c>
      <c r="K1107">
        <f>VLOOKUP(C1107,'product_masterlist(ifs)'!A:I,7,FALSE)</f>
        <v>450</v>
      </c>
    </row>
    <row r="1108" spans="1:11" x14ac:dyDescent="0.35">
      <c r="A1108" t="s">
        <v>1390</v>
      </c>
      <c r="B1108" t="s">
        <v>770</v>
      </c>
      <c r="C1108" t="s">
        <v>33</v>
      </c>
      <c r="D1108">
        <v>2</v>
      </c>
      <c r="E1108" t="s">
        <v>37</v>
      </c>
      <c r="F1108" t="s">
        <v>31</v>
      </c>
      <c r="G1108">
        <v>300</v>
      </c>
      <c r="H1108">
        <v>45</v>
      </c>
      <c r="I1108" t="s">
        <v>34</v>
      </c>
      <c r="J1108" t="str">
        <f>_xlfn.XLOOKUP(C1108,'product_masterlist(ifs)'!A:A,'product_masterlist(ifs)'!C:C,"N/A",0)</f>
        <v>Surgical</v>
      </c>
      <c r="K1108">
        <f>VLOOKUP(C1108,'product_masterlist(ifs)'!A:I,7,FALSE)</f>
        <v>15</v>
      </c>
    </row>
    <row r="1109" spans="1:11" x14ac:dyDescent="0.35">
      <c r="A1109" t="s">
        <v>1391</v>
      </c>
      <c r="B1109" t="s">
        <v>515</v>
      </c>
      <c r="C1109" t="s">
        <v>26</v>
      </c>
      <c r="D1109">
        <v>19</v>
      </c>
      <c r="E1109" t="s">
        <v>37</v>
      </c>
      <c r="F1109" t="s">
        <v>18</v>
      </c>
      <c r="G1109" t="s">
        <v>1093</v>
      </c>
      <c r="H1109">
        <v>14</v>
      </c>
      <c r="I1109" t="s">
        <v>28</v>
      </c>
      <c r="J1109" t="str">
        <f>_xlfn.XLOOKUP(C1109,'product_masterlist(ifs)'!A:A,'product_masterlist(ifs)'!C:C,"N/A",0)</f>
        <v>Contact Lenses</v>
      </c>
      <c r="K1109">
        <f>VLOOKUP(C1109,'product_masterlist(ifs)'!A:I,7,FALSE)</f>
        <v>450</v>
      </c>
    </row>
    <row r="1110" spans="1:11" x14ac:dyDescent="0.35">
      <c r="A1110" t="s">
        <v>1392</v>
      </c>
      <c r="B1110" s="1">
        <v>45937</v>
      </c>
      <c r="C1110" t="s">
        <v>26</v>
      </c>
      <c r="D1110">
        <v>18</v>
      </c>
      <c r="E1110" t="s">
        <v>22</v>
      </c>
      <c r="F1110" t="s">
        <v>13</v>
      </c>
      <c r="G1110">
        <v>225</v>
      </c>
      <c r="H1110">
        <v>14</v>
      </c>
      <c r="I1110" t="s">
        <v>28</v>
      </c>
      <c r="J1110" t="str">
        <f>_xlfn.XLOOKUP(C1110,'product_masterlist(ifs)'!A:A,'product_masterlist(ifs)'!C:C,"N/A",0)</f>
        <v>Contact Lenses</v>
      </c>
      <c r="K1110">
        <f>VLOOKUP(C1110,'product_masterlist(ifs)'!A:I,7,FALSE)</f>
        <v>450</v>
      </c>
    </row>
    <row r="1111" spans="1:11" x14ac:dyDescent="0.35">
      <c r="A1111" t="s">
        <v>1393</v>
      </c>
      <c r="B1111" s="1">
        <v>45873</v>
      </c>
      <c r="C1111" t="s">
        <v>42</v>
      </c>
      <c r="D1111">
        <v>23</v>
      </c>
      <c r="E1111" t="s">
        <v>37</v>
      </c>
      <c r="F1111" t="s">
        <v>18</v>
      </c>
      <c r="G1111">
        <v>575</v>
      </c>
      <c r="H1111">
        <v>21</v>
      </c>
      <c r="I1111" t="s">
        <v>14</v>
      </c>
      <c r="J1111" t="str">
        <f>_xlfn.XLOOKUP(C1111,'product_masterlist(ifs)'!A:A,'product_masterlist(ifs)'!C:C,"N/A",0)</f>
        <v>Contact Lenses</v>
      </c>
      <c r="K1111">
        <f>VLOOKUP(C1111,'product_masterlist(ifs)'!A:I,7,FALSE)</f>
        <v>120</v>
      </c>
    </row>
    <row r="1112" spans="1:11" x14ac:dyDescent="0.35">
      <c r="A1112" t="s">
        <v>1394</v>
      </c>
      <c r="B1112" t="s">
        <v>217</v>
      </c>
      <c r="C1112" t="s">
        <v>33</v>
      </c>
      <c r="D1112">
        <v>8</v>
      </c>
      <c r="E1112" t="s">
        <v>12</v>
      </c>
      <c r="F1112" t="s">
        <v>13</v>
      </c>
      <c r="G1112">
        <v>1200</v>
      </c>
      <c r="H1112">
        <v>45</v>
      </c>
      <c r="I1112" t="s">
        <v>34</v>
      </c>
      <c r="J1112" t="str">
        <f>_xlfn.XLOOKUP(C1112,'product_masterlist(ifs)'!A:A,'product_masterlist(ifs)'!C:C,"N/A",0)</f>
        <v>Surgical</v>
      </c>
      <c r="K1112">
        <f>VLOOKUP(C1112,'product_masterlist(ifs)'!A:I,7,FALSE)</f>
        <v>15</v>
      </c>
    </row>
    <row r="1113" spans="1:11" x14ac:dyDescent="0.35">
      <c r="A1113" t="s">
        <v>1395</v>
      </c>
      <c r="B1113" t="s">
        <v>770</v>
      </c>
      <c r="C1113" t="s">
        <v>90</v>
      </c>
      <c r="D1113">
        <v>3</v>
      </c>
      <c r="E1113" t="s">
        <v>12</v>
      </c>
      <c r="F1113" t="s">
        <v>23</v>
      </c>
      <c r="G1113" t="s">
        <v>375</v>
      </c>
      <c r="H1113">
        <v>30</v>
      </c>
      <c r="I1113" t="s">
        <v>14</v>
      </c>
      <c r="J1113" t="str">
        <f>_xlfn.XLOOKUP(C1113,'product_masterlist(ifs)'!A:A,'product_masterlist(ifs)'!C:C,"N/A",0)</f>
        <v>Frames</v>
      </c>
      <c r="K1113">
        <f>VLOOKUP(C1113,'product_masterlist(ifs)'!A:I,7,FALSE)</f>
        <v>180</v>
      </c>
    </row>
    <row r="1114" spans="1:11" x14ac:dyDescent="0.35">
      <c r="A1114" t="s">
        <v>1396</v>
      </c>
      <c r="B1114" t="s">
        <v>660</v>
      </c>
      <c r="C1114" t="s">
        <v>26</v>
      </c>
      <c r="D1114">
        <v>12</v>
      </c>
      <c r="E1114" t="s">
        <v>20</v>
      </c>
      <c r="F1114" t="s">
        <v>13</v>
      </c>
      <c r="G1114">
        <v>150</v>
      </c>
      <c r="H1114">
        <v>14</v>
      </c>
      <c r="I1114" t="s">
        <v>28</v>
      </c>
      <c r="J1114" t="str">
        <f>_xlfn.XLOOKUP(C1114,'product_masterlist(ifs)'!A:A,'product_masterlist(ifs)'!C:C,"N/A",0)</f>
        <v>Contact Lenses</v>
      </c>
      <c r="K1114">
        <f>VLOOKUP(C1114,'product_masterlist(ifs)'!A:I,7,FALSE)</f>
        <v>450</v>
      </c>
    </row>
    <row r="1115" spans="1:11" x14ac:dyDescent="0.35">
      <c r="A1115" t="s">
        <v>1397</v>
      </c>
      <c r="B1115" t="s">
        <v>71</v>
      </c>
      <c r="C1115" t="s">
        <v>11</v>
      </c>
      <c r="D1115">
        <v>12</v>
      </c>
      <c r="E1115" t="s">
        <v>20</v>
      </c>
      <c r="F1115" t="s">
        <v>13</v>
      </c>
      <c r="G1115">
        <v>1020</v>
      </c>
      <c r="H1115">
        <v>30</v>
      </c>
      <c r="I1115" t="s">
        <v>14</v>
      </c>
      <c r="J1115" t="str">
        <f>_xlfn.XLOOKUP(C1115,'product_masterlist(ifs)'!A:A,'product_masterlist(ifs)'!C:C,"N/A",0)</f>
        <v>Surgical</v>
      </c>
      <c r="K1115">
        <f>VLOOKUP(C1115,'product_masterlist(ifs)'!A:I,7,FALSE)</f>
        <v>40</v>
      </c>
    </row>
    <row r="1116" spans="1:11" x14ac:dyDescent="0.35">
      <c r="A1116" t="s">
        <v>1398</v>
      </c>
      <c r="B1116" t="s">
        <v>999</v>
      </c>
      <c r="C1116" t="s">
        <v>42</v>
      </c>
      <c r="D1116">
        <v>2</v>
      </c>
      <c r="E1116" t="s">
        <v>20</v>
      </c>
      <c r="F1116" t="s">
        <v>31</v>
      </c>
      <c r="G1116">
        <v>50</v>
      </c>
      <c r="H1116">
        <v>21</v>
      </c>
      <c r="I1116" t="s">
        <v>14</v>
      </c>
      <c r="J1116" t="str">
        <f>_xlfn.XLOOKUP(C1116,'product_masterlist(ifs)'!A:A,'product_masterlist(ifs)'!C:C,"N/A",0)</f>
        <v>Contact Lenses</v>
      </c>
      <c r="K1116">
        <f>VLOOKUP(C1116,'product_masterlist(ifs)'!A:I,7,FALSE)</f>
        <v>120</v>
      </c>
    </row>
    <row r="1117" spans="1:11" x14ac:dyDescent="0.35">
      <c r="A1117" t="s">
        <v>1399</v>
      </c>
      <c r="B1117" t="s">
        <v>446</v>
      </c>
      <c r="C1117" t="s">
        <v>53</v>
      </c>
      <c r="D1117">
        <v>3</v>
      </c>
      <c r="E1117" t="s">
        <v>22</v>
      </c>
      <c r="F1117" t="s">
        <v>18</v>
      </c>
      <c r="G1117" t="s">
        <v>278</v>
      </c>
      <c r="H1117">
        <v>7</v>
      </c>
      <c r="I1117" t="s">
        <v>28</v>
      </c>
      <c r="J1117" t="str">
        <f>_xlfn.XLOOKUP(C1117,'product_masterlist(ifs)'!A:A,'product_masterlist(ifs)'!C:C,"N/A",0)</f>
        <v>Solutions</v>
      </c>
      <c r="K1117">
        <f>VLOOKUP(C1117,'product_masterlist(ifs)'!A:I,7,FALSE)</f>
        <v>800</v>
      </c>
    </row>
    <row r="1118" spans="1:11" x14ac:dyDescent="0.35">
      <c r="A1118" t="s">
        <v>1400</v>
      </c>
      <c r="B1118" t="s">
        <v>117</v>
      </c>
      <c r="C1118" t="s">
        <v>26</v>
      </c>
      <c r="D1118">
        <v>16</v>
      </c>
      <c r="E1118" t="s">
        <v>22</v>
      </c>
      <c r="F1118" t="s">
        <v>23</v>
      </c>
      <c r="G1118">
        <v>200</v>
      </c>
      <c r="H1118">
        <v>14</v>
      </c>
      <c r="I1118" t="s">
        <v>28</v>
      </c>
      <c r="J1118" t="str">
        <f>_xlfn.XLOOKUP(C1118,'product_masterlist(ifs)'!A:A,'product_masterlist(ifs)'!C:C,"N/A",0)</f>
        <v>Contact Lenses</v>
      </c>
      <c r="K1118">
        <f>VLOOKUP(C1118,'product_masterlist(ifs)'!A:I,7,FALSE)</f>
        <v>450</v>
      </c>
    </row>
    <row r="1119" spans="1:11" x14ac:dyDescent="0.35">
      <c r="A1119" t="s">
        <v>1401</v>
      </c>
      <c r="B1119" s="1">
        <v>45841</v>
      </c>
      <c r="C1119" t="s">
        <v>17</v>
      </c>
      <c r="D1119">
        <v>24</v>
      </c>
      <c r="E1119" t="s">
        <v>22</v>
      </c>
      <c r="F1119" t="s">
        <v>23</v>
      </c>
      <c r="G1119">
        <v>1080</v>
      </c>
      <c r="H1119">
        <v>30</v>
      </c>
      <c r="I1119" t="s">
        <v>14</v>
      </c>
      <c r="J1119" t="str">
        <f>_xlfn.XLOOKUP(C1119,'product_masterlist(ifs)'!A:A,'product_masterlist(ifs)'!C:C,"N/A",0)</f>
        <v>Frames</v>
      </c>
      <c r="K1119">
        <f>VLOOKUP(C1119,'product_masterlist(ifs)'!A:I,7,FALSE)</f>
        <v>45</v>
      </c>
    </row>
    <row r="1120" spans="1:11" x14ac:dyDescent="0.35">
      <c r="A1120" t="s">
        <v>1402</v>
      </c>
      <c r="B1120" t="s">
        <v>159</v>
      </c>
      <c r="C1120" t="s">
        <v>90</v>
      </c>
      <c r="D1120">
        <v>20</v>
      </c>
      <c r="E1120" t="s">
        <v>20</v>
      </c>
      <c r="F1120" t="s">
        <v>13</v>
      </c>
      <c r="G1120">
        <v>970</v>
      </c>
      <c r="H1120">
        <v>30</v>
      </c>
      <c r="I1120" t="s">
        <v>14</v>
      </c>
      <c r="J1120" t="str">
        <f>_xlfn.XLOOKUP(C1120,'product_masterlist(ifs)'!A:A,'product_masterlist(ifs)'!C:C,"N/A",0)</f>
        <v>Frames</v>
      </c>
      <c r="K1120">
        <f>VLOOKUP(C1120,'product_masterlist(ifs)'!A:I,7,FALSE)</f>
        <v>180</v>
      </c>
    </row>
    <row r="1121" spans="1:11" x14ac:dyDescent="0.35">
      <c r="A1121" t="s">
        <v>1403</v>
      </c>
      <c r="B1121" t="s">
        <v>660</v>
      </c>
      <c r="C1121" t="s">
        <v>11</v>
      </c>
      <c r="D1121">
        <v>14</v>
      </c>
      <c r="E1121" t="s">
        <v>20</v>
      </c>
      <c r="F1121" t="s">
        <v>23</v>
      </c>
      <c r="G1121">
        <v>1190</v>
      </c>
      <c r="H1121">
        <v>30</v>
      </c>
      <c r="I1121" t="s">
        <v>14</v>
      </c>
      <c r="J1121" t="str">
        <f>_xlfn.XLOOKUP(C1121,'product_masterlist(ifs)'!A:A,'product_masterlist(ifs)'!C:C,"N/A",0)</f>
        <v>Surgical</v>
      </c>
      <c r="K1121">
        <f>VLOOKUP(C1121,'product_masterlist(ifs)'!A:I,7,FALSE)</f>
        <v>40</v>
      </c>
    </row>
    <row r="1122" spans="1:11" x14ac:dyDescent="0.35">
      <c r="A1122" t="s">
        <v>1404</v>
      </c>
      <c r="B1122" s="1">
        <v>45748</v>
      </c>
      <c r="C1122" t="s">
        <v>90</v>
      </c>
      <c r="D1122">
        <v>18</v>
      </c>
      <c r="E1122" t="s">
        <v>20</v>
      </c>
      <c r="F1122" t="s">
        <v>13</v>
      </c>
      <c r="G1122">
        <v>873</v>
      </c>
      <c r="H1122">
        <v>30</v>
      </c>
      <c r="I1122" t="s">
        <v>14</v>
      </c>
      <c r="J1122" t="str">
        <f>_xlfn.XLOOKUP(C1122,'product_masterlist(ifs)'!A:A,'product_masterlist(ifs)'!C:C,"N/A",0)</f>
        <v>Frames</v>
      </c>
      <c r="K1122">
        <f>VLOOKUP(C1122,'product_masterlist(ifs)'!A:I,7,FALSE)</f>
        <v>180</v>
      </c>
    </row>
    <row r="1123" spans="1:11" x14ac:dyDescent="0.35">
      <c r="A1123" t="s">
        <v>1405</v>
      </c>
      <c r="B1123" t="s">
        <v>823</v>
      </c>
      <c r="C1123" t="s">
        <v>33</v>
      </c>
      <c r="D1123">
        <v>17</v>
      </c>
      <c r="E1123" t="s">
        <v>37</v>
      </c>
      <c r="F1123" t="s">
        <v>31</v>
      </c>
      <c r="G1123">
        <v>2550</v>
      </c>
      <c r="H1123">
        <v>45</v>
      </c>
      <c r="I1123" t="s">
        <v>34</v>
      </c>
      <c r="J1123" t="str">
        <f>_xlfn.XLOOKUP(C1123,'product_masterlist(ifs)'!A:A,'product_masterlist(ifs)'!C:C,"N/A",0)</f>
        <v>Surgical</v>
      </c>
      <c r="K1123">
        <f>VLOOKUP(C1123,'product_masterlist(ifs)'!A:I,7,FALSE)</f>
        <v>15</v>
      </c>
    </row>
    <row r="1124" spans="1:11" x14ac:dyDescent="0.35">
      <c r="A1124" t="s">
        <v>1406</v>
      </c>
      <c r="B1124" t="s">
        <v>237</v>
      </c>
      <c r="C1124" t="s">
        <v>53</v>
      </c>
      <c r="D1124">
        <v>18</v>
      </c>
      <c r="E1124" t="s">
        <v>22</v>
      </c>
      <c r="F1124" t="s">
        <v>31</v>
      </c>
      <c r="G1124" t="s">
        <v>336</v>
      </c>
      <c r="H1124">
        <v>7</v>
      </c>
      <c r="I1124" t="s">
        <v>28</v>
      </c>
      <c r="J1124" t="str">
        <f>_xlfn.XLOOKUP(C1124,'product_masterlist(ifs)'!A:A,'product_masterlist(ifs)'!C:C,"N/A",0)</f>
        <v>Solutions</v>
      </c>
      <c r="K1124">
        <f>VLOOKUP(C1124,'product_masterlist(ifs)'!A:I,7,FALSE)</f>
        <v>800</v>
      </c>
    </row>
    <row r="1125" spans="1:11" x14ac:dyDescent="0.35">
      <c r="A1125" t="s">
        <v>1407</v>
      </c>
      <c r="B1125" t="s">
        <v>448</v>
      </c>
      <c r="C1125" t="s">
        <v>53</v>
      </c>
      <c r="D1125">
        <v>9</v>
      </c>
      <c r="E1125" t="s">
        <v>37</v>
      </c>
      <c r="F1125" t="s">
        <v>13</v>
      </c>
      <c r="G1125" t="s">
        <v>75</v>
      </c>
      <c r="H1125">
        <v>7</v>
      </c>
      <c r="I1125" t="s">
        <v>28</v>
      </c>
      <c r="J1125" t="str">
        <f>_xlfn.XLOOKUP(C1125,'product_masterlist(ifs)'!A:A,'product_masterlist(ifs)'!C:C,"N/A",0)</f>
        <v>Solutions</v>
      </c>
      <c r="K1125">
        <f>VLOOKUP(C1125,'product_masterlist(ifs)'!A:I,7,FALSE)</f>
        <v>800</v>
      </c>
    </row>
    <row r="1126" spans="1:11" x14ac:dyDescent="0.35">
      <c r="A1126" t="s">
        <v>1408</v>
      </c>
      <c r="B1126" s="1">
        <v>45815</v>
      </c>
      <c r="C1126" t="s">
        <v>33</v>
      </c>
      <c r="D1126">
        <v>13</v>
      </c>
      <c r="E1126" t="s">
        <v>22</v>
      </c>
      <c r="F1126" t="s">
        <v>23</v>
      </c>
      <c r="G1126">
        <v>1950</v>
      </c>
      <c r="H1126">
        <v>45</v>
      </c>
      <c r="I1126" t="s">
        <v>34</v>
      </c>
      <c r="J1126" t="str">
        <f>_xlfn.XLOOKUP(C1126,'product_masterlist(ifs)'!A:A,'product_masterlist(ifs)'!C:C,"N/A",0)</f>
        <v>Surgical</v>
      </c>
      <c r="K1126">
        <f>VLOOKUP(C1126,'product_masterlist(ifs)'!A:I,7,FALSE)</f>
        <v>15</v>
      </c>
    </row>
    <row r="1127" spans="1:11" x14ac:dyDescent="0.35">
      <c r="A1127" t="s">
        <v>1409</v>
      </c>
      <c r="B1127" t="s">
        <v>658</v>
      </c>
      <c r="C1127" t="s">
        <v>26</v>
      </c>
      <c r="D1127">
        <v>23</v>
      </c>
      <c r="E1127" t="s">
        <v>22</v>
      </c>
      <c r="F1127" t="s">
        <v>23</v>
      </c>
      <c r="G1127" t="s">
        <v>162</v>
      </c>
      <c r="H1127">
        <v>14</v>
      </c>
      <c r="I1127" t="s">
        <v>28</v>
      </c>
      <c r="J1127" t="str">
        <f>_xlfn.XLOOKUP(C1127,'product_masterlist(ifs)'!A:A,'product_masterlist(ifs)'!C:C,"N/A",0)</f>
        <v>Contact Lenses</v>
      </c>
      <c r="K1127">
        <f>VLOOKUP(C1127,'product_masterlist(ifs)'!A:I,7,FALSE)</f>
        <v>450</v>
      </c>
    </row>
    <row r="1128" spans="1:11" x14ac:dyDescent="0.35">
      <c r="A1128" t="s">
        <v>1410</v>
      </c>
      <c r="B1128" t="s">
        <v>757</v>
      </c>
      <c r="C1128" t="s">
        <v>53</v>
      </c>
      <c r="D1128">
        <v>5</v>
      </c>
      <c r="E1128" t="s">
        <v>22</v>
      </c>
      <c r="F1128" t="s">
        <v>13</v>
      </c>
      <c r="G1128" t="s">
        <v>854</v>
      </c>
      <c r="H1128">
        <v>7</v>
      </c>
      <c r="I1128" t="s">
        <v>28</v>
      </c>
      <c r="J1128" t="str">
        <f>_xlfn.XLOOKUP(C1128,'product_masterlist(ifs)'!A:A,'product_masterlist(ifs)'!C:C,"N/A",0)</f>
        <v>Solutions</v>
      </c>
      <c r="K1128">
        <f>VLOOKUP(C1128,'product_masterlist(ifs)'!A:I,7,FALSE)</f>
        <v>800</v>
      </c>
    </row>
    <row r="1129" spans="1:11" x14ac:dyDescent="0.35">
      <c r="A1129" t="s">
        <v>1411</v>
      </c>
      <c r="B1129" t="s">
        <v>706</v>
      </c>
      <c r="C1129" t="s">
        <v>90</v>
      </c>
      <c r="D1129">
        <v>10</v>
      </c>
      <c r="E1129" t="s">
        <v>22</v>
      </c>
      <c r="F1129" t="s">
        <v>13</v>
      </c>
      <c r="G1129">
        <v>485</v>
      </c>
      <c r="H1129">
        <v>30</v>
      </c>
      <c r="I1129" t="s">
        <v>14</v>
      </c>
      <c r="J1129" t="str">
        <f>_xlfn.XLOOKUP(C1129,'product_masterlist(ifs)'!A:A,'product_masterlist(ifs)'!C:C,"N/A",0)</f>
        <v>Frames</v>
      </c>
      <c r="K1129">
        <f>VLOOKUP(C1129,'product_masterlist(ifs)'!A:I,7,FALSE)</f>
        <v>180</v>
      </c>
    </row>
    <row r="1130" spans="1:11" x14ac:dyDescent="0.35">
      <c r="A1130" t="s">
        <v>1412</v>
      </c>
      <c r="B1130" s="1">
        <v>45842</v>
      </c>
      <c r="C1130" t="s">
        <v>90</v>
      </c>
      <c r="D1130">
        <v>18</v>
      </c>
      <c r="E1130" t="s">
        <v>12</v>
      </c>
      <c r="F1130" t="s">
        <v>31</v>
      </c>
      <c r="G1130">
        <v>873</v>
      </c>
      <c r="H1130">
        <v>30</v>
      </c>
      <c r="I1130" t="s">
        <v>14</v>
      </c>
      <c r="J1130" t="str">
        <f>_xlfn.XLOOKUP(C1130,'product_masterlist(ifs)'!A:A,'product_masterlist(ifs)'!C:C,"N/A",0)</f>
        <v>Frames</v>
      </c>
      <c r="K1130">
        <f>VLOOKUP(C1130,'product_masterlist(ifs)'!A:I,7,FALSE)</f>
        <v>180</v>
      </c>
    </row>
    <row r="1131" spans="1:11" x14ac:dyDescent="0.35">
      <c r="A1131" t="s">
        <v>1413</v>
      </c>
      <c r="B1131" t="s">
        <v>395</v>
      </c>
      <c r="C1131" t="s">
        <v>11</v>
      </c>
      <c r="D1131">
        <v>1</v>
      </c>
      <c r="E1131" t="s">
        <v>37</v>
      </c>
      <c r="F1131" t="s">
        <v>13</v>
      </c>
      <c r="G1131">
        <v>85</v>
      </c>
      <c r="H1131">
        <v>30</v>
      </c>
      <c r="I1131" t="s">
        <v>14</v>
      </c>
      <c r="J1131" t="str">
        <f>_xlfn.XLOOKUP(C1131,'product_masterlist(ifs)'!A:A,'product_masterlist(ifs)'!C:C,"N/A",0)</f>
        <v>Surgical</v>
      </c>
      <c r="K1131">
        <f>VLOOKUP(C1131,'product_masterlist(ifs)'!A:I,7,FALSE)</f>
        <v>40</v>
      </c>
    </row>
    <row r="1132" spans="1:11" x14ac:dyDescent="0.35">
      <c r="A1132" t="s">
        <v>1414</v>
      </c>
      <c r="B1132" s="1">
        <v>45749</v>
      </c>
      <c r="C1132" t="s">
        <v>33</v>
      </c>
      <c r="D1132">
        <v>20</v>
      </c>
      <c r="E1132" t="s">
        <v>12</v>
      </c>
      <c r="F1132" t="s">
        <v>18</v>
      </c>
      <c r="G1132">
        <v>3000</v>
      </c>
      <c r="H1132">
        <v>45</v>
      </c>
      <c r="I1132" t="s">
        <v>34</v>
      </c>
      <c r="J1132" t="str">
        <f>_xlfn.XLOOKUP(C1132,'product_masterlist(ifs)'!A:A,'product_masterlist(ifs)'!C:C,"N/A",0)</f>
        <v>Surgical</v>
      </c>
      <c r="K1132">
        <f>VLOOKUP(C1132,'product_masterlist(ifs)'!A:I,7,FALSE)</f>
        <v>15</v>
      </c>
    </row>
    <row r="1133" spans="1:11" x14ac:dyDescent="0.35">
      <c r="A1133" t="s">
        <v>1415</v>
      </c>
      <c r="B1133" t="s">
        <v>168</v>
      </c>
      <c r="C1133" t="s">
        <v>26</v>
      </c>
      <c r="D1133">
        <v>17</v>
      </c>
      <c r="E1133" t="s">
        <v>20</v>
      </c>
      <c r="F1133" t="s">
        <v>23</v>
      </c>
      <c r="G1133" t="s">
        <v>152</v>
      </c>
      <c r="H1133">
        <v>14</v>
      </c>
      <c r="I1133" t="s">
        <v>28</v>
      </c>
      <c r="J1133" t="str">
        <f>_xlfn.XLOOKUP(C1133,'product_masterlist(ifs)'!A:A,'product_masterlist(ifs)'!C:C,"N/A",0)</f>
        <v>Contact Lenses</v>
      </c>
      <c r="K1133">
        <f>VLOOKUP(C1133,'product_masterlist(ifs)'!A:I,7,FALSE)</f>
        <v>450</v>
      </c>
    </row>
    <row r="1134" spans="1:11" x14ac:dyDescent="0.35">
      <c r="A1134" t="s">
        <v>1416</v>
      </c>
      <c r="B1134" t="s">
        <v>674</v>
      </c>
      <c r="C1134" t="s">
        <v>11</v>
      </c>
      <c r="D1134">
        <v>25</v>
      </c>
      <c r="E1134" t="s">
        <v>20</v>
      </c>
      <c r="F1134" t="s">
        <v>13</v>
      </c>
      <c r="G1134">
        <v>2125</v>
      </c>
      <c r="H1134">
        <v>30</v>
      </c>
      <c r="I1134" t="s">
        <v>14</v>
      </c>
      <c r="J1134" t="str">
        <f>_xlfn.XLOOKUP(C1134,'product_masterlist(ifs)'!A:A,'product_masterlist(ifs)'!C:C,"N/A",0)</f>
        <v>Surgical</v>
      </c>
      <c r="K1134">
        <f>VLOOKUP(C1134,'product_masterlist(ifs)'!A:I,7,FALSE)</f>
        <v>40</v>
      </c>
    </row>
    <row r="1135" spans="1:11" x14ac:dyDescent="0.35">
      <c r="A1135" t="s">
        <v>1417</v>
      </c>
      <c r="B1135" s="1">
        <v>45878</v>
      </c>
      <c r="C1135" t="s">
        <v>42</v>
      </c>
      <c r="D1135">
        <v>12</v>
      </c>
      <c r="E1135" t="s">
        <v>22</v>
      </c>
      <c r="F1135" t="s">
        <v>13</v>
      </c>
      <c r="G1135">
        <v>300</v>
      </c>
      <c r="H1135">
        <v>21</v>
      </c>
      <c r="I1135" t="s">
        <v>14</v>
      </c>
      <c r="J1135" t="str">
        <f>_xlfn.XLOOKUP(C1135,'product_masterlist(ifs)'!A:A,'product_masterlist(ifs)'!C:C,"N/A",0)</f>
        <v>Contact Lenses</v>
      </c>
      <c r="K1135">
        <f>VLOOKUP(C1135,'product_masterlist(ifs)'!A:I,7,FALSE)</f>
        <v>120</v>
      </c>
    </row>
    <row r="1136" spans="1:11" x14ac:dyDescent="0.35">
      <c r="A1136" t="s">
        <v>1418</v>
      </c>
      <c r="B1136" s="1">
        <v>46001</v>
      </c>
      <c r="C1136" t="s">
        <v>11</v>
      </c>
      <c r="D1136">
        <v>2</v>
      </c>
      <c r="E1136" t="s">
        <v>37</v>
      </c>
      <c r="F1136" t="s">
        <v>23</v>
      </c>
      <c r="G1136">
        <v>170</v>
      </c>
      <c r="H1136">
        <v>30</v>
      </c>
      <c r="I1136" t="s">
        <v>14</v>
      </c>
      <c r="J1136" t="str">
        <f>_xlfn.XLOOKUP(C1136,'product_masterlist(ifs)'!A:A,'product_masterlist(ifs)'!C:C,"N/A",0)</f>
        <v>Surgical</v>
      </c>
      <c r="K1136">
        <f>VLOOKUP(C1136,'product_masterlist(ifs)'!A:I,7,FALSE)</f>
        <v>40</v>
      </c>
    </row>
    <row r="1137" spans="1:11" x14ac:dyDescent="0.35">
      <c r="A1137" t="s">
        <v>1419</v>
      </c>
      <c r="B1137" s="1">
        <v>45754</v>
      </c>
      <c r="C1137" t="s">
        <v>17</v>
      </c>
      <c r="D1137">
        <v>5</v>
      </c>
      <c r="E1137" t="s">
        <v>37</v>
      </c>
      <c r="F1137" t="s">
        <v>31</v>
      </c>
      <c r="G1137">
        <v>225</v>
      </c>
      <c r="H1137">
        <v>30</v>
      </c>
      <c r="I1137" t="s">
        <v>14</v>
      </c>
      <c r="J1137" t="str">
        <f>_xlfn.XLOOKUP(C1137,'product_masterlist(ifs)'!A:A,'product_masterlist(ifs)'!C:C,"N/A",0)</f>
        <v>Frames</v>
      </c>
      <c r="K1137">
        <f>VLOOKUP(C1137,'product_masterlist(ifs)'!A:I,7,FALSE)</f>
        <v>45</v>
      </c>
    </row>
    <row r="1138" spans="1:11" x14ac:dyDescent="0.35">
      <c r="A1138" t="s">
        <v>1420</v>
      </c>
      <c r="B1138" s="1">
        <v>45908</v>
      </c>
      <c r="C1138" t="s">
        <v>26</v>
      </c>
      <c r="D1138">
        <v>16</v>
      </c>
      <c r="E1138" t="s">
        <v>12</v>
      </c>
      <c r="F1138" t="s">
        <v>31</v>
      </c>
      <c r="G1138">
        <v>200</v>
      </c>
      <c r="H1138">
        <v>14</v>
      </c>
      <c r="I1138" t="s">
        <v>28</v>
      </c>
      <c r="J1138" t="str">
        <f>_xlfn.XLOOKUP(C1138,'product_masterlist(ifs)'!A:A,'product_masterlist(ifs)'!C:C,"N/A",0)</f>
        <v>Contact Lenses</v>
      </c>
      <c r="K1138">
        <f>VLOOKUP(C1138,'product_masterlist(ifs)'!A:I,7,FALSE)</f>
        <v>450</v>
      </c>
    </row>
    <row r="1139" spans="1:11" x14ac:dyDescent="0.35">
      <c r="A1139" t="s">
        <v>1421</v>
      </c>
      <c r="B1139" t="s">
        <v>151</v>
      </c>
      <c r="C1139" t="s">
        <v>33</v>
      </c>
      <c r="D1139">
        <v>2</v>
      </c>
      <c r="E1139" t="s">
        <v>37</v>
      </c>
      <c r="F1139" t="s">
        <v>13</v>
      </c>
      <c r="G1139">
        <v>300</v>
      </c>
      <c r="H1139">
        <v>45</v>
      </c>
      <c r="I1139" t="s">
        <v>34</v>
      </c>
      <c r="J1139" t="str">
        <f>_xlfn.XLOOKUP(C1139,'product_masterlist(ifs)'!A:A,'product_masterlist(ifs)'!C:C,"N/A",0)</f>
        <v>Surgical</v>
      </c>
      <c r="K1139">
        <f>VLOOKUP(C1139,'product_masterlist(ifs)'!A:I,7,FALSE)</f>
        <v>15</v>
      </c>
    </row>
    <row r="1140" spans="1:11" x14ac:dyDescent="0.35">
      <c r="A1140" t="s">
        <v>1422</v>
      </c>
      <c r="B1140" t="s">
        <v>350</v>
      </c>
      <c r="C1140" t="s">
        <v>17</v>
      </c>
      <c r="D1140">
        <v>6</v>
      </c>
      <c r="E1140" t="s">
        <v>12</v>
      </c>
      <c r="F1140" t="s">
        <v>31</v>
      </c>
      <c r="G1140">
        <v>270</v>
      </c>
      <c r="H1140">
        <v>30</v>
      </c>
      <c r="I1140" t="s">
        <v>14</v>
      </c>
      <c r="J1140" t="str">
        <f>_xlfn.XLOOKUP(C1140,'product_masterlist(ifs)'!A:A,'product_masterlist(ifs)'!C:C,"N/A",0)</f>
        <v>Frames</v>
      </c>
      <c r="K1140">
        <f>VLOOKUP(C1140,'product_masterlist(ifs)'!A:I,7,FALSE)</f>
        <v>45</v>
      </c>
    </row>
    <row r="1141" spans="1:11" x14ac:dyDescent="0.35">
      <c r="A1141" t="s">
        <v>1423</v>
      </c>
      <c r="B1141" s="1">
        <v>45932</v>
      </c>
      <c r="C1141" t="s">
        <v>90</v>
      </c>
      <c r="D1141">
        <v>5</v>
      </c>
      <c r="E1141" t="s">
        <v>20</v>
      </c>
      <c r="F1141" t="s">
        <v>23</v>
      </c>
      <c r="G1141" t="s">
        <v>332</v>
      </c>
      <c r="H1141">
        <v>30</v>
      </c>
      <c r="I1141" t="s">
        <v>14</v>
      </c>
      <c r="J1141" t="str">
        <f>_xlfn.XLOOKUP(C1141,'product_masterlist(ifs)'!A:A,'product_masterlist(ifs)'!C:C,"N/A",0)</f>
        <v>Frames</v>
      </c>
      <c r="K1141">
        <f>VLOOKUP(C1141,'product_masterlist(ifs)'!A:I,7,FALSE)</f>
        <v>180</v>
      </c>
    </row>
    <row r="1142" spans="1:11" x14ac:dyDescent="0.35">
      <c r="A1142" t="s">
        <v>1424</v>
      </c>
      <c r="B1142" s="1">
        <v>45781</v>
      </c>
      <c r="C1142" t="s">
        <v>90</v>
      </c>
      <c r="D1142">
        <v>18</v>
      </c>
      <c r="E1142" t="s">
        <v>20</v>
      </c>
      <c r="F1142" t="s">
        <v>18</v>
      </c>
      <c r="G1142">
        <v>873</v>
      </c>
      <c r="H1142">
        <v>30</v>
      </c>
      <c r="I1142" t="s">
        <v>14</v>
      </c>
      <c r="J1142" t="str">
        <f>_xlfn.XLOOKUP(C1142,'product_masterlist(ifs)'!A:A,'product_masterlist(ifs)'!C:C,"N/A",0)</f>
        <v>Frames</v>
      </c>
      <c r="K1142">
        <f>VLOOKUP(C1142,'product_masterlist(ifs)'!A:I,7,FALSE)</f>
        <v>180</v>
      </c>
    </row>
    <row r="1143" spans="1:11" x14ac:dyDescent="0.35">
      <c r="A1143" t="s">
        <v>1425</v>
      </c>
      <c r="B1143" s="1">
        <v>45942</v>
      </c>
      <c r="C1143" t="s">
        <v>33</v>
      </c>
      <c r="D1143">
        <v>14</v>
      </c>
      <c r="E1143" t="s">
        <v>37</v>
      </c>
      <c r="F1143" t="s">
        <v>18</v>
      </c>
      <c r="G1143">
        <v>2100</v>
      </c>
      <c r="H1143">
        <v>45</v>
      </c>
      <c r="I1143" t="s">
        <v>34</v>
      </c>
      <c r="J1143" t="str">
        <f>_xlfn.XLOOKUP(C1143,'product_masterlist(ifs)'!A:A,'product_masterlist(ifs)'!C:C,"N/A",0)</f>
        <v>Surgical</v>
      </c>
      <c r="K1143">
        <f>VLOOKUP(C1143,'product_masterlist(ifs)'!A:I,7,FALSE)</f>
        <v>15</v>
      </c>
    </row>
    <row r="1144" spans="1:11" x14ac:dyDescent="0.35">
      <c r="A1144" t="s">
        <v>1426</v>
      </c>
      <c r="B1144" t="s">
        <v>451</v>
      </c>
      <c r="C1144" t="s">
        <v>17</v>
      </c>
      <c r="D1144">
        <v>13</v>
      </c>
      <c r="E1144" t="s">
        <v>12</v>
      </c>
      <c r="F1144" t="s">
        <v>18</v>
      </c>
      <c r="G1144">
        <v>585</v>
      </c>
      <c r="H1144">
        <v>30</v>
      </c>
      <c r="I1144" t="s">
        <v>14</v>
      </c>
      <c r="J1144" t="str">
        <f>_xlfn.XLOOKUP(C1144,'product_masterlist(ifs)'!A:A,'product_masterlist(ifs)'!C:C,"N/A",0)</f>
        <v>Frames</v>
      </c>
      <c r="K1144">
        <f>VLOOKUP(C1144,'product_masterlist(ifs)'!A:I,7,FALSE)</f>
        <v>45</v>
      </c>
    </row>
    <row r="1145" spans="1:11" x14ac:dyDescent="0.35">
      <c r="A1145" t="s">
        <v>1427</v>
      </c>
      <c r="B1145" s="1">
        <v>45941</v>
      </c>
      <c r="C1145" t="s">
        <v>11</v>
      </c>
      <c r="D1145">
        <v>6</v>
      </c>
      <c r="E1145" t="s">
        <v>22</v>
      </c>
      <c r="F1145" t="s">
        <v>18</v>
      </c>
      <c r="G1145">
        <v>510</v>
      </c>
      <c r="H1145">
        <v>30</v>
      </c>
      <c r="I1145" t="s">
        <v>14</v>
      </c>
      <c r="J1145" t="str">
        <f>_xlfn.XLOOKUP(C1145,'product_masterlist(ifs)'!A:A,'product_masterlist(ifs)'!C:C,"N/A",0)</f>
        <v>Surgical</v>
      </c>
      <c r="K1145">
        <f>VLOOKUP(C1145,'product_masterlist(ifs)'!A:I,7,FALSE)</f>
        <v>40</v>
      </c>
    </row>
    <row r="1146" spans="1:11" x14ac:dyDescent="0.35">
      <c r="A1146" t="s">
        <v>1428</v>
      </c>
      <c r="B1146" s="1">
        <v>45872</v>
      </c>
      <c r="C1146" t="s">
        <v>90</v>
      </c>
      <c r="D1146">
        <v>16</v>
      </c>
      <c r="E1146" t="s">
        <v>20</v>
      </c>
      <c r="F1146" t="s">
        <v>13</v>
      </c>
      <c r="G1146">
        <v>776</v>
      </c>
      <c r="H1146">
        <v>30</v>
      </c>
      <c r="I1146" t="s">
        <v>14</v>
      </c>
      <c r="J1146" t="str">
        <f>_xlfn.XLOOKUP(C1146,'product_masterlist(ifs)'!A:A,'product_masterlist(ifs)'!C:C,"N/A",0)</f>
        <v>Frames</v>
      </c>
      <c r="K1146">
        <f>VLOOKUP(C1146,'product_masterlist(ifs)'!A:I,7,FALSE)</f>
        <v>180</v>
      </c>
    </row>
    <row r="1147" spans="1:11" x14ac:dyDescent="0.35">
      <c r="A1147" t="s">
        <v>1429</v>
      </c>
      <c r="B1147" s="1">
        <v>45692</v>
      </c>
      <c r="C1147" t="s">
        <v>42</v>
      </c>
      <c r="D1147">
        <v>6</v>
      </c>
      <c r="E1147" t="s">
        <v>37</v>
      </c>
      <c r="F1147" t="s">
        <v>23</v>
      </c>
      <c r="G1147">
        <v>150</v>
      </c>
      <c r="H1147">
        <v>21</v>
      </c>
      <c r="I1147" t="s">
        <v>14</v>
      </c>
      <c r="J1147" t="str">
        <f>_xlfn.XLOOKUP(C1147,'product_masterlist(ifs)'!A:A,'product_masterlist(ifs)'!C:C,"N/A",0)</f>
        <v>Contact Lenses</v>
      </c>
      <c r="K1147">
        <f>VLOOKUP(C1147,'product_masterlist(ifs)'!A:I,7,FALSE)</f>
        <v>120</v>
      </c>
    </row>
    <row r="1148" spans="1:11" x14ac:dyDescent="0.35">
      <c r="A1148" t="s">
        <v>1430</v>
      </c>
      <c r="B1148" s="1">
        <v>45850</v>
      </c>
      <c r="C1148" t="s">
        <v>90</v>
      </c>
      <c r="D1148">
        <v>21</v>
      </c>
      <c r="E1148" t="s">
        <v>22</v>
      </c>
      <c r="F1148" t="s">
        <v>13</v>
      </c>
      <c r="G1148" t="s">
        <v>120</v>
      </c>
      <c r="H1148">
        <v>30</v>
      </c>
      <c r="I1148" t="s">
        <v>14</v>
      </c>
      <c r="J1148" t="str">
        <f>_xlfn.XLOOKUP(C1148,'product_masterlist(ifs)'!A:A,'product_masterlist(ifs)'!C:C,"N/A",0)</f>
        <v>Frames</v>
      </c>
      <c r="K1148">
        <f>VLOOKUP(C1148,'product_masterlist(ifs)'!A:I,7,FALSE)</f>
        <v>180</v>
      </c>
    </row>
    <row r="1149" spans="1:11" x14ac:dyDescent="0.35">
      <c r="A1149" t="s">
        <v>1431</v>
      </c>
      <c r="B1149" t="s">
        <v>194</v>
      </c>
      <c r="C1149" t="s">
        <v>11</v>
      </c>
      <c r="D1149">
        <v>6</v>
      </c>
      <c r="E1149" t="s">
        <v>22</v>
      </c>
      <c r="F1149" t="s">
        <v>18</v>
      </c>
      <c r="G1149">
        <v>510</v>
      </c>
      <c r="H1149">
        <v>30</v>
      </c>
      <c r="I1149" t="s">
        <v>14</v>
      </c>
      <c r="J1149" t="str">
        <f>_xlfn.XLOOKUP(C1149,'product_masterlist(ifs)'!A:A,'product_masterlist(ifs)'!C:C,"N/A",0)</f>
        <v>Surgical</v>
      </c>
      <c r="K1149">
        <f>VLOOKUP(C1149,'product_masterlist(ifs)'!A:I,7,FALSE)</f>
        <v>40</v>
      </c>
    </row>
    <row r="1150" spans="1:11" x14ac:dyDescent="0.35">
      <c r="A1150" t="s">
        <v>1432</v>
      </c>
      <c r="B1150" s="1">
        <v>45970</v>
      </c>
      <c r="C1150" t="s">
        <v>17</v>
      </c>
      <c r="D1150">
        <v>3</v>
      </c>
      <c r="E1150" t="s">
        <v>22</v>
      </c>
      <c r="F1150" t="s">
        <v>18</v>
      </c>
      <c r="G1150">
        <v>135</v>
      </c>
      <c r="H1150">
        <v>30</v>
      </c>
      <c r="I1150" t="s">
        <v>14</v>
      </c>
      <c r="J1150" t="str">
        <f>_xlfn.XLOOKUP(C1150,'product_masterlist(ifs)'!A:A,'product_masterlist(ifs)'!C:C,"N/A",0)</f>
        <v>Frames</v>
      </c>
      <c r="K1150">
        <f>VLOOKUP(C1150,'product_masterlist(ifs)'!A:I,7,FALSE)</f>
        <v>45</v>
      </c>
    </row>
    <row r="1151" spans="1:11" x14ac:dyDescent="0.35">
      <c r="A1151" t="s">
        <v>1433</v>
      </c>
      <c r="B1151" s="1">
        <v>45875</v>
      </c>
      <c r="C1151" t="s">
        <v>17</v>
      </c>
      <c r="D1151">
        <v>12</v>
      </c>
      <c r="E1151" t="s">
        <v>12</v>
      </c>
      <c r="F1151" t="s">
        <v>13</v>
      </c>
      <c r="G1151">
        <v>540</v>
      </c>
      <c r="H1151">
        <v>30</v>
      </c>
      <c r="I1151" t="s">
        <v>14</v>
      </c>
      <c r="J1151" t="str">
        <f>_xlfn.XLOOKUP(C1151,'product_masterlist(ifs)'!A:A,'product_masterlist(ifs)'!C:C,"N/A",0)</f>
        <v>Frames</v>
      </c>
      <c r="K1151">
        <f>VLOOKUP(C1151,'product_masterlist(ifs)'!A:I,7,FALSE)</f>
        <v>45</v>
      </c>
    </row>
    <row r="1152" spans="1:11" x14ac:dyDescent="0.35">
      <c r="A1152" t="s">
        <v>1434</v>
      </c>
      <c r="B1152" s="1">
        <v>45817</v>
      </c>
      <c r="C1152" t="s">
        <v>11</v>
      </c>
      <c r="D1152">
        <v>10</v>
      </c>
      <c r="E1152" t="s">
        <v>37</v>
      </c>
      <c r="F1152" t="s">
        <v>13</v>
      </c>
      <c r="G1152">
        <v>850</v>
      </c>
      <c r="H1152">
        <v>30</v>
      </c>
      <c r="I1152" t="s">
        <v>14</v>
      </c>
      <c r="J1152" t="str">
        <f>_xlfn.XLOOKUP(C1152,'product_masterlist(ifs)'!A:A,'product_masterlist(ifs)'!C:C,"N/A",0)</f>
        <v>Surgical</v>
      </c>
      <c r="K1152">
        <f>VLOOKUP(C1152,'product_masterlist(ifs)'!A:I,7,FALSE)</f>
        <v>40</v>
      </c>
    </row>
    <row r="1153" spans="1:11" x14ac:dyDescent="0.35">
      <c r="A1153" t="s">
        <v>1435</v>
      </c>
      <c r="B1153" t="s">
        <v>742</v>
      </c>
      <c r="C1153" t="s">
        <v>42</v>
      </c>
      <c r="D1153">
        <v>22</v>
      </c>
      <c r="E1153" t="s">
        <v>20</v>
      </c>
      <c r="F1153" t="s">
        <v>18</v>
      </c>
      <c r="G1153">
        <v>550</v>
      </c>
      <c r="H1153">
        <v>21</v>
      </c>
      <c r="I1153" t="s">
        <v>14</v>
      </c>
      <c r="J1153" t="str">
        <f>_xlfn.XLOOKUP(C1153,'product_masterlist(ifs)'!A:A,'product_masterlist(ifs)'!C:C,"N/A",0)</f>
        <v>Contact Lenses</v>
      </c>
      <c r="K1153">
        <f>VLOOKUP(C1153,'product_masterlist(ifs)'!A:I,7,FALSE)</f>
        <v>120</v>
      </c>
    </row>
    <row r="1154" spans="1:11" x14ac:dyDescent="0.35">
      <c r="A1154" t="s">
        <v>1436</v>
      </c>
      <c r="B1154" s="1">
        <v>45779</v>
      </c>
      <c r="C1154" t="s">
        <v>17</v>
      </c>
      <c r="D1154">
        <v>25</v>
      </c>
      <c r="E1154" t="s">
        <v>37</v>
      </c>
      <c r="F1154" t="s">
        <v>31</v>
      </c>
      <c r="G1154">
        <v>1125</v>
      </c>
      <c r="H1154">
        <v>30</v>
      </c>
      <c r="I1154" t="s">
        <v>14</v>
      </c>
      <c r="J1154" t="str">
        <f>_xlfn.XLOOKUP(C1154,'product_masterlist(ifs)'!A:A,'product_masterlist(ifs)'!C:C,"N/A",0)</f>
        <v>Frames</v>
      </c>
      <c r="K1154">
        <f>VLOOKUP(C1154,'product_masterlist(ifs)'!A:I,7,FALSE)</f>
        <v>45</v>
      </c>
    </row>
    <row r="1155" spans="1:11" x14ac:dyDescent="0.35">
      <c r="A1155" t="s">
        <v>1437</v>
      </c>
      <c r="B1155" s="1">
        <v>45722</v>
      </c>
      <c r="C1155" t="s">
        <v>53</v>
      </c>
      <c r="D1155">
        <v>11</v>
      </c>
      <c r="E1155" t="s">
        <v>20</v>
      </c>
      <c r="F1155" t="s">
        <v>23</v>
      </c>
      <c r="G1155" t="s">
        <v>240</v>
      </c>
      <c r="H1155">
        <v>7</v>
      </c>
      <c r="I1155" t="s">
        <v>28</v>
      </c>
      <c r="J1155" t="str">
        <f>_xlfn.XLOOKUP(C1155,'product_masterlist(ifs)'!A:A,'product_masterlist(ifs)'!C:C,"N/A",0)</f>
        <v>Solutions</v>
      </c>
      <c r="K1155">
        <f>VLOOKUP(C1155,'product_masterlist(ifs)'!A:I,7,FALSE)</f>
        <v>800</v>
      </c>
    </row>
    <row r="1156" spans="1:11" x14ac:dyDescent="0.35">
      <c r="A1156" t="s">
        <v>1438</v>
      </c>
      <c r="B1156" t="s">
        <v>1050</v>
      </c>
      <c r="C1156" t="s">
        <v>42</v>
      </c>
      <c r="D1156">
        <v>7</v>
      </c>
      <c r="E1156" t="s">
        <v>12</v>
      </c>
      <c r="F1156" t="s">
        <v>31</v>
      </c>
      <c r="G1156">
        <v>175</v>
      </c>
      <c r="H1156">
        <v>21</v>
      </c>
      <c r="I1156" t="s">
        <v>14</v>
      </c>
      <c r="J1156" t="str">
        <f>_xlfn.XLOOKUP(C1156,'product_masterlist(ifs)'!A:A,'product_masterlist(ifs)'!C:C,"N/A",0)</f>
        <v>Contact Lenses</v>
      </c>
      <c r="K1156">
        <f>VLOOKUP(C1156,'product_masterlist(ifs)'!A:I,7,FALSE)</f>
        <v>120</v>
      </c>
    </row>
    <row r="1157" spans="1:11" x14ac:dyDescent="0.35">
      <c r="A1157" t="s">
        <v>1439</v>
      </c>
      <c r="B1157" t="s">
        <v>317</v>
      </c>
      <c r="C1157" t="s">
        <v>11</v>
      </c>
      <c r="D1157">
        <v>8</v>
      </c>
      <c r="E1157" t="s">
        <v>12</v>
      </c>
      <c r="F1157" t="s">
        <v>18</v>
      </c>
      <c r="G1157">
        <v>680</v>
      </c>
      <c r="H1157">
        <v>30</v>
      </c>
      <c r="I1157" t="s">
        <v>14</v>
      </c>
      <c r="J1157" t="str">
        <f>_xlfn.XLOOKUP(C1157,'product_masterlist(ifs)'!A:A,'product_masterlist(ifs)'!C:C,"N/A",0)</f>
        <v>Surgical</v>
      </c>
      <c r="K1157">
        <f>VLOOKUP(C1157,'product_masterlist(ifs)'!A:I,7,FALSE)</f>
        <v>40</v>
      </c>
    </row>
    <row r="1158" spans="1:11" x14ac:dyDescent="0.35">
      <c r="A1158" t="s">
        <v>1440</v>
      </c>
      <c r="B1158" s="1">
        <v>45751</v>
      </c>
      <c r="C1158" t="s">
        <v>90</v>
      </c>
      <c r="D1158">
        <v>18</v>
      </c>
      <c r="E1158" t="s">
        <v>12</v>
      </c>
      <c r="F1158" t="s">
        <v>31</v>
      </c>
      <c r="G1158">
        <v>873</v>
      </c>
      <c r="H1158">
        <v>30</v>
      </c>
      <c r="I1158" t="s">
        <v>14</v>
      </c>
      <c r="J1158" t="str">
        <f>_xlfn.XLOOKUP(C1158,'product_masterlist(ifs)'!A:A,'product_masterlist(ifs)'!C:C,"N/A",0)</f>
        <v>Frames</v>
      </c>
      <c r="K1158">
        <f>VLOOKUP(C1158,'product_masterlist(ifs)'!A:I,7,FALSE)</f>
        <v>180</v>
      </c>
    </row>
    <row r="1159" spans="1:11" x14ac:dyDescent="0.35">
      <c r="A1159" t="s">
        <v>1441</v>
      </c>
      <c r="B1159" s="1">
        <v>45809</v>
      </c>
      <c r="C1159" t="s">
        <v>42</v>
      </c>
      <c r="D1159">
        <v>2</v>
      </c>
      <c r="E1159" t="s">
        <v>12</v>
      </c>
      <c r="F1159" t="s">
        <v>31</v>
      </c>
      <c r="G1159">
        <v>50</v>
      </c>
      <c r="H1159">
        <v>21</v>
      </c>
      <c r="I1159" t="s">
        <v>14</v>
      </c>
      <c r="J1159" t="str">
        <f>_xlfn.XLOOKUP(C1159,'product_masterlist(ifs)'!A:A,'product_masterlist(ifs)'!C:C,"N/A",0)</f>
        <v>Contact Lenses</v>
      </c>
      <c r="K1159">
        <f>VLOOKUP(C1159,'product_masterlist(ifs)'!A:I,7,FALSE)</f>
        <v>120</v>
      </c>
    </row>
    <row r="1160" spans="1:11" x14ac:dyDescent="0.35">
      <c r="A1160" t="s">
        <v>1442</v>
      </c>
      <c r="B1160" t="s">
        <v>131</v>
      </c>
      <c r="C1160" t="s">
        <v>11</v>
      </c>
      <c r="D1160">
        <v>3</v>
      </c>
      <c r="E1160" t="s">
        <v>12</v>
      </c>
      <c r="F1160" t="s">
        <v>23</v>
      </c>
      <c r="G1160">
        <v>255</v>
      </c>
      <c r="H1160">
        <v>30</v>
      </c>
      <c r="I1160" t="s">
        <v>14</v>
      </c>
      <c r="J1160" t="str">
        <f>_xlfn.XLOOKUP(C1160,'product_masterlist(ifs)'!A:A,'product_masterlist(ifs)'!C:C,"N/A",0)</f>
        <v>Surgical</v>
      </c>
      <c r="K1160">
        <f>VLOOKUP(C1160,'product_masterlist(ifs)'!A:I,7,FALSE)</f>
        <v>40</v>
      </c>
    </row>
    <row r="1161" spans="1:11" x14ac:dyDescent="0.35">
      <c r="A1161" t="s">
        <v>1443</v>
      </c>
      <c r="B1161" t="s">
        <v>1099</v>
      </c>
      <c r="C1161" t="s">
        <v>26</v>
      </c>
      <c r="D1161">
        <v>10</v>
      </c>
      <c r="E1161" t="s">
        <v>37</v>
      </c>
      <c r="F1161" t="s">
        <v>18</v>
      </c>
      <c r="G1161">
        <v>125</v>
      </c>
      <c r="H1161">
        <v>14</v>
      </c>
      <c r="I1161" t="s">
        <v>28</v>
      </c>
      <c r="J1161" t="str">
        <f>_xlfn.XLOOKUP(C1161,'product_masterlist(ifs)'!A:A,'product_masterlist(ifs)'!C:C,"N/A",0)</f>
        <v>Contact Lenses</v>
      </c>
      <c r="K1161">
        <f>VLOOKUP(C1161,'product_masterlist(ifs)'!A:I,7,FALSE)</f>
        <v>450</v>
      </c>
    </row>
    <row r="1162" spans="1:11" x14ac:dyDescent="0.35">
      <c r="A1162" t="s">
        <v>1444</v>
      </c>
      <c r="B1162" t="s">
        <v>312</v>
      </c>
      <c r="C1162" t="s">
        <v>42</v>
      </c>
      <c r="D1162">
        <v>24</v>
      </c>
      <c r="E1162" t="s">
        <v>12</v>
      </c>
      <c r="F1162" t="s">
        <v>31</v>
      </c>
      <c r="G1162">
        <v>600</v>
      </c>
      <c r="H1162">
        <v>21</v>
      </c>
      <c r="I1162" t="s">
        <v>14</v>
      </c>
      <c r="J1162" t="str">
        <f>_xlfn.XLOOKUP(C1162,'product_masterlist(ifs)'!A:A,'product_masterlist(ifs)'!C:C,"N/A",0)</f>
        <v>Contact Lenses</v>
      </c>
      <c r="K1162">
        <f>VLOOKUP(C1162,'product_masterlist(ifs)'!A:I,7,FALSE)</f>
        <v>120</v>
      </c>
    </row>
    <row r="1163" spans="1:11" x14ac:dyDescent="0.35">
      <c r="A1163" t="s">
        <v>1445</v>
      </c>
      <c r="B1163" t="s">
        <v>674</v>
      </c>
      <c r="C1163" t="s">
        <v>26</v>
      </c>
      <c r="D1163">
        <v>14</v>
      </c>
      <c r="E1163" t="s">
        <v>22</v>
      </c>
      <c r="F1163" t="s">
        <v>31</v>
      </c>
      <c r="G1163">
        <v>175</v>
      </c>
      <c r="H1163">
        <v>14</v>
      </c>
      <c r="I1163" t="s">
        <v>28</v>
      </c>
      <c r="J1163" t="str">
        <f>_xlfn.XLOOKUP(C1163,'product_masterlist(ifs)'!A:A,'product_masterlist(ifs)'!C:C,"N/A",0)</f>
        <v>Contact Lenses</v>
      </c>
      <c r="K1163">
        <f>VLOOKUP(C1163,'product_masterlist(ifs)'!A:I,7,FALSE)</f>
        <v>450</v>
      </c>
    </row>
    <row r="1164" spans="1:11" x14ac:dyDescent="0.35">
      <c r="A1164" t="s">
        <v>1446</v>
      </c>
      <c r="B1164" t="s">
        <v>135</v>
      </c>
      <c r="C1164" t="s">
        <v>26</v>
      </c>
      <c r="D1164">
        <v>21</v>
      </c>
      <c r="E1164" t="s">
        <v>37</v>
      </c>
      <c r="F1164" t="s">
        <v>13</v>
      </c>
      <c r="G1164" t="s">
        <v>366</v>
      </c>
      <c r="H1164">
        <v>14</v>
      </c>
      <c r="I1164" t="s">
        <v>28</v>
      </c>
      <c r="J1164" t="str">
        <f>_xlfn.XLOOKUP(C1164,'product_masterlist(ifs)'!A:A,'product_masterlist(ifs)'!C:C,"N/A",0)</f>
        <v>Contact Lenses</v>
      </c>
      <c r="K1164">
        <f>VLOOKUP(C1164,'product_masterlist(ifs)'!A:I,7,FALSE)</f>
        <v>450</v>
      </c>
    </row>
    <row r="1165" spans="1:11" x14ac:dyDescent="0.35">
      <c r="A1165" t="s">
        <v>1447</v>
      </c>
      <c r="B1165" t="s">
        <v>584</v>
      </c>
      <c r="C1165" t="s">
        <v>90</v>
      </c>
      <c r="D1165">
        <v>4</v>
      </c>
      <c r="E1165" t="s">
        <v>12</v>
      </c>
      <c r="F1165" t="s">
        <v>31</v>
      </c>
      <c r="G1165">
        <v>194</v>
      </c>
      <c r="H1165">
        <v>30</v>
      </c>
      <c r="I1165" t="s">
        <v>14</v>
      </c>
      <c r="J1165" t="str">
        <f>_xlfn.XLOOKUP(C1165,'product_masterlist(ifs)'!A:A,'product_masterlist(ifs)'!C:C,"N/A",0)</f>
        <v>Frames</v>
      </c>
      <c r="K1165">
        <f>VLOOKUP(C1165,'product_masterlist(ifs)'!A:I,7,FALSE)</f>
        <v>180</v>
      </c>
    </row>
    <row r="1166" spans="1:11" x14ac:dyDescent="0.35">
      <c r="A1166" t="s">
        <v>1448</v>
      </c>
      <c r="B1166" t="s">
        <v>888</v>
      </c>
      <c r="C1166" t="s">
        <v>42</v>
      </c>
      <c r="D1166">
        <v>13</v>
      </c>
      <c r="E1166" t="s">
        <v>22</v>
      </c>
      <c r="F1166" t="s">
        <v>31</v>
      </c>
      <c r="G1166">
        <v>325</v>
      </c>
      <c r="H1166">
        <v>21</v>
      </c>
      <c r="I1166" t="s">
        <v>14</v>
      </c>
      <c r="J1166" t="str">
        <f>_xlfn.XLOOKUP(C1166,'product_masterlist(ifs)'!A:A,'product_masterlist(ifs)'!C:C,"N/A",0)</f>
        <v>Contact Lenses</v>
      </c>
      <c r="K1166">
        <f>VLOOKUP(C1166,'product_masterlist(ifs)'!A:I,7,FALSE)</f>
        <v>120</v>
      </c>
    </row>
    <row r="1167" spans="1:11" x14ac:dyDescent="0.35">
      <c r="A1167" t="s">
        <v>1449</v>
      </c>
      <c r="B1167" t="s">
        <v>871</v>
      </c>
      <c r="C1167" t="s">
        <v>11</v>
      </c>
      <c r="D1167">
        <v>25</v>
      </c>
      <c r="E1167" t="s">
        <v>12</v>
      </c>
      <c r="F1167" t="s">
        <v>13</v>
      </c>
      <c r="G1167">
        <v>2125</v>
      </c>
      <c r="H1167">
        <v>30</v>
      </c>
      <c r="I1167" t="s">
        <v>14</v>
      </c>
      <c r="J1167" t="str">
        <f>_xlfn.XLOOKUP(C1167,'product_masterlist(ifs)'!A:A,'product_masterlist(ifs)'!C:C,"N/A",0)</f>
        <v>Surgical</v>
      </c>
      <c r="K1167">
        <f>VLOOKUP(C1167,'product_masterlist(ifs)'!A:I,7,FALSE)</f>
        <v>40</v>
      </c>
    </row>
    <row r="1168" spans="1:11" x14ac:dyDescent="0.35">
      <c r="A1168" t="s">
        <v>1450</v>
      </c>
      <c r="B1168" t="s">
        <v>97</v>
      </c>
      <c r="C1168" t="s">
        <v>33</v>
      </c>
      <c r="D1168">
        <v>10</v>
      </c>
      <c r="E1168" t="s">
        <v>20</v>
      </c>
      <c r="F1168" t="s">
        <v>23</v>
      </c>
      <c r="G1168">
        <v>1500</v>
      </c>
      <c r="H1168">
        <v>45</v>
      </c>
      <c r="I1168" t="s">
        <v>34</v>
      </c>
      <c r="J1168" t="str">
        <f>_xlfn.XLOOKUP(C1168,'product_masterlist(ifs)'!A:A,'product_masterlist(ifs)'!C:C,"N/A",0)</f>
        <v>Surgical</v>
      </c>
      <c r="K1168">
        <f>VLOOKUP(C1168,'product_masterlist(ifs)'!A:I,7,FALSE)</f>
        <v>15</v>
      </c>
    </row>
    <row r="1169" spans="1:11" x14ac:dyDescent="0.35">
      <c r="A1169" t="s">
        <v>1451</v>
      </c>
      <c r="B1169" t="s">
        <v>704</v>
      </c>
      <c r="C1169" t="s">
        <v>33</v>
      </c>
      <c r="D1169">
        <v>19</v>
      </c>
      <c r="E1169" t="s">
        <v>12</v>
      </c>
      <c r="F1169" t="s">
        <v>31</v>
      </c>
      <c r="G1169">
        <v>2850</v>
      </c>
      <c r="H1169">
        <v>45</v>
      </c>
      <c r="I1169" t="s">
        <v>34</v>
      </c>
      <c r="J1169" t="str">
        <f>_xlfn.XLOOKUP(C1169,'product_masterlist(ifs)'!A:A,'product_masterlist(ifs)'!C:C,"N/A",0)</f>
        <v>Surgical</v>
      </c>
      <c r="K1169">
        <f>VLOOKUP(C1169,'product_masterlist(ifs)'!A:I,7,FALSE)</f>
        <v>15</v>
      </c>
    </row>
    <row r="1170" spans="1:11" x14ac:dyDescent="0.35">
      <c r="A1170" t="s">
        <v>1452</v>
      </c>
      <c r="B1170" t="s">
        <v>212</v>
      </c>
      <c r="C1170" t="s">
        <v>26</v>
      </c>
      <c r="D1170">
        <v>25</v>
      </c>
      <c r="E1170" t="s">
        <v>37</v>
      </c>
      <c r="F1170" t="s">
        <v>18</v>
      </c>
      <c r="G1170" t="s">
        <v>285</v>
      </c>
      <c r="H1170">
        <v>14</v>
      </c>
      <c r="I1170" t="s">
        <v>28</v>
      </c>
      <c r="J1170" t="str">
        <f>_xlfn.XLOOKUP(C1170,'product_masterlist(ifs)'!A:A,'product_masterlist(ifs)'!C:C,"N/A",0)</f>
        <v>Contact Lenses</v>
      </c>
      <c r="K1170">
        <f>VLOOKUP(C1170,'product_masterlist(ifs)'!A:I,7,FALSE)</f>
        <v>450</v>
      </c>
    </row>
    <row r="1171" spans="1:11" x14ac:dyDescent="0.35">
      <c r="A1171" t="s">
        <v>1453</v>
      </c>
      <c r="B1171" t="s">
        <v>151</v>
      </c>
      <c r="C1171" t="s">
        <v>17</v>
      </c>
      <c r="D1171">
        <v>12</v>
      </c>
      <c r="E1171" t="s">
        <v>37</v>
      </c>
      <c r="F1171" t="s">
        <v>18</v>
      </c>
      <c r="G1171">
        <v>540</v>
      </c>
      <c r="H1171">
        <v>30</v>
      </c>
      <c r="I1171" t="s">
        <v>14</v>
      </c>
      <c r="J1171" t="str">
        <f>_xlfn.XLOOKUP(C1171,'product_masterlist(ifs)'!A:A,'product_masterlist(ifs)'!C:C,"N/A",0)</f>
        <v>Frames</v>
      </c>
      <c r="K1171">
        <f>VLOOKUP(C1171,'product_masterlist(ifs)'!A:I,7,FALSE)</f>
        <v>45</v>
      </c>
    </row>
    <row r="1172" spans="1:11" x14ac:dyDescent="0.35">
      <c r="A1172" t="s">
        <v>1454</v>
      </c>
      <c r="B1172" s="1">
        <v>45878</v>
      </c>
      <c r="C1172" t="s">
        <v>53</v>
      </c>
      <c r="D1172">
        <v>18</v>
      </c>
      <c r="E1172" t="s">
        <v>20</v>
      </c>
      <c r="F1172" t="s">
        <v>23</v>
      </c>
      <c r="G1172" t="s">
        <v>336</v>
      </c>
      <c r="H1172">
        <v>7</v>
      </c>
      <c r="I1172" t="s">
        <v>28</v>
      </c>
      <c r="J1172" t="str">
        <f>_xlfn.XLOOKUP(C1172,'product_masterlist(ifs)'!A:A,'product_masterlist(ifs)'!C:C,"N/A",0)</f>
        <v>Solutions</v>
      </c>
      <c r="K1172">
        <f>VLOOKUP(C1172,'product_masterlist(ifs)'!A:I,7,FALSE)</f>
        <v>800</v>
      </c>
    </row>
    <row r="1173" spans="1:11" x14ac:dyDescent="0.35">
      <c r="A1173" t="s">
        <v>1455</v>
      </c>
      <c r="B1173" s="1">
        <v>45938</v>
      </c>
      <c r="C1173" t="s">
        <v>53</v>
      </c>
      <c r="D1173">
        <v>6</v>
      </c>
      <c r="E1173" t="s">
        <v>20</v>
      </c>
      <c r="F1173" t="s">
        <v>31</v>
      </c>
      <c r="G1173" t="s">
        <v>369</v>
      </c>
      <c r="H1173">
        <v>7</v>
      </c>
      <c r="I1173" t="s">
        <v>28</v>
      </c>
      <c r="J1173" t="str">
        <f>_xlfn.XLOOKUP(C1173,'product_masterlist(ifs)'!A:A,'product_masterlist(ifs)'!C:C,"N/A",0)</f>
        <v>Solutions</v>
      </c>
      <c r="K1173">
        <f>VLOOKUP(C1173,'product_masterlist(ifs)'!A:I,7,FALSE)</f>
        <v>800</v>
      </c>
    </row>
    <row r="1174" spans="1:11" x14ac:dyDescent="0.35">
      <c r="A1174" t="s">
        <v>1456</v>
      </c>
      <c r="B1174" t="s">
        <v>567</v>
      </c>
      <c r="C1174" t="s">
        <v>26</v>
      </c>
      <c r="D1174">
        <v>14</v>
      </c>
      <c r="E1174" t="s">
        <v>20</v>
      </c>
      <c r="F1174" t="s">
        <v>23</v>
      </c>
      <c r="G1174">
        <v>175</v>
      </c>
      <c r="H1174">
        <v>14</v>
      </c>
      <c r="I1174" t="s">
        <v>28</v>
      </c>
      <c r="J1174" t="str">
        <f>_xlfn.XLOOKUP(C1174,'product_masterlist(ifs)'!A:A,'product_masterlist(ifs)'!C:C,"N/A",0)</f>
        <v>Contact Lenses</v>
      </c>
      <c r="K1174">
        <f>VLOOKUP(C1174,'product_masterlist(ifs)'!A:I,7,FALSE)</f>
        <v>450</v>
      </c>
    </row>
    <row r="1175" spans="1:11" x14ac:dyDescent="0.35">
      <c r="A1175" t="s">
        <v>1457</v>
      </c>
      <c r="B1175" s="1">
        <v>45782</v>
      </c>
      <c r="C1175" t="s">
        <v>11</v>
      </c>
      <c r="D1175">
        <v>1</v>
      </c>
      <c r="E1175" t="s">
        <v>37</v>
      </c>
      <c r="F1175" t="s">
        <v>31</v>
      </c>
      <c r="G1175">
        <v>85</v>
      </c>
      <c r="H1175">
        <v>30</v>
      </c>
      <c r="I1175" t="s">
        <v>14</v>
      </c>
      <c r="J1175" t="str">
        <f>_xlfn.XLOOKUP(C1175,'product_masterlist(ifs)'!A:A,'product_masterlist(ifs)'!C:C,"N/A",0)</f>
        <v>Surgical</v>
      </c>
      <c r="K1175">
        <f>VLOOKUP(C1175,'product_masterlist(ifs)'!A:I,7,FALSE)</f>
        <v>40</v>
      </c>
    </row>
    <row r="1176" spans="1:11" x14ac:dyDescent="0.35">
      <c r="A1176" t="s">
        <v>1458</v>
      </c>
      <c r="B1176" s="1">
        <v>45755</v>
      </c>
      <c r="C1176" t="s">
        <v>90</v>
      </c>
      <c r="D1176">
        <v>8</v>
      </c>
      <c r="E1176" t="s">
        <v>20</v>
      </c>
      <c r="F1176" t="s">
        <v>13</v>
      </c>
      <c r="G1176">
        <v>388</v>
      </c>
      <c r="H1176">
        <v>30</v>
      </c>
      <c r="I1176" t="s">
        <v>14</v>
      </c>
      <c r="J1176" t="str">
        <f>_xlfn.XLOOKUP(C1176,'product_masterlist(ifs)'!A:A,'product_masterlist(ifs)'!C:C,"N/A",0)</f>
        <v>Frames</v>
      </c>
      <c r="K1176">
        <f>VLOOKUP(C1176,'product_masterlist(ifs)'!A:I,7,FALSE)</f>
        <v>180</v>
      </c>
    </row>
    <row r="1177" spans="1:11" x14ac:dyDescent="0.35">
      <c r="A1177" t="s">
        <v>1459</v>
      </c>
      <c r="B1177" s="1">
        <v>45879</v>
      </c>
      <c r="C1177" t="s">
        <v>33</v>
      </c>
      <c r="D1177">
        <v>13</v>
      </c>
      <c r="E1177" t="s">
        <v>37</v>
      </c>
      <c r="F1177" t="s">
        <v>31</v>
      </c>
      <c r="G1177">
        <v>1950</v>
      </c>
      <c r="H1177">
        <v>45</v>
      </c>
      <c r="I1177" t="s">
        <v>34</v>
      </c>
      <c r="J1177" t="str">
        <f>_xlfn.XLOOKUP(C1177,'product_masterlist(ifs)'!A:A,'product_masterlist(ifs)'!C:C,"N/A",0)</f>
        <v>Surgical</v>
      </c>
      <c r="K1177">
        <f>VLOOKUP(C1177,'product_masterlist(ifs)'!A:I,7,FALSE)</f>
        <v>15</v>
      </c>
    </row>
    <row r="1178" spans="1:11" x14ac:dyDescent="0.35">
      <c r="A1178" t="s">
        <v>1460</v>
      </c>
      <c r="B1178" t="s">
        <v>651</v>
      </c>
      <c r="C1178" t="s">
        <v>53</v>
      </c>
      <c r="D1178">
        <v>14</v>
      </c>
      <c r="E1178" t="s">
        <v>37</v>
      </c>
      <c r="F1178" t="s">
        <v>13</v>
      </c>
      <c r="G1178" t="s">
        <v>228</v>
      </c>
      <c r="H1178">
        <v>7</v>
      </c>
      <c r="I1178" t="s">
        <v>28</v>
      </c>
      <c r="J1178" t="str">
        <f>_xlfn.XLOOKUP(C1178,'product_masterlist(ifs)'!A:A,'product_masterlist(ifs)'!C:C,"N/A",0)</f>
        <v>Solutions</v>
      </c>
      <c r="K1178">
        <f>VLOOKUP(C1178,'product_masterlist(ifs)'!A:I,7,FALSE)</f>
        <v>800</v>
      </c>
    </row>
    <row r="1179" spans="1:11" x14ac:dyDescent="0.35">
      <c r="A1179" t="s">
        <v>1461</v>
      </c>
      <c r="B1179" t="s">
        <v>565</v>
      </c>
      <c r="C1179" t="s">
        <v>26</v>
      </c>
      <c r="D1179">
        <v>17</v>
      </c>
      <c r="E1179" t="s">
        <v>20</v>
      </c>
      <c r="F1179" t="s">
        <v>23</v>
      </c>
      <c r="G1179" t="s">
        <v>152</v>
      </c>
      <c r="H1179">
        <v>14</v>
      </c>
      <c r="I1179" t="s">
        <v>28</v>
      </c>
      <c r="J1179" t="str">
        <f>_xlfn.XLOOKUP(C1179,'product_masterlist(ifs)'!A:A,'product_masterlist(ifs)'!C:C,"N/A",0)</f>
        <v>Contact Lenses</v>
      </c>
      <c r="K1179">
        <f>VLOOKUP(C1179,'product_masterlist(ifs)'!A:I,7,FALSE)</f>
        <v>450</v>
      </c>
    </row>
    <row r="1180" spans="1:11" x14ac:dyDescent="0.35">
      <c r="A1180" t="s">
        <v>1462</v>
      </c>
      <c r="B1180" t="s">
        <v>180</v>
      </c>
      <c r="C1180" t="s">
        <v>53</v>
      </c>
      <c r="D1180">
        <v>19</v>
      </c>
      <c r="E1180" t="s">
        <v>12</v>
      </c>
      <c r="F1180" t="s">
        <v>31</v>
      </c>
      <c r="G1180" t="s">
        <v>54</v>
      </c>
      <c r="H1180">
        <v>7</v>
      </c>
      <c r="I1180" t="s">
        <v>28</v>
      </c>
      <c r="J1180" t="str">
        <f>_xlfn.XLOOKUP(C1180,'product_masterlist(ifs)'!A:A,'product_masterlist(ifs)'!C:C,"N/A",0)</f>
        <v>Solutions</v>
      </c>
      <c r="K1180">
        <f>VLOOKUP(C1180,'product_masterlist(ifs)'!A:I,7,FALSE)</f>
        <v>800</v>
      </c>
    </row>
    <row r="1181" spans="1:11" x14ac:dyDescent="0.35">
      <c r="A1181" t="s">
        <v>1463</v>
      </c>
      <c r="B1181" s="1">
        <v>45841</v>
      </c>
      <c r="C1181" t="s">
        <v>11</v>
      </c>
      <c r="D1181">
        <v>24</v>
      </c>
      <c r="E1181" t="s">
        <v>37</v>
      </c>
      <c r="F1181" t="s">
        <v>31</v>
      </c>
      <c r="G1181">
        <v>2040</v>
      </c>
      <c r="H1181">
        <v>30</v>
      </c>
      <c r="I1181" t="s">
        <v>14</v>
      </c>
      <c r="J1181" t="str">
        <f>_xlfn.XLOOKUP(C1181,'product_masterlist(ifs)'!A:A,'product_masterlist(ifs)'!C:C,"N/A",0)</f>
        <v>Surgical</v>
      </c>
      <c r="K1181">
        <f>VLOOKUP(C1181,'product_masterlist(ifs)'!A:I,7,FALSE)</f>
        <v>40</v>
      </c>
    </row>
    <row r="1182" spans="1:11" x14ac:dyDescent="0.35">
      <c r="A1182" t="s">
        <v>1464</v>
      </c>
      <c r="B1182" s="1">
        <v>45903</v>
      </c>
      <c r="C1182" t="s">
        <v>42</v>
      </c>
      <c r="D1182">
        <v>9</v>
      </c>
      <c r="E1182" t="s">
        <v>22</v>
      </c>
      <c r="F1182" t="s">
        <v>13</v>
      </c>
      <c r="G1182">
        <v>225</v>
      </c>
      <c r="H1182">
        <v>21</v>
      </c>
      <c r="I1182" t="s">
        <v>14</v>
      </c>
      <c r="J1182" t="str">
        <f>_xlfn.XLOOKUP(C1182,'product_masterlist(ifs)'!A:A,'product_masterlist(ifs)'!C:C,"N/A",0)</f>
        <v>Contact Lenses</v>
      </c>
      <c r="K1182">
        <f>VLOOKUP(C1182,'product_masterlist(ifs)'!A:I,7,FALSE)</f>
        <v>120</v>
      </c>
    </row>
    <row r="1183" spans="1:11" x14ac:dyDescent="0.35">
      <c r="A1183" t="s">
        <v>1465</v>
      </c>
      <c r="B1183" t="s">
        <v>924</v>
      </c>
      <c r="C1183" t="s">
        <v>90</v>
      </c>
      <c r="D1183">
        <v>1</v>
      </c>
      <c r="E1183" t="s">
        <v>12</v>
      </c>
      <c r="F1183" t="s">
        <v>13</v>
      </c>
      <c r="G1183" t="s">
        <v>109</v>
      </c>
      <c r="H1183">
        <v>30</v>
      </c>
      <c r="I1183" t="s">
        <v>14</v>
      </c>
      <c r="J1183" t="str">
        <f>_xlfn.XLOOKUP(C1183,'product_masterlist(ifs)'!A:A,'product_masterlist(ifs)'!C:C,"N/A",0)</f>
        <v>Frames</v>
      </c>
      <c r="K1183">
        <f>VLOOKUP(C1183,'product_masterlist(ifs)'!A:I,7,FALSE)</f>
        <v>180</v>
      </c>
    </row>
    <row r="1184" spans="1:11" x14ac:dyDescent="0.35">
      <c r="A1184" t="s">
        <v>1466</v>
      </c>
      <c r="B1184" t="s">
        <v>10</v>
      </c>
      <c r="C1184" t="s">
        <v>11</v>
      </c>
      <c r="D1184">
        <v>9</v>
      </c>
      <c r="E1184" t="s">
        <v>22</v>
      </c>
      <c r="F1184" t="s">
        <v>23</v>
      </c>
      <c r="G1184">
        <v>765</v>
      </c>
      <c r="H1184">
        <v>30</v>
      </c>
      <c r="I1184" t="s">
        <v>14</v>
      </c>
      <c r="J1184" t="str">
        <f>_xlfn.XLOOKUP(C1184,'product_masterlist(ifs)'!A:A,'product_masterlist(ifs)'!C:C,"N/A",0)</f>
        <v>Surgical</v>
      </c>
      <c r="K1184">
        <f>VLOOKUP(C1184,'product_masterlist(ifs)'!A:I,7,FALSE)</f>
        <v>40</v>
      </c>
    </row>
    <row r="1185" spans="1:11" x14ac:dyDescent="0.35">
      <c r="A1185" t="s">
        <v>1467</v>
      </c>
      <c r="B1185" t="s">
        <v>248</v>
      </c>
      <c r="C1185" t="s">
        <v>11</v>
      </c>
      <c r="D1185">
        <v>4</v>
      </c>
      <c r="E1185" t="s">
        <v>37</v>
      </c>
      <c r="F1185" t="s">
        <v>31</v>
      </c>
      <c r="G1185">
        <v>340</v>
      </c>
      <c r="H1185">
        <v>30</v>
      </c>
      <c r="I1185" t="s">
        <v>14</v>
      </c>
      <c r="J1185" t="str">
        <f>_xlfn.XLOOKUP(C1185,'product_masterlist(ifs)'!A:A,'product_masterlist(ifs)'!C:C,"N/A",0)</f>
        <v>Surgical</v>
      </c>
      <c r="K1185">
        <f>VLOOKUP(C1185,'product_masterlist(ifs)'!A:I,7,FALSE)</f>
        <v>40</v>
      </c>
    </row>
    <row r="1186" spans="1:11" x14ac:dyDescent="0.35">
      <c r="A1186" t="s">
        <v>1468</v>
      </c>
      <c r="B1186" t="s">
        <v>248</v>
      </c>
      <c r="C1186" t="s">
        <v>90</v>
      </c>
      <c r="D1186">
        <v>15</v>
      </c>
      <c r="E1186" t="s">
        <v>37</v>
      </c>
      <c r="F1186" t="s">
        <v>13</v>
      </c>
      <c r="G1186" t="s">
        <v>250</v>
      </c>
      <c r="H1186">
        <v>30</v>
      </c>
      <c r="I1186" t="s">
        <v>14</v>
      </c>
      <c r="J1186" t="str">
        <f>_xlfn.XLOOKUP(C1186,'product_masterlist(ifs)'!A:A,'product_masterlist(ifs)'!C:C,"N/A",0)</f>
        <v>Frames</v>
      </c>
      <c r="K1186">
        <f>VLOOKUP(C1186,'product_masterlist(ifs)'!A:I,7,FALSE)</f>
        <v>180</v>
      </c>
    </row>
    <row r="1187" spans="1:11" x14ac:dyDescent="0.35">
      <c r="A1187" t="s">
        <v>1469</v>
      </c>
      <c r="B1187" s="1">
        <v>45995</v>
      </c>
      <c r="C1187" t="s">
        <v>26</v>
      </c>
      <c r="D1187">
        <v>4</v>
      </c>
      <c r="E1187" t="s">
        <v>20</v>
      </c>
      <c r="F1187" t="s">
        <v>31</v>
      </c>
      <c r="G1187">
        <v>50</v>
      </c>
      <c r="H1187">
        <v>14</v>
      </c>
      <c r="I1187" t="s">
        <v>28</v>
      </c>
      <c r="J1187" t="str">
        <f>_xlfn.XLOOKUP(C1187,'product_masterlist(ifs)'!A:A,'product_masterlist(ifs)'!C:C,"N/A",0)</f>
        <v>Contact Lenses</v>
      </c>
      <c r="K1187">
        <f>VLOOKUP(C1187,'product_masterlist(ifs)'!A:I,7,FALSE)</f>
        <v>450</v>
      </c>
    </row>
    <row r="1188" spans="1:11" x14ac:dyDescent="0.35">
      <c r="A1188" t="s">
        <v>1470</v>
      </c>
      <c r="B1188" t="s">
        <v>398</v>
      </c>
      <c r="C1188" t="s">
        <v>42</v>
      </c>
      <c r="D1188">
        <v>4</v>
      </c>
      <c r="E1188" t="s">
        <v>37</v>
      </c>
      <c r="F1188" t="s">
        <v>13</v>
      </c>
      <c r="G1188">
        <v>100</v>
      </c>
      <c r="H1188">
        <v>21</v>
      </c>
      <c r="I1188" t="s">
        <v>14</v>
      </c>
      <c r="J1188" t="str">
        <f>_xlfn.XLOOKUP(C1188,'product_masterlist(ifs)'!A:A,'product_masterlist(ifs)'!C:C,"N/A",0)</f>
        <v>Contact Lenses</v>
      </c>
      <c r="K1188">
        <f>VLOOKUP(C1188,'product_masterlist(ifs)'!A:I,7,FALSE)</f>
        <v>120</v>
      </c>
    </row>
    <row r="1189" spans="1:11" x14ac:dyDescent="0.35">
      <c r="A1189" t="s">
        <v>1471</v>
      </c>
      <c r="B1189" t="s">
        <v>569</v>
      </c>
      <c r="C1189" t="s">
        <v>26</v>
      </c>
      <c r="D1189">
        <v>18</v>
      </c>
      <c r="E1189" t="s">
        <v>37</v>
      </c>
      <c r="F1189" t="s">
        <v>18</v>
      </c>
      <c r="G1189">
        <v>225</v>
      </c>
      <c r="H1189">
        <v>14</v>
      </c>
      <c r="I1189" t="s">
        <v>28</v>
      </c>
      <c r="J1189" t="str">
        <f>_xlfn.XLOOKUP(C1189,'product_masterlist(ifs)'!A:A,'product_masterlist(ifs)'!C:C,"N/A",0)</f>
        <v>Contact Lenses</v>
      </c>
      <c r="K1189">
        <f>VLOOKUP(C1189,'product_masterlist(ifs)'!A:I,7,FALSE)</f>
        <v>450</v>
      </c>
    </row>
    <row r="1190" spans="1:11" x14ac:dyDescent="0.35">
      <c r="A1190" t="s">
        <v>1472</v>
      </c>
      <c r="B1190" t="s">
        <v>625</v>
      </c>
      <c r="C1190" t="s">
        <v>33</v>
      </c>
      <c r="D1190">
        <v>3</v>
      </c>
      <c r="E1190" t="s">
        <v>22</v>
      </c>
      <c r="F1190" t="s">
        <v>18</v>
      </c>
      <c r="G1190">
        <v>450</v>
      </c>
      <c r="H1190">
        <v>45</v>
      </c>
      <c r="I1190" t="s">
        <v>34</v>
      </c>
      <c r="J1190" t="str">
        <f>_xlfn.XLOOKUP(C1190,'product_masterlist(ifs)'!A:A,'product_masterlist(ifs)'!C:C,"N/A",0)</f>
        <v>Surgical</v>
      </c>
      <c r="K1190">
        <f>VLOOKUP(C1190,'product_masterlist(ifs)'!A:I,7,FALSE)</f>
        <v>15</v>
      </c>
    </row>
    <row r="1191" spans="1:11" x14ac:dyDescent="0.35">
      <c r="A1191" t="s">
        <v>1473</v>
      </c>
      <c r="B1191" s="1">
        <v>45787</v>
      </c>
      <c r="C1191" t="s">
        <v>11</v>
      </c>
      <c r="D1191">
        <v>8</v>
      </c>
      <c r="E1191" t="s">
        <v>22</v>
      </c>
      <c r="F1191" t="s">
        <v>13</v>
      </c>
      <c r="G1191">
        <v>680</v>
      </c>
      <c r="H1191">
        <v>30</v>
      </c>
      <c r="I1191" t="s">
        <v>14</v>
      </c>
      <c r="J1191" t="str">
        <f>_xlfn.XLOOKUP(C1191,'product_masterlist(ifs)'!A:A,'product_masterlist(ifs)'!C:C,"N/A",0)</f>
        <v>Surgical</v>
      </c>
      <c r="K1191">
        <f>VLOOKUP(C1191,'product_masterlist(ifs)'!A:I,7,FALSE)</f>
        <v>40</v>
      </c>
    </row>
    <row r="1192" spans="1:11" x14ac:dyDescent="0.35">
      <c r="A1192" t="s">
        <v>1474</v>
      </c>
      <c r="B1192" s="1">
        <v>45757</v>
      </c>
      <c r="C1192" t="s">
        <v>53</v>
      </c>
      <c r="D1192">
        <v>12</v>
      </c>
      <c r="E1192" t="s">
        <v>37</v>
      </c>
      <c r="F1192" t="s">
        <v>31</v>
      </c>
      <c r="G1192">
        <v>51</v>
      </c>
      <c r="H1192">
        <v>7</v>
      </c>
      <c r="I1192" t="s">
        <v>28</v>
      </c>
      <c r="J1192" t="str">
        <f>_xlfn.XLOOKUP(C1192,'product_masterlist(ifs)'!A:A,'product_masterlist(ifs)'!C:C,"N/A",0)</f>
        <v>Solutions</v>
      </c>
      <c r="K1192">
        <f>VLOOKUP(C1192,'product_masterlist(ifs)'!A:I,7,FALSE)</f>
        <v>800</v>
      </c>
    </row>
    <row r="1193" spans="1:11" x14ac:dyDescent="0.35">
      <c r="A1193" t="s">
        <v>1475</v>
      </c>
      <c r="B1193" t="s">
        <v>233</v>
      </c>
      <c r="C1193" t="s">
        <v>17</v>
      </c>
      <c r="D1193">
        <v>7</v>
      </c>
      <c r="E1193" t="s">
        <v>37</v>
      </c>
      <c r="F1193" t="s">
        <v>13</v>
      </c>
      <c r="G1193">
        <v>315</v>
      </c>
      <c r="H1193">
        <v>30</v>
      </c>
      <c r="I1193" t="s">
        <v>14</v>
      </c>
      <c r="J1193" t="str">
        <f>_xlfn.XLOOKUP(C1193,'product_masterlist(ifs)'!A:A,'product_masterlist(ifs)'!C:C,"N/A",0)</f>
        <v>Frames</v>
      </c>
      <c r="K1193">
        <f>VLOOKUP(C1193,'product_masterlist(ifs)'!A:I,7,FALSE)</f>
        <v>45</v>
      </c>
    </row>
    <row r="1194" spans="1:11" x14ac:dyDescent="0.35">
      <c r="A1194" t="s">
        <v>1476</v>
      </c>
      <c r="B1194" t="s">
        <v>194</v>
      </c>
      <c r="C1194" t="s">
        <v>90</v>
      </c>
      <c r="D1194">
        <v>1</v>
      </c>
      <c r="E1194" t="s">
        <v>37</v>
      </c>
      <c r="F1194" t="s">
        <v>23</v>
      </c>
      <c r="G1194" t="s">
        <v>109</v>
      </c>
      <c r="H1194">
        <v>30</v>
      </c>
      <c r="I1194" t="s">
        <v>14</v>
      </c>
      <c r="J1194" t="str">
        <f>_xlfn.XLOOKUP(C1194,'product_masterlist(ifs)'!A:A,'product_masterlist(ifs)'!C:C,"N/A",0)</f>
        <v>Frames</v>
      </c>
      <c r="K1194">
        <f>VLOOKUP(C1194,'product_masterlist(ifs)'!A:I,7,FALSE)</f>
        <v>180</v>
      </c>
    </row>
    <row r="1195" spans="1:11" x14ac:dyDescent="0.35">
      <c r="A1195" t="s">
        <v>1477</v>
      </c>
      <c r="B1195" s="1">
        <v>45724</v>
      </c>
      <c r="C1195" t="s">
        <v>53</v>
      </c>
      <c r="D1195">
        <v>8</v>
      </c>
      <c r="E1195" t="s">
        <v>12</v>
      </c>
      <c r="F1195" t="s">
        <v>13</v>
      </c>
      <c r="G1195">
        <v>34</v>
      </c>
      <c r="H1195">
        <v>7</v>
      </c>
      <c r="I1195" t="s">
        <v>28</v>
      </c>
      <c r="J1195" t="str">
        <f>_xlfn.XLOOKUP(C1195,'product_masterlist(ifs)'!A:A,'product_masterlist(ifs)'!C:C,"N/A",0)</f>
        <v>Solutions</v>
      </c>
      <c r="K1195">
        <f>VLOOKUP(C1195,'product_masterlist(ifs)'!A:I,7,FALSE)</f>
        <v>800</v>
      </c>
    </row>
    <row r="1196" spans="1:11" x14ac:dyDescent="0.35">
      <c r="A1196" t="s">
        <v>1478</v>
      </c>
      <c r="B1196" t="s">
        <v>151</v>
      </c>
      <c r="C1196" t="s">
        <v>53</v>
      </c>
      <c r="D1196">
        <v>8</v>
      </c>
      <c r="E1196" t="s">
        <v>12</v>
      </c>
      <c r="F1196" t="s">
        <v>13</v>
      </c>
      <c r="G1196">
        <v>34</v>
      </c>
      <c r="H1196">
        <v>7</v>
      </c>
      <c r="I1196" t="s">
        <v>28</v>
      </c>
      <c r="J1196" t="str">
        <f>_xlfn.XLOOKUP(C1196,'product_masterlist(ifs)'!A:A,'product_masterlist(ifs)'!C:C,"N/A",0)</f>
        <v>Solutions</v>
      </c>
      <c r="K1196">
        <f>VLOOKUP(C1196,'product_masterlist(ifs)'!A:I,7,FALSE)</f>
        <v>800</v>
      </c>
    </row>
    <row r="1197" spans="1:11" x14ac:dyDescent="0.35">
      <c r="A1197" t="s">
        <v>1479</v>
      </c>
      <c r="B1197" s="1">
        <v>45840</v>
      </c>
      <c r="C1197" t="s">
        <v>26</v>
      </c>
      <c r="D1197">
        <v>15</v>
      </c>
      <c r="E1197" t="s">
        <v>22</v>
      </c>
      <c r="F1197" t="s">
        <v>31</v>
      </c>
      <c r="G1197" t="s">
        <v>513</v>
      </c>
      <c r="H1197">
        <v>14</v>
      </c>
      <c r="I1197" t="s">
        <v>28</v>
      </c>
      <c r="J1197" t="str">
        <f>_xlfn.XLOOKUP(C1197,'product_masterlist(ifs)'!A:A,'product_masterlist(ifs)'!C:C,"N/A",0)</f>
        <v>Contact Lenses</v>
      </c>
      <c r="K1197">
        <f>VLOOKUP(C1197,'product_masterlist(ifs)'!A:I,7,FALSE)</f>
        <v>450</v>
      </c>
    </row>
    <row r="1198" spans="1:11" x14ac:dyDescent="0.35">
      <c r="A1198" t="s">
        <v>1480</v>
      </c>
      <c r="B1198" t="s">
        <v>312</v>
      </c>
      <c r="C1198" t="s">
        <v>11</v>
      </c>
      <c r="D1198">
        <v>11</v>
      </c>
      <c r="E1198" t="s">
        <v>20</v>
      </c>
      <c r="F1198" t="s">
        <v>18</v>
      </c>
      <c r="G1198">
        <v>935</v>
      </c>
      <c r="H1198">
        <v>30</v>
      </c>
      <c r="I1198" t="s">
        <v>14</v>
      </c>
      <c r="J1198" t="str">
        <f>_xlfn.XLOOKUP(C1198,'product_masterlist(ifs)'!A:A,'product_masterlist(ifs)'!C:C,"N/A",0)</f>
        <v>Surgical</v>
      </c>
      <c r="K1198">
        <f>VLOOKUP(C1198,'product_masterlist(ifs)'!A:I,7,FALSE)</f>
        <v>40</v>
      </c>
    </row>
    <row r="1199" spans="1:11" x14ac:dyDescent="0.35">
      <c r="A1199" t="s">
        <v>1481</v>
      </c>
      <c r="B1199" s="1">
        <v>45690</v>
      </c>
      <c r="C1199" t="s">
        <v>26</v>
      </c>
      <c r="D1199">
        <v>10</v>
      </c>
      <c r="E1199" t="s">
        <v>22</v>
      </c>
      <c r="F1199" t="s">
        <v>23</v>
      </c>
      <c r="G1199">
        <v>125</v>
      </c>
      <c r="H1199">
        <v>14</v>
      </c>
      <c r="I1199" t="s">
        <v>28</v>
      </c>
      <c r="J1199" t="str">
        <f>_xlfn.XLOOKUP(C1199,'product_masterlist(ifs)'!A:A,'product_masterlist(ifs)'!C:C,"N/A",0)</f>
        <v>Contact Lenses</v>
      </c>
      <c r="K1199">
        <f>VLOOKUP(C1199,'product_masterlist(ifs)'!A:I,7,FALSE)</f>
        <v>450</v>
      </c>
    </row>
    <row r="1200" spans="1:11" x14ac:dyDescent="0.35">
      <c r="A1200" t="s">
        <v>1482</v>
      </c>
      <c r="B1200" t="s">
        <v>183</v>
      </c>
      <c r="C1200" t="s">
        <v>90</v>
      </c>
      <c r="D1200">
        <v>23</v>
      </c>
      <c r="E1200" t="s">
        <v>37</v>
      </c>
      <c r="F1200" t="s">
        <v>13</v>
      </c>
      <c r="G1200" t="s">
        <v>123</v>
      </c>
      <c r="H1200">
        <v>30</v>
      </c>
      <c r="I1200" t="s">
        <v>14</v>
      </c>
      <c r="J1200" t="str">
        <f>_xlfn.XLOOKUP(C1200,'product_masterlist(ifs)'!A:A,'product_masterlist(ifs)'!C:C,"N/A",0)</f>
        <v>Frames</v>
      </c>
      <c r="K1200">
        <f>VLOOKUP(C1200,'product_masterlist(ifs)'!A:I,7,FALSE)</f>
        <v>180</v>
      </c>
    </row>
    <row r="1201" spans="1:11" x14ac:dyDescent="0.35">
      <c r="A1201" t="s">
        <v>1483</v>
      </c>
      <c r="B1201" t="s">
        <v>246</v>
      </c>
      <c r="C1201" t="s">
        <v>53</v>
      </c>
      <c r="D1201">
        <v>15</v>
      </c>
      <c r="E1201" t="s">
        <v>22</v>
      </c>
      <c r="F1201" t="s">
        <v>23</v>
      </c>
      <c r="G1201" t="s">
        <v>93</v>
      </c>
      <c r="H1201">
        <v>7</v>
      </c>
      <c r="I1201" t="s">
        <v>28</v>
      </c>
      <c r="J1201" t="str">
        <f>_xlfn.XLOOKUP(C1201,'product_masterlist(ifs)'!A:A,'product_masterlist(ifs)'!C:C,"N/A",0)</f>
        <v>Solutions</v>
      </c>
      <c r="K1201">
        <f>VLOOKUP(C1201,'product_masterlist(ifs)'!A:I,7,FALSE)</f>
        <v>800</v>
      </c>
    </row>
    <row r="1202" spans="1:11" x14ac:dyDescent="0.35">
      <c r="A1202" t="s">
        <v>1484</v>
      </c>
      <c r="B1202" t="s">
        <v>1485</v>
      </c>
      <c r="C1202" t="s">
        <v>33</v>
      </c>
      <c r="D1202">
        <v>14</v>
      </c>
      <c r="E1202" t="s">
        <v>12</v>
      </c>
      <c r="F1202" t="s">
        <v>13</v>
      </c>
      <c r="G1202">
        <v>2100</v>
      </c>
      <c r="H1202">
        <v>45</v>
      </c>
      <c r="I1202" t="s">
        <v>34</v>
      </c>
      <c r="J1202" t="str">
        <f>_xlfn.XLOOKUP(C1202,'product_masterlist(ifs)'!A:A,'product_masterlist(ifs)'!C:C,"N/A",0)</f>
        <v>Surgical</v>
      </c>
      <c r="K1202">
        <f>VLOOKUP(C1202,'product_masterlist(ifs)'!A:I,7,FALSE)</f>
        <v>15</v>
      </c>
    </row>
    <row r="1203" spans="1:11" x14ac:dyDescent="0.35">
      <c r="A1203" t="s">
        <v>1486</v>
      </c>
      <c r="B1203" s="1">
        <v>45750</v>
      </c>
      <c r="C1203" t="s">
        <v>11</v>
      </c>
      <c r="D1203">
        <v>19</v>
      </c>
      <c r="E1203" t="s">
        <v>20</v>
      </c>
      <c r="F1203" t="s">
        <v>23</v>
      </c>
      <c r="G1203">
        <v>1615</v>
      </c>
      <c r="H1203">
        <v>30</v>
      </c>
      <c r="I1203" t="s">
        <v>14</v>
      </c>
      <c r="J1203" t="str">
        <f>_xlfn.XLOOKUP(C1203,'product_masterlist(ifs)'!A:A,'product_masterlist(ifs)'!C:C,"N/A",0)</f>
        <v>Surgical</v>
      </c>
      <c r="K1203">
        <f>VLOOKUP(C1203,'product_masterlist(ifs)'!A:I,7,FALSE)</f>
        <v>40</v>
      </c>
    </row>
    <row r="1204" spans="1:11" x14ac:dyDescent="0.35">
      <c r="A1204" t="s">
        <v>1487</v>
      </c>
      <c r="B1204" s="1">
        <v>45996</v>
      </c>
      <c r="C1204" t="s">
        <v>11</v>
      </c>
      <c r="D1204">
        <v>13</v>
      </c>
      <c r="E1204" t="s">
        <v>22</v>
      </c>
      <c r="F1204" t="s">
        <v>13</v>
      </c>
      <c r="G1204">
        <v>1105</v>
      </c>
      <c r="H1204">
        <v>30</v>
      </c>
      <c r="I1204" t="s">
        <v>14</v>
      </c>
      <c r="J1204" t="str">
        <f>_xlfn.XLOOKUP(C1204,'product_masterlist(ifs)'!A:A,'product_masterlist(ifs)'!C:C,"N/A",0)</f>
        <v>Surgical</v>
      </c>
      <c r="K1204">
        <f>VLOOKUP(C1204,'product_masterlist(ifs)'!A:I,7,FALSE)</f>
        <v>40</v>
      </c>
    </row>
    <row r="1205" spans="1:11" x14ac:dyDescent="0.35">
      <c r="A1205" t="s">
        <v>1488</v>
      </c>
      <c r="B1205" s="1">
        <v>45722</v>
      </c>
      <c r="C1205" t="s">
        <v>33</v>
      </c>
      <c r="D1205">
        <v>4</v>
      </c>
      <c r="E1205" t="s">
        <v>37</v>
      </c>
      <c r="F1205" t="s">
        <v>13</v>
      </c>
      <c r="G1205">
        <v>600</v>
      </c>
      <c r="H1205">
        <v>45</v>
      </c>
      <c r="I1205" t="s">
        <v>34</v>
      </c>
      <c r="J1205" t="str">
        <f>_xlfn.XLOOKUP(C1205,'product_masterlist(ifs)'!A:A,'product_masterlist(ifs)'!C:C,"N/A",0)</f>
        <v>Surgical</v>
      </c>
      <c r="K1205">
        <f>VLOOKUP(C1205,'product_masterlist(ifs)'!A:I,7,FALSE)</f>
        <v>15</v>
      </c>
    </row>
    <row r="1206" spans="1:11" x14ac:dyDescent="0.35">
      <c r="A1206" t="s">
        <v>1489</v>
      </c>
      <c r="B1206" t="s">
        <v>723</v>
      </c>
      <c r="C1206" t="s">
        <v>17</v>
      </c>
      <c r="D1206">
        <v>2</v>
      </c>
      <c r="E1206" t="s">
        <v>37</v>
      </c>
      <c r="F1206" t="s">
        <v>31</v>
      </c>
      <c r="G1206">
        <v>90</v>
      </c>
      <c r="H1206">
        <v>30</v>
      </c>
      <c r="I1206" t="s">
        <v>14</v>
      </c>
      <c r="J1206" t="str">
        <f>_xlfn.XLOOKUP(C1206,'product_masterlist(ifs)'!A:A,'product_masterlist(ifs)'!C:C,"N/A",0)</f>
        <v>Frames</v>
      </c>
      <c r="K1206">
        <f>VLOOKUP(C1206,'product_masterlist(ifs)'!A:I,7,FALSE)</f>
        <v>45</v>
      </c>
    </row>
    <row r="1207" spans="1:11" x14ac:dyDescent="0.35">
      <c r="A1207" t="s">
        <v>1490</v>
      </c>
      <c r="B1207" s="1">
        <v>45901</v>
      </c>
      <c r="C1207" t="s">
        <v>53</v>
      </c>
      <c r="D1207">
        <v>21</v>
      </c>
      <c r="E1207" t="s">
        <v>12</v>
      </c>
      <c r="F1207" t="s">
        <v>31</v>
      </c>
      <c r="G1207" t="s">
        <v>197</v>
      </c>
      <c r="H1207">
        <v>7</v>
      </c>
      <c r="I1207" t="s">
        <v>28</v>
      </c>
      <c r="J1207" t="str">
        <f>_xlfn.XLOOKUP(C1207,'product_masterlist(ifs)'!A:A,'product_masterlist(ifs)'!C:C,"N/A",0)</f>
        <v>Solutions</v>
      </c>
      <c r="K1207">
        <f>VLOOKUP(C1207,'product_masterlist(ifs)'!A:I,7,FALSE)</f>
        <v>800</v>
      </c>
    </row>
    <row r="1208" spans="1:11" x14ac:dyDescent="0.35">
      <c r="A1208" t="s">
        <v>1491</v>
      </c>
      <c r="B1208" t="s">
        <v>462</v>
      </c>
      <c r="C1208" t="s">
        <v>17</v>
      </c>
      <c r="D1208">
        <v>15</v>
      </c>
      <c r="E1208" t="s">
        <v>20</v>
      </c>
      <c r="F1208" t="s">
        <v>18</v>
      </c>
      <c r="G1208">
        <v>675</v>
      </c>
      <c r="H1208">
        <v>30</v>
      </c>
      <c r="I1208" t="s">
        <v>14</v>
      </c>
      <c r="J1208" t="str">
        <f>_xlfn.XLOOKUP(C1208,'product_masterlist(ifs)'!A:A,'product_masterlist(ifs)'!C:C,"N/A",0)</f>
        <v>Frames</v>
      </c>
      <c r="K1208">
        <f>VLOOKUP(C1208,'product_masterlist(ifs)'!A:I,7,FALSE)</f>
        <v>45</v>
      </c>
    </row>
    <row r="1209" spans="1:11" x14ac:dyDescent="0.35">
      <c r="A1209" t="s">
        <v>1492</v>
      </c>
      <c r="B1209" t="s">
        <v>129</v>
      </c>
      <c r="C1209" t="s">
        <v>90</v>
      </c>
      <c r="D1209">
        <v>16</v>
      </c>
      <c r="E1209" t="s">
        <v>37</v>
      </c>
      <c r="F1209" t="s">
        <v>18</v>
      </c>
      <c r="G1209">
        <v>776</v>
      </c>
      <c r="H1209">
        <v>30</v>
      </c>
      <c r="I1209" t="s">
        <v>14</v>
      </c>
      <c r="J1209" t="str">
        <f>_xlfn.XLOOKUP(C1209,'product_masterlist(ifs)'!A:A,'product_masterlist(ifs)'!C:C,"N/A",0)</f>
        <v>Frames</v>
      </c>
      <c r="K1209">
        <f>VLOOKUP(C1209,'product_masterlist(ifs)'!A:I,7,FALSE)</f>
        <v>180</v>
      </c>
    </row>
    <row r="1210" spans="1:11" x14ac:dyDescent="0.35">
      <c r="A1210" t="s">
        <v>1493</v>
      </c>
      <c r="B1210" t="s">
        <v>281</v>
      </c>
      <c r="C1210" t="s">
        <v>17</v>
      </c>
      <c r="D1210">
        <v>7</v>
      </c>
      <c r="E1210" t="s">
        <v>37</v>
      </c>
      <c r="F1210" t="s">
        <v>18</v>
      </c>
      <c r="G1210">
        <v>315</v>
      </c>
      <c r="H1210">
        <v>30</v>
      </c>
      <c r="I1210" t="s">
        <v>14</v>
      </c>
      <c r="J1210" t="str">
        <f>_xlfn.XLOOKUP(C1210,'product_masterlist(ifs)'!A:A,'product_masterlist(ifs)'!C:C,"N/A",0)</f>
        <v>Frames</v>
      </c>
      <c r="K1210">
        <f>VLOOKUP(C1210,'product_masterlist(ifs)'!A:I,7,FALSE)</f>
        <v>45</v>
      </c>
    </row>
    <row r="1211" spans="1:11" x14ac:dyDescent="0.35">
      <c r="A1211" t="s">
        <v>1494</v>
      </c>
      <c r="B1211" s="1">
        <v>45942</v>
      </c>
      <c r="C1211" t="s">
        <v>11</v>
      </c>
      <c r="D1211">
        <v>20</v>
      </c>
      <c r="E1211" t="s">
        <v>20</v>
      </c>
      <c r="F1211" t="s">
        <v>18</v>
      </c>
      <c r="G1211">
        <v>1700</v>
      </c>
      <c r="H1211">
        <v>30</v>
      </c>
      <c r="I1211" t="s">
        <v>14</v>
      </c>
      <c r="J1211" t="str">
        <f>_xlfn.XLOOKUP(C1211,'product_masterlist(ifs)'!A:A,'product_masterlist(ifs)'!C:C,"N/A",0)</f>
        <v>Surgical</v>
      </c>
      <c r="K1211">
        <f>VLOOKUP(C1211,'product_masterlist(ifs)'!A:I,7,FALSE)</f>
        <v>40</v>
      </c>
    </row>
    <row r="1212" spans="1:11" x14ac:dyDescent="0.35">
      <c r="A1212" t="s">
        <v>1495</v>
      </c>
      <c r="B1212" s="1">
        <v>45661</v>
      </c>
      <c r="C1212" t="s">
        <v>33</v>
      </c>
      <c r="D1212">
        <v>11</v>
      </c>
      <c r="E1212" t="s">
        <v>20</v>
      </c>
      <c r="F1212" t="s">
        <v>31</v>
      </c>
      <c r="G1212">
        <v>1650</v>
      </c>
      <c r="H1212">
        <v>45</v>
      </c>
      <c r="I1212" t="s">
        <v>34</v>
      </c>
      <c r="J1212" t="str">
        <f>_xlfn.XLOOKUP(C1212,'product_masterlist(ifs)'!A:A,'product_masterlist(ifs)'!C:C,"N/A",0)</f>
        <v>Surgical</v>
      </c>
      <c r="K1212">
        <f>VLOOKUP(C1212,'product_masterlist(ifs)'!A:I,7,FALSE)</f>
        <v>15</v>
      </c>
    </row>
    <row r="1213" spans="1:11" x14ac:dyDescent="0.35">
      <c r="A1213" t="s">
        <v>1496</v>
      </c>
      <c r="B1213" t="s">
        <v>354</v>
      </c>
      <c r="C1213" t="s">
        <v>90</v>
      </c>
      <c r="D1213">
        <v>13</v>
      </c>
      <c r="E1213" t="s">
        <v>12</v>
      </c>
      <c r="F1213" t="s">
        <v>18</v>
      </c>
      <c r="G1213" t="s">
        <v>262</v>
      </c>
      <c r="H1213">
        <v>30</v>
      </c>
      <c r="I1213" t="s">
        <v>14</v>
      </c>
      <c r="J1213" t="str">
        <f>_xlfn.XLOOKUP(C1213,'product_masterlist(ifs)'!A:A,'product_masterlist(ifs)'!C:C,"N/A",0)</f>
        <v>Frames</v>
      </c>
      <c r="K1213">
        <f>VLOOKUP(C1213,'product_masterlist(ifs)'!A:I,7,FALSE)</f>
        <v>180</v>
      </c>
    </row>
    <row r="1214" spans="1:11" x14ac:dyDescent="0.35">
      <c r="A1214" t="s">
        <v>1497</v>
      </c>
      <c r="B1214" t="s">
        <v>706</v>
      </c>
      <c r="C1214" t="s">
        <v>11</v>
      </c>
      <c r="D1214">
        <v>8</v>
      </c>
      <c r="E1214" t="s">
        <v>37</v>
      </c>
      <c r="F1214" t="s">
        <v>13</v>
      </c>
      <c r="G1214">
        <v>680</v>
      </c>
      <c r="H1214">
        <v>30</v>
      </c>
      <c r="I1214" t="s">
        <v>14</v>
      </c>
      <c r="J1214" t="str">
        <f>_xlfn.XLOOKUP(C1214,'product_masterlist(ifs)'!A:A,'product_masterlist(ifs)'!C:C,"N/A",0)</f>
        <v>Surgical</v>
      </c>
      <c r="K1214">
        <f>VLOOKUP(C1214,'product_masterlist(ifs)'!A:I,7,FALSE)</f>
        <v>40</v>
      </c>
    </row>
    <row r="1215" spans="1:11" x14ac:dyDescent="0.35">
      <c r="A1215" t="s">
        <v>1498</v>
      </c>
      <c r="B1215" s="1">
        <v>45842</v>
      </c>
      <c r="C1215" t="s">
        <v>90</v>
      </c>
      <c r="D1215">
        <v>23</v>
      </c>
      <c r="E1215" t="s">
        <v>20</v>
      </c>
      <c r="F1215" t="s">
        <v>23</v>
      </c>
      <c r="G1215" t="s">
        <v>123</v>
      </c>
      <c r="H1215">
        <v>30</v>
      </c>
      <c r="I1215" t="s">
        <v>14</v>
      </c>
      <c r="J1215" t="str">
        <f>_xlfn.XLOOKUP(C1215,'product_masterlist(ifs)'!A:A,'product_masterlist(ifs)'!C:C,"N/A",0)</f>
        <v>Frames</v>
      </c>
      <c r="K1215">
        <f>VLOOKUP(C1215,'product_masterlist(ifs)'!A:I,7,FALSE)</f>
        <v>180</v>
      </c>
    </row>
    <row r="1216" spans="1:11" x14ac:dyDescent="0.35">
      <c r="A1216" t="s">
        <v>1499</v>
      </c>
      <c r="B1216" t="s">
        <v>210</v>
      </c>
      <c r="C1216" t="s">
        <v>90</v>
      </c>
      <c r="D1216">
        <v>23</v>
      </c>
      <c r="E1216" t="s">
        <v>20</v>
      </c>
      <c r="F1216" t="s">
        <v>23</v>
      </c>
      <c r="G1216" t="s">
        <v>123</v>
      </c>
      <c r="H1216">
        <v>30</v>
      </c>
      <c r="I1216" t="s">
        <v>14</v>
      </c>
      <c r="J1216" t="str">
        <f>_xlfn.XLOOKUP(C1216,'product_masterlist(ifs)'!A:A,'product_masterlist(ifs)'!C:C,"N/A",0)</f>
        <v>Frames</v>
      </c>
      <c r="K1216">
        <f>VLOOKUP(C1216,'product_masterlist(ifs)'!A:I,7,FALSE)</f>
        <v>180</v>
      </c>
    </row>
    <row r="1217" spans="1:11" x14ac:dyDescent="0.35">
      <c r="A1217" t="s">
        <v>1500</v>
      </c>
      <c r="B1217" s="1">
        <v>45972</v>
      </c>
      <c r="C1217" t="s">
        <v>90</v>
      </c>
      <c r="D1217">
        <v>21</v>
      </c>
      <c r="E1217" t="s">
        <v>20</v>
      </c>
      <c r="F1217" t="s">
        <v>13</v>
      </c>
      <c r="G1217" t="s">
        <v>120</v>
      </c>
      <c r="H1217">
        <v>30</v>
      </c>
      <c r="I1217" t="s">
        <v>14</v>
      </c>
      <c r="J1217" t="str">
        <f>_xlfn.XLOOKUP(C1217,'product_masterlist(ifs)'!A:A,'product_masterlist(ifs)'!C:C,"N/A",0)</f>
        <v>Frames</v>
      </c>
      <c r="K1217">
        <f>VLOOKUP(C1217,'product_masterlist(ifs)'!A:I,7,FALSE)</f>
        <v>180</v>
      </c>
    </row>
    <row r="1218" spans="1:11" x14ac:dyDescent="0.35">
      <c r="A1218" t="s">
        <v>1501</v>
      </c>
      <c r="B1218" t="s">
        <v>302</v>
      </c>
      <c r="C1218" t="s">
        <v>53</v>
      </c>
      <c r="D1218">
        <v>14</v>
      </c>
      <c r="E1218" t="s">
        <v>37</v>
      </c>
      <c r="F1218" t="s">
        <v>31</v>
      </c>
      <c r="G1218" t="s">
        <v>228</v>
      </c>
      <c r="H1218">
        <v>7</v>
      </c>
      <c r="I1218" t="s">
        <v>28</v>
      </c>
      <c r="J1218" t="str">
        <f>_xlfn.XLOOKUP(C1218,'product_masterlist(ifs)'!A:A,'product_masterlist(ifs)'!C:C,"N/A",0)</f>
        <v>Solutions</v>
      </c>
      <c r="K1218">
        <f>VLOOKUP(C1218,'product_masterlist(ifs)'!A:I,7,FALSE)</f>
        <v>800</v>
      </c>
    </row>
    <row r="1219" spans="1:11" x14ac:dyDescent="0.35">
      <c r="A1219" t="s">
        <v>1502</v>
      </c>
      <c r="B1219" t="s">
        <v>345</v>
      </c>
      <c r="C1219" t="s">
        <v>11</v>
      </c>
      <c r="D1219">
        <v>12</v>
      </c>
      <c r="E1219" t="s">
        <v>37</v>
      </c>
      <c r="F1219" t="s">
        <v>18</v>
      </c>
      <c r="G1219">
        <v>1020</v>
      </c>
      <c r="H1219">
        <v>30</v>
      </c>
      <c r="I1219" t="s">
        <v>14</v>
      </c>
      <c r="J1219" t="str">
        <f>_xlfn.XLOOKUP(C1219,'product_masterlist(ifs)'!A:A,'product_masterlist(ifs)'!C:C,"N/A",0)</f>
        <v>Surgical</v>
      </c>
      <c r="K1219">
        <f>VLOOKUP(C1219,'product_masterlist(ifs)'!A:I,7,FALSE)</f>
        <v>40</v>
      </c>
    </row>
    <row r="1220" spans="1:11" x14ac:dyDescent="0.35">
      <c r="A1220" t="s">
        <v>1503</v>
      </c>
      <c r="B1220" s="1">
        <v>45752</v>
      </c>
      <c r="C1220" t="s">
        <v>90</v>
      </c>
      <c r="D1220">
        <v>13</v>
      </c>
      <c r="E1220" t="s">
        <v>37</v>
      </c>
      <c r="F1220" t="s">
        <v>13</v>
      </c>
      <c r="G1220" t="s">
        <v>262</v>
      </c>
      <c r="H1220">
        <v>30</v>
      </c>
      <c r="I1220" t="s">
        <v>14</v>
      </c>
      <c r="J1220" t="str">
        <f>_xlfn.XLOOKUP(C1220,'product_masterlist(ifs)'!A:A,'product_masterlist(ifs)'!C:C,"N/A",0)</f>
        <v>Frames</v>
      </c>
      <c r="K1220">
        <f>VLOOKUP(C1220,'product_masterlist(ifs)'!A:I,7,FALSE)</f>
        <v>180</v>
      </c>
    </row>
    <row r="1221" spans="1:11" x14ac:dyDescent="0.35">
      <c r="A1221" t="s">
        <v>1504</v>
      </c>
      <c r="B1221" s="1">
        <v>45759</v>
      </c>
      <c r="C1221" t="s">
        <v>42</v>
      </c>
      <c r="D1221">
        <v>6</v>
      </c>
      <c r="E1221" t="s">
        <v>37</v>
      </c>
      <c r="F1221" t="s">
        <v>31</v>
      </c>
      <c r="G1221">
        <v>150</v>
      </c>
      <c r="H1221">
        <v>21</v>
      </c>
      <c r="I1221" t="s">
        <v>14</v>
      </c>
      <c r="J1221" t="str">
        <f>_xlfn.XLOOKUP(C1221,'product_masterlist(ifs)'!A:A,'product_masterlist(ifs)'!C:C,"N/A",0)</f>
        <v>Contact Lenses</v>
      </c>
      <c r="K1221">
        <f>VLOOKUP(C1221,'product_masterlist(ifs)'!A:I,7,FALSE)</f>
        <v>120</v>
      </c>
    </row>
    <row r="1222" spans="1:11" x14ac:dyDescent="0.35">
      <c r="A1222" t="s">
        <v>1505</v>
      </c>
      <c r="B1222" t="s">
        <v>105</v>
      </c>
      <c r="C1222" t="s">
        <v>26</v>
      </c>
      <c r="D1222">
        <v>16</v>
      </c>
      <c r="E1222" t="s">
        <v>20</v>
      </c>
      <c r="F1222" t="s">
        <v>18</v>
      </c>
      <c r="G1222">
        <v>200</v>
      </c>
      <c r="H1222">
        <v>14</v>
      </c>
      <c r="I1222" t="s">
        <v>28</v>
      </c>
      <c r="J1222" t="str">
        <f>_xlfn.XLOOKUP(C1222,'product_masterlist(ifs)'!A:A,'product_masterlist(ifs)'!C:C,"N/A",0)</f>
        <v>Contact Lenses</v>
      </c>
      <c r="K1222">
        <f>VLOOKUP(C1222,'product_masterlist(ifs)'!A:I,7,FALSE)</f>
        <v>450</v>
      </c>
    </row>
    <row r="1223" spans="1:11" x14ac:dyDescent="0.35">
      <c r="A1223" t="s">
        <v>1506</v>
      </c>
      <c r="B1223" s="1">
        <v>45784</v>
      </c>
      <c r="C1223" t="s">
        <v>90</v>
      </c>
      <c r="D1223">
        <v>3</v>
      </c>
      <c r="E1223" t="s">
        <v>37</v>
      </c>
      <c r="F1223" t="s">
        <v>18</v>
      </c>
      <c r="G1223" t="s">
        <v>375</v>
      </c>
      <c r="H1223">
        <v>30</v>
      </c>
      <c r="I1223" t="s">
        <v>14</v>
      </c>
      <c r="J1223" t="str">
        <f>_xlfn.XLOOKUP(C1223,'product_masterlist(ifs)'!A:A,'product_masterlist(ifs)'!C:C,"N/A",0)</f>
        <v>Frames</v>
      </c>
      <c r="K1223">
        <f>VLOOKUP(C1223,'product_masterlist(ifs)'!A:I,7,FALSE)</f>
        <v>180</v>
      </c>
    </row>
    <row r="1224" spans="1:11" x14ac:dyDescent="0.35">
      <c r="A1224" t="s">
        <v>1507</v>
      </c>
      <c r="B1224" s="1">
        <v>45813</v>
      </c>
      <c r="C1224" t="s">
        <v>42</v>
      </c>
      <c r="D1224">
        <v>8</v>
      </c>
      <c r="E1224" t="s">
        <v>22</v>
      </c>
      <c r="F1224" t="s">
        <v>13</v>
      </c>
      <c r="G1224">
        <v>200</v>
      </c>
      <c r="H1224">
        <v>21</v>
      </c>
      <c r="I1224" t="s">
        <v>14</v>
      </c>
      <c r="J1224" t="str">
        <f>_xlfn.XLOOKUP(C1224,'product_masterlist(ifs)'!A:A,'product_masterlist(ifs)'!C:C,"N/A",0)</f>
        <v>Contact Lenses</v>
      </c>
      <c r="K1224">
        <f>VLOOKUP(C1224,'product_masterlist(ifs)'!A:I,7,FALSE)</f>
        <v>120</v>
      </c>
    </row>
    <row r="1225" spans="1:11" x14ac:dyDescent="0.35">
      <c r="A1225" t="s">
        <v>1508</v>
      </c>
      <c r="B1225" s="1">
        <v>45697</v>
      </c>
      <c r="C1225" t="s">
        <v>11</v>
      </c>
      <c r="D1225">
        <v>5</v>
      </c>
      <c r="E1225" t="s">
        <v>22</v>
      </c>
      <c r="F1225" t="s">
        <v>18</v>
      </c>
      <c r="G1225">
        <v>425</v>
      </c>
      <c r="H1225">
        <v>30</v>
      </c>
      <c r="I1225" t="s">
        <v>14</v>
      </c>
      <c r="J1225" t="str">
        <f>_xlfn.XLOOKUP(C1225,'product_masterlist(ifs)'!A:A,'product_masterlist(ifs)'!C:C,"N/A",0)</f>
        <v>Surgical</v>
      </c>
      <c r="K1225">
        <f>VLOOKUP(C1225,'product_masterlist(ifs)'!A:I,7,FALSE)</f>
        <v>40</v>
      </c>
    </row>
    <row r="1226" spans="1:11" x14ac:dyDescent="0.35">
      <c r="A1226" t="s">
        <v>1509</v>
      </c>
      <c r="B1226" t="s">
        <v>584</v>
      </c>
      <c r="C1226" t="s">
        <v>17</v>
      </c>
      <c r="D1226">
        <v>1</v>
      </c>
      <c r="E1226" t="s">
        <v>37</v>
      </c>
      <c r="F1226" t="s">
        <v>13</v>
      </c>
      <c r="G1226">
        <v>45</v>
      </c>
      <c r="H1226">
        <v>30</v>
      </c>
      <c r="I1226" t="s">
        <v>14</v>
      </c>
      <c r="J1226" t="str">
        <f>_xlfn.XLOOKUP(C1226,'product_masterlist(ifs)'!A:A,'product_masterlist(ifs)'!C:C,"N/A",0)</f>
        <v>Frames</v>
      </c>
      <c r="K1226">
        <f>VLOOKUP(C1226,'product_masterlist(ifs)'!A:I,7,FALSE)</f>
        <v>45</v>
      </c>
    </row>
    <row r="1227" spans="1:11" x14ac:dyDescent="0.35">
      <c r="A1227" t="s">
        <v>1510</v>
      </c>
      <c r="B1227" t="s">
        <v>660</v>
      </c>
      <c r="C1227" t="s">
        <v>26</v>
      </c>
      <c r="D1227">
        <v>21</v>
      </c>
      <c r="E1227" t="s">
        <v>22</v>
      </c>
      <c r="F1227" t="s">
        <v>31</v>
      </c>
      <c r="G1227" t="s">
        <v>366</v>
      </c>
      <c r="H1227">
        <v>14</v>
      </c>
      <c r="I1227" t="s">
        <v>28</v>
      </c>
      <c r="J1227" t="str">
        <f>_xlfn.XLOOKUP(C1227,'product_masterlist(ifs)'!A:A,'product_masterlist(ifs)'!C:C,"N/A",0)</f>
        <v>Contact Lenses</v>
      </c>
      <c r="K1227">
        <f>VLOOKUP(C1227,'product_masterlist(ifs)'!A:I,7,FALSE)</f>
        <v>450</v>
      </c>
    </row>
    <row r="1228" spans="1:11" x14ac:dyDescent="0.35">
      <c r="A1228" t="s">
        <v>1511</v>
      </c>
      <c r="B1228" t="s">
        <v>25</v>
      </c>
      <c r="C1228" t="s">
        <v>11</v>
      </c>
      <c r="D1228">
        <v>8</v>
      </c>
      <c r="E1228" t="s">
        <v>37</v>
      </c>
      <c r="F1228" t="s">
        <v>31</v>
      </c>
      <c r="G1228">
        <v>680</v>
      </c>
      <c r="H1228">
        <v>30</v>
      </c>
      <c r="I1228" t="s">
        <v>14</v>
      </c>
      <c r="J1228" t="str">
        <f>_xlfn.XLOOKUP(C1228,'product_masterlist(ifs)'!A:A,'product_masterlist(ifs)'!C:C,"N/A",0)</f>
        <v>Surgical</v>
      </c>
      <c r="K1228">
        <f>VLOOKUP(C1228,'product_masterlist(ifs)'!A:I,7,FALSE)</f>
        <v>40</v>
      </c>
    </row>
    <row r="1229" spans="1:11" x14ac:dyDescent="0.35">
      <c r="A1229" t="s">
        <v>1512</v>
      </c>
      <c r="B1229" t="s">
        <v>448</v>
      </c>
      <c r="C1229" t="s">
        <v>90</v>
      </c>
      <c r="D1229">
        <v>1</v>
      </c>
      <c r="E1229" t="s">
        <v>12</v>
      </c>
      <c r="F1229" t="s">
        <v>18</v>
      </c>
      <c r="G1229" t="s">
        <v>109</v>
      </c>
      <c r="H1229">
        <v>30</v>
      </c>
      <c r="I1229" t="s">
        <v>14</v>
      </c>
      <c r="J1229" t="str">
        <f>_xlfn.XLOOKUP(C1229,'product_masterlist(ifs)'!A:A,'product_masterlist(ifs)'!C:C,"N/A",0)</f>
        <v>Frames</v>
      </c>
      <c r="K1229">
        <f>VLOOKUP(C1229,'product_masterlist(ifs)'!A:I,7,FALSE)</f>
        <v>180</v>
      </c>
    </row>
    <row r="1230" spans="1:11" x14ac:dyDescent="0.35">
      <c r="A1230" t="s">
        <v>1513</v>
      </c>
      <c r="B1230" t="s">
        <v>967</v>
      </c>
      <c r="C1230" t="s">
        <v>42</v>
      </c>
      <c r="D1230">
        <v>8</v>
      </c>
      <c r="E1230" t="s">
        <v>22</v>
      </c>
      <c r="F1230" t="s">
        <v>18</v>
      </c>
      <c r="G1230">
        <v>200</v>
      </c>
      <c r="H1230">
        <v>21</v>
      </c>
      <c r="I1230" t="s">
        <v>14</v>
      </c>
      <c r="J1230" t="str">
        <f>_xlfn.XLOOKUP(C1230,'product_masterlist(ifs)'!A:A,'product_masterlist(ifs)'!C:C,"N/A",0)</f>
        <v>Contact Lenses</v>
      </c>
      <c r="K1230">
        <f>VLOOKUP(C1230,'product_masterlist(ifs)'!A:I,7,FALSE)</f>
        <v>120</v>
      </c>
    </row>
    <row r="1231" spans="1:11" x14ac:dyDescent="0.35">
      <c r="A1231" t="s">
        <v>1514</v>
      </c>
      <c r="B1231" t="s">
        <v>567</v>
      </c>
      <c r="C1231" t="s">
        <v>26</v>
      </c>
      <c r="D1231">
        <v>24</v>
      </c>
      <c r="E1231" t="s">
        <v>12</v>
      </c>
      <c r="F1231" t="s">
        <v>13</v>
      </c>
      <c r="G1231">
        <v>300</v>
      </c>
      <c r="H1231">
        <v>14</v>
      </c>
      <c r="I1231" t="s">
        <v>28</v>
      </c>
      <c r="J1231" t="str">
        <f>_xlfn.XLOOKUP(C1231,'product_masterlist(ifs)'!A:A,'product_masterlist(ifs)'!C:C,"N/A",0)</f>
        <v>Contact Lenses</v>
      </c>
      <c r="K1231">
        <f>VLOOKUP(C1231,'product_masterlist(ifs)'!A:I,7,FALSE)</f>
        <v>450</v>
      </c>
    </row>
    <row r="1232" spans="1:11" x14ac:dyDescent="0.35">
      <c r="A1232" t="s">
        <v>1515</v>
      </c>
      <c r="B1232" s="1">
        <v>45906</v>
      </c>
      <c r="C1232" t="s">
        <v>26</v>
      </c>
      <c r="D1232">
        <v>16</v>
      </c>
      <c r="E1232" t="s">
        <v>22</v>
      </c>
      <c r="F1232" t="s">
        <v>13</v>
      </c>
      <c r="G1232">
        <v>200</v>
      </c>
      <c r="H1232">
        <v>14</v>
      </c>
      <c r="I1232" t="s">
        <v>28</v>
      </c>
      <c r="J1232" t="str">
        <f>_xlfn.XLOOKUP(C1232,'product_masterlist(ifs)'!A:A,'product_masterlist(ifs)'!C:C,"N/A",0)</f>
        <v>Contact Lenses</v>
      </c>
      <c r="K1232">
        <f>VLOOKUP(C1232,'product_masterlist(ifs)'!A:I,7,FALSE)</f>
        <v>450</v>
      </c>
    </row>
    <row r="1233" spans="1:11" x14ac:dyDescent="0.35">
      <c r="A1233" t="s">
        <v>1516</v>
      </c>
      <c r="B1233" t="s">
        <v>205</v>
      </c>
      <c r="C1233" t="s">
        <v>42</v>
      </c>
      <c r="D1233">
        <v>15</v>
      </c>
      <c r="E1233" t="s">
        <v>37</v>
      </c>
      <c r="F1233" t="s">
        <v>13</v>
      </c>
      <c r="G1233">
        <v>375</v>
      </c>
      <c r="H1233">
        <v>21</v>
      </c>
      <c r="I1233" t="s">
        <v>14</v>
      </c>
      <c r="J1233" t="str">
        <f>_xlfn.XLOOKUP(C1233,'product_masterlist(ifs)'!A:A,'product_masterlist(ifs)'!C:C,"N/A",0)</f>
        <v>Contact Lenses</v>
      </c>
      <c r="K1233">
        <f>VLOOKUP(C1233,'product_masterlist(ifs)'!A:I,7,FALSE)</f>
        <v>120</v>
      </c>
    </row>
    <row r="1234" spans="1:11" x14ac:dyDescent="0.35">
      <c r="A1234" t="s">
        <v>1517</v>
      </c>
      <c r="B1234" t="s">
        <v>567</v>
      </c>
      <c r="C1234" t="s">
        <v>53</v>
      </c>
      <c r="D1234">
        <v>2</v>
      </c>
      <c r="E1234" t="s">
        <v>37</v>
      </c>
      <c r="F1234" t="s">
        <v>31</v>
      </c>
      <c r="G1234" t="s">
        <v>291</v>
      </c>
      <c r="H1234">
        <v>7</v>
      </c>
      <c r="I1234" t="s">
        <v>28</v>
      </c>
      <c r="J1234" t="str">
        <f>_xlfn.XLOOKUP(C1234,'product_masterlist(ifs)'!A:A,'product_masterlist(ifs)'!C:C,"N/A",0)</f>
        <v>Solutions</v>
      </c>
      <c r="K1234">
        <f>VLOOKUP(C1234,'product_masterlist(ifs)'!A:I,7,FALSE)</f>
        <v>800</v>
      </c>
    </row>
    <row r="1235" spans="1:11" x14ac:dyDescent="0.35">
      <c r="A1235" t="s">
        <v>1518</v>
      </c>
      <c r="B1235" s="1">
        <v>45881</v>
      </c>
      <c r="C1235" t="s">
        <v>53</v>
      </c>
      <c r="D1235">
        <v>7</v>
      </c>
      <c r="E1235" t="s">
        <v>12</v>
      </c>
      <c r="F1235" t="s">
        <v>31</v>
      </c>
      <c r="G1235" t="s">
        <v>320</v>
      </c>
      <c r="H1235">
        <v>7</v>
      </c>
      <c r="I1235" t="s">
        <v>28</v>
      </c>
      <c r="J1235" t="str">
        <f>_xlfn.XLOOKUP(C1235,'product_masterlist(ifs)'!A:A,'product_masterlist(ifs)'!C:C,"N/A",0)</f>
        <v>Solutions</v>
      </c>
      <c r="K1235">
        <f>VLOOKUP(C1235,'product_masterlist(ifs)'!A:I,7,FALSE)</f>
        <v>800</v>
      </c>
    </row>
    <row r="1236" spans="1:11" x14ac:dyDescent="0.35">
      <c r="A1236" t="s">
        <v>1519</v>
      </c>
      <c r="B1236" t="s">
        <v>567</v>
      </c>
      <c r="C1236" t="s">
        <v>26</v>
      </c>
      <c r="D1236">
        <v>2</v>
      </c>
      <c r="E1236" t="s">
        <v>37</v>
      </c>
      <c r="F1236" t="s">
        <v>18</v>
      </c>
      <c r="G1236">
        <v>25</v>
      </c>
      <c r="H1236">
        <v>14</v>
      </c>
      <c r="I1236" t="s">
        <v>28</v>
      </c>
      <c r="J1236" t="str">
        <f>_xlfn.XLOOKUP(C1236,'product_masterlist(ifs)'!A:A,'product_masterlist(ifs)'!C:C,"N/A",0)</f>
        <v>Contact Lenses</v>
      </c>
      <c r="K1236">
        <f>VLOOKUP(C1236,'product_masterlist(ifs)'!A:I,7,FALSE)</f>
        <v>450</v>
      </c>
    </row>
    <row r="1237" spans="1:11" x14ac:dyDescent="0.35">
      <c r="A1237" t="s">
        <v>1520</v>
      </c>
      <c r="B1237" t="s">
        <v>381</v>
      </c>
      <c r="C1237" t="s">
        <v>26</v>
      </c>
      <c r="D1237">
        <v>10</v>
      </c>
      <c r="E1237" t="s">
        <v>12</v>
      </c>
      <c r="F1237" t="s">
        <v>31</v>
      </c>
      <c r="G1237">
        <v>125</v>
      </c>
      <c r="H1237">
        <v>14</v>
      </c>
      <c r="I1237" t="s">
        <v>28</v>
      </c>
      <c r="J1237" t="str">
        <f>_xlfn.XLOOKUP(C1237,'product_masterlist(ifs)'!A:A,'product_masterlist(ifs)'!C:C,"N/A",0)</f>
        <v>Contact Lenses</v>
      </c>
      <c r="K1237">
        <f>VLOOKUP(C1237,'product_masterlist(ifs)'!A:I,7,FALSE)</f>
        <v>450</v>
      </c>
    </row>
    <row r="1238" spans="1:11" x14ac:dyDescent="0.35">
      <c r="A1238" t="s">
        <v>1521</v>
      </c>
      <c r="B1238" s="1">
        <v>45970</v>
      </c>
      <c r="C1238" t="s">
        <v>26</v>
      </c>
      <c r="D1238">
        <v>22</v>
      </c>
      <c r="E1238" t="s">
        <v>12</v>
      </c>
      <c r="F1238" t="s">
        <v>18</v>
      </c>
      <c r="G1238">
        <v>275</v>
      </c>
      <c r="H1238">
        <v>14</v>
      </c>
      <c r="I1238" t="s">
        <v>28</v>
      </c>
      <c r="J1238" t="str">
        <f>_xlfn.XLOOKUP(C1238,'product_masterlist(ifs)'!A:A,'product_masterlist(ifs)'!C:C,"N/A",0)</f>
        <v>Contact Lenses</v>
      </c>
      <c r="K1238">
        <f>VLOOKUP(C1238,'product_masterlist(ifs)'!A:I,7,FALSE)</f>
        <v>450</v>
      </c>
    </row>
    <row r="1239" spans="1:11" x14ac:dyDescent="0.35">
      <c r="A1239" t="s">
        <v>1522</v>
      </c>
      <c r="B1239" t="s">
        <v>293</v>
      </c>
      <c r="C1239" t="s">
        <v>33</v>
      </c>
      <c r="D1239">
        <v>2</v>
      </c>
      <c r="E1239" t="s">
        <v>22</v>
      </c>
      <c r="F1239" t="s">
        <v>13</v>
      </c>
      <c r="G1239">
        <v>300</v>
      </c>
      <c r="H1239">
        <v>45</v>
      </c>
      <c r="I1239" t="s">
        <v>34</v>
      </c>
      <c r="J1239" t="str">
        <f>_xlfn.XLOOKUP(C1239,'product_masterlist(ifs)'!A:A,'product_masterlist(ifs)'!C:C,"N/A",0)</f>
        <v>Surgical</v>
      </c>
      <c r="K1239">
        <f>VLOOKUP(C1239,'product_masterlist(ifs)'!A:I,7,FALSE)</f>
        <v>15</v>
      </c>
    </row>
    <row r="1240" spans="1:11" x14ac:dyDescent="0.35">
      <c r="A1240" t="s">
        <v>1523</v>
      </c>
      <c r="B1240" t="s">
        <v>58</v>
      </c>
      <c r="C1240" t="s">
        <v>26</v>
      </c>
      <c r="D1240">
        <v>22</v>
      </c>
      <c r="E1240" t="s">
        <v>20</v>
      </c>
      <c r="F1240" t="s">
        <v>13</v>
      </c>
      <c r="G1240">
        <v>275</v>
      </c>
      <c r="H1240">
        <v>14</v>
      </c>
      <c r="I1240" t="s">
        <v>28</v>
      </c>
      <c r="J1240" t="str">
        <f>_xlfn.XLOOKUP(C1240,'product_masterlist(ifs)'!A:A,'product_masterlist(ifs)'!C:C,"N/A",0)</f>
        <v>Contact Lenses</v>
      </c>
      <c r="K1240">
        <f>VLOOKUP(C1240,'product_masterlist(ifs)'!A:I,7,FALSE)</f>
        <v>450</v>
      </c>
    </row>
    <row r="1241" spans="1:11" x14ac:dyDescent="0.35">
      <c r="A1241" t="s">
        <v>1524</v>
      </c>
      <c r="B1241" t="s">
        <v>208</v>
      </c>
      <c r="C1241" t="s">
        <v>11</v>
      </c>
      <c r="D1241">
        <v>21</v>
      </c>
      <c r="E1241" t="s">
        <v>22</v>
      </c>
      <c r="F1241" t="s">
        <v>31</v>
      </c>
      <c r="G1241">
        <v>1785</v>
      </c>
      <c r="H1241">
        <v>30</v>
      </c>
      <c r="I1241" t="s">
        <v>14</v>
      </c>
      <c r="J1241" t="str">
        <f>_xlfn.XLOOKUP(C1241,'product_masterlist(ifs)'!A:A,'product_masterlist(ifs)'!C:C,"N/A",0)</f>
        <v>Surgical</v>
      </c>
      <c r="K1241">
        <f>VLOOKUP(C1241,'product_masterlist(ifs)'!A:I,7,FALSE)</f>
        <v>40</v>
      </c>
    </row>
    <row r="1242" spans="1:11" x14ac:dyDescent="0.35">
      <c r="A1242" t="s">
        <v>1525</v>
      </c>
      <c r="B1242" s="1">
        <v>45908</v>
      </c>
      <c r="C1242" t="s">
        <v>11</v>
      </c>
      <c r="D1242">
        <v>3</v>
      </c>
      <c r="E1242" t="s">
        <v>37</v>
      </c>
      <c r="F1242" t="s">
        <v>31</v>
      </c>
      <c r="G1242">
        <v>255</v>
      </c>
      <c r="H1242">
        <v>30</v>
      </c>
      <c r="I1242" t="s">
        <v>14</v>
      </c>
      <c r="J1242" t="str">
        <f>_xlfn.XLOOKUP(C1242,'product_masterlist(ifs)'!A:A,'product_masterlist(ifs)'!C:C,"N/A",0)</f>
        <v>Surgical</v>
      </c>
      <c r="K1242">
        <f>VLOOKUP(C1242,'product_masterlist(ifs)'!A:I,7,FALSE)</f>
        <v>40</v>
      </c>
    </row>
    <row r="1243" spans="1:11" x14ac:dyDescent="0.35">
      <c r="A1243" t="s">
        <v>1526</v>
      </c>
      <c r="B1243" s="1">
        <v>45966</v>
      </c>
      <c r="C1243" t="s">
        <v>42</v>
      </c>
      <c r="D1243">
        <v>5</v>
      </c>
      <c r="E1243" t="s">
        <v>22</v>
      </c>
      <c r="F1243" t="s">
        <v>23</v>
      </c>
      <c r="G1243">
        <v>125</v>
      </c>
      <c r="H1243">
        <v>21</v>
      </c>
      <c r="I1243" t="s">
        <v>14</v>
      </c>
      <c r="J1243" t="str">
        <f>_xlfn.XLOOKUP(C1243,'product_masterlist(ifs)'!A:A,'product_masterlist(ifs)'!C:C,"N/A",0)</f>
        <v>Contact Lenses</v>
      </c>
      <c r="K1243">
        <f>VLOOKUP(C1243,'product_masterlist(ifs)'!A:I,7,FALSE)</f>
        <v>120</v>
      </c>
    </row>
    <row r="1244" spans="1:11" x14ac:dyDescent="0.35">
      <c r="A1244" t="s">
        <v>1527</v>
      </c>
      <c r="B1244" s="1">
        <v>45905</v>
      </c>
      <c r="C1244" t="s">
        <v>90</v>
      </c>
      <c r="D1244">
        <v>10</v>
      </c>
      <c r="E1244" t="s">
        <v>12</v>
      </c>
      <c r="F1244" t="s">
        <v>23</v>
      </c>
      <c r="G1244">
        <v>485</v>
      </c>
      <c r="H1244">
        <v>30</v>
      </c>
      <c r="I1244" t="s">
        <v>14</v>
      </c>
      <c r="J1244" t="str">
        <f>_xlfn.XLOOKUP(C1244,'product_masterlist(ifs)'!A:A,'product_masterlist(ifs)'!C:C,"N/A",0)</f>
        <v>Frames</v>
      </c>
      <c r="K1244">
        <f>VLOOKUP(C1244,'product_masterlist(ifs)'!A:I,7,FALSE)</f>
        <v>180</v>
      </c>
    </row>
    <row r="1245" spans="1:11" x14ac:dyDescent="0.35">
      <c r="A1245" t="s">
        <v>1528</v>
      </c>
      <c r="B1245" t="s">
        <v>1529</v>
      </c>
      <c r="C1245" t="s">
        <v>90</v>
      </c>
      <c r="D1245">
        <v>3</v>
      </c>
      <c r="E1245" t="s">
        <v>12</v>
      </c>
      <c r="F1245" t="s">
        <v>13</v>
      </c>
      <c r="G1245" t="s">
        <v>375</v>
      </c>
      <c r="H1245">
        <v>30</v>
      </c>
      <c r="I1245" t="s">
        <v>14</v>
      </c>
      <c r="J1245" t="str">
        <f>_xlfn.XLOOKUP(C1245,'product_masterlist(ifs)'!A:A,'product_masterlist(ifs)'!C:C,"N/A",0)</f>
        <v>Frames</v>
      </c>
      <c r="K1245">
        <f>VLOOKUP(C1245,'product_masterlist(ifs)'!A:I,7,FALSE)</f>
        <v>180</v>
      </c>
    </row>
    <row r="1246" spans="1:11" x14ac:dyDescent="0.35">
      <c r="A1246" t="s">
        <v>1530</v>
      </c>
      <c r="B1246" s="1">
        <v>45876</v>
      </c>
      <c r="C1246" t="s">
        <v>53</v>
      </c>
      <c r="D1246">
        <v>8</v>
      </c>
      <c r="E1246" t="s">
        <v>12</v>
      </c>
      <c r="F1246" t="s">
        <v>23</v>
      </c>
      <c r="G1246">
        <v>34</v>
      </c>
      <c r="H1246">
        <v>7</v>
      </c>
      <c r="I1246" t="s">
        <v>28</v>
      </c>
      <c r="J1246" t="str">
        <f>_xlfn.XLOOKUP(C1246,'product_masterlist(ifs)'!A:A,'product_masterlist(ifs)'!C:C,"N/A",0)</f>
        <v>Solutions</v>
      </c>
      <c r="K1246">
        <f>VLOOKUP(C1246,'product_masterlist(ifs)'!A:I,7,FALSE)</f>
        <v>800</v>
      </c>
    </row>
    <row r="1247" spans="1:11" x14ac:dyDescent="0.35">
      <c r="A1247" t="s">
        <v>1531</v>
      </c>
      <c r="B1247" s="1">
        <v>45967</v>
      </c>
      <c r="C1247" t="s">
        <v>17</v>
      </c>
      <c r="D1247">
        <v>14</v>
      </c>
      <c r="E1247" t="s">
        <v>12</v>
      </c>
      <c r="F1247" t="s">
        <v>18</v>
      </c>
      <c r="G1247">
        <v>630</v>
      </c>
      <c r="H1247">
        <v>30</v>
      </c>
      <c r="I1247" t="s">
        <v>14</v>
      </c>
      <c r="J1247" t="str">
        <f>_xlfn.XLOOKUP(C1247,'product_masterlist(ifs)'!A:A,'product_masterlist(ifs)'!C:C,"N/A",0)</f>
        <v>Frames</v>
      </c>
      <c r="K1247">
        <f>VLOOKUP(C1247,'product_masterlist(ifs)'!A:I,7,FALSE)</f>
        <v>45</v>
      </c>
    </row>
    <row r="1248" spans="1:11" x14ac:dyDescent="0.35">
      <c r="A1248" t="s">
        <v>1532</v>
      </c>
      <c r="B1248" s="1">
        <v>45939</v>
      </c>
      <c r="C1248" t="s">
        <v>11</v>
      </c>
      <c r="D1248">
        <v>10</v>
      </c>
      <c r="E1248" t="s">
        <v>22</v>
      </c>
      <c r="F1248" t="s">
        <v>13</v>
      </c>
      <c r="G1248">
        <v>850</v>
      </c>
      <c r="H1248">
        <v>30</v>
      </c>
      <c r="I1248" t="s">
        <v>14</v>
      </c>
      <c r="J1248" t="str">
        <f>_xlfn.XLOOKUP(C1248,'product_masterlist(ifs)'!A:A,'product_masterlist(ifs)'!C:C,"N/A",0)</f>
        <v>Surgical</v>
      </c>
      <c r="K1248">
        <f>VLOOKUP(C1248,'product_masterlist(ifs)'!A:I,7,FALSE)</f>
        <v>40</v>
      </c>
    </row>
    <row r="1249" spans="1:11" x14ac:dyDescent="0.35">
      <c r="A1249" t="s">
        <v>1533</v>
      </c>
      <c r="B1249" t="s">
        <v>146</v>
      </c>
      <c r="C1249" t="s">
        <v>17</v>
      </c>
      <c r="D1249">
        <v>1</v>
      </c>
      <c r="E1249" t="s">
        <v>12</v>
      </c>
      <c r="F1249" t="s">
        <v>13</v>
      </c>
      <c r="G1249">
        <v>45</v>
      </c>
      <c r="H1249">
        <v>30</v>
      </c>
      <c r="I1249" t="s">
        <v>14</v>
      </c>
      <c r="J1249" t="str">
        <f>_xlfn.XLOOKUP(C1249,'product_masterlist(ifs)'!A:A,'product_masterlist(ifs)'!C:C,"N/A",0)</f>
        <v>Frames</v>
      </c>
      <c r="K1249">
        <f>VLOOKUP(C1249,'product_masterlist(ifs)'!A:I,7,FALSE)</f>
        <v>45</v>
      </c>
    </row>
    <row r="1250" spans="1:11" x14ac:dyDescent="0.35">
      <c r="A1250" t="s">
        <v>1534</v>
      </c>
      <c r="B1250" t="s">
        <v>588</v>
      </c>
      <c r="C1250" t="s">
        <v>42</v>
      </c>
      <c r="D1250">
        <v>15</v>
      </c>
      <c r="E1250" t="s">
        <v>12</v>
      </c>
      <c r="F1250" t="s">
        <v>31</v>
      </c>
      <c r="G1250">
        <v>375</v>
      </c>
      <c r="H1250">
        <v>21</v>
      </c>
      <c r="I1250" t="s">
        <v>14</v>
      </c>
      <c r="J1250" t="str">
        <f>_xlfn.XLOOKUP(C1250,'product_masterlist(ifs)'!A:A,'product_masterlist(ifs)'!C:C,"N/A",0)</f>
        <v>Contact Lenses</v>
      </c>
      <c r="K1250">
        <f>VLOOKUP(C1250,'product_masterlist(ifs)'!A:I,7,FALSE)</f>
        <v>120</v>
      </c>
    </row>
    <row r="1251" spans="1:11" x14ac:dyDescent="0.35">
      <c r="A1251" t="s">
        <v>1535</v>
      </c>
      <c r="B1251" t="s">
        <v>105</v>
      </c>
      <c r="C1251" t="s">
        <v>33</v>
      </c>
      <c r="D1251">
        <v>1</v>
      </c>
      <c r="E1251" t="s">
        <v>12</v>
      </c>
      <c r="F1251" t="s">
        <v>18</v>
      </c>
      <c r="G1251">
        <v>150</v>
      </c>
      <c r="H1251">
        <v>45</v>
      </c>
      <c r="I1251" t="s">
        <v>34</v>
      </c>
      <c r="J1251" t="str">
        <f>_xlfn.XLOOKUP(C1251,'product_masterlist(ifs)'!A:A,'product_masterlist(ifs)'!C:C,"N/A",0)</f>
        <v>Surgical</v>
      </c>
      <c r="K1251">
        <f>VLOOKUP(C1251,'product_masterlist(ifs)'!A:I,7,FALSE)</f>
        <v>15</v>
      </c>
    </row>
    <row r="1252" spans="1:11" x14ac:dyDescent="0.35">
      <c r="A1252" t="s">
        <v>1536</v>
      </c>
      <c r="B1252" s="1">
        <v>45906</v>
      </c>
      <c r="C1252" t="s">
        <v>26</v>
      </c>
      <c r="D1252">
        <v>2</v>
      </c>
      <c r="E1252" t="s">
        <v>20</v>
      </c>
      <c r="F1252" t="s">
        <v>13</v>
      </c>
      <c r="G1252">
        <v>25</v>
      </c>
      <c r="H1252">
        <v>14</v>
      </c>
      <c r="I1252" t="s">
        <v>28</v>
      </c>
      <c r="J1252" t="str">
        <f>_xlfn.XLOOKUP(C1252,'product_masterlist(ifs)'!A:A,'product_masterlist(ifs)'!C:C,"N/A",0)</f>
        <v>Contact Lenses</v>
      </c>
      <c r="K1252">
        <f>VLOOKUP(C1252,'product_masterlist(ifs)'!A:I,7,FALSE)</f>
        <v>450</v>
      </c>
    </row>
    <row r="1253" spans="1:11" x14ac:dyDescent="0.35">
      <c r="A1253" t="s">
        <v>1537</v>
      </c>
      <c r="B1253" t="s">
        <v>588</v>
      </c>
      <c r="C1253" t="s">
        <v>11</v>
      </c>
      <c r="D1253">
        <v>13</v>
      </c>
      <c r="E1253" t="s">
        <v>12</v>
      </c>
      <c r="F1253" t="s">
        <v>18</v>
      </c>
      <c r="G1253">
        <v>1105</v>
      </c>
      <c r="H1253">
        <v>30</v>
      </c>
      <c r="I1253" t="s">
        <v>14</v>
      </c>
      <c r="J1253" t="str">
        <f>_xlfn.XLOOKUP(C1253,'product_masterlist(ifs)'!A:A,'product_masterlist(ifs)'!C:C,"N/A",0)</f>
        <v>Surgical</v>
      </c>
      <c r="K1253">
        <f>VLOOKUP(C1253,'product_masterlist(ifs)'!A:I,7,FALSE)</f>
        <v>40</v>
      </c>
    </row>
    <row r="1254" spans="1:11" x14ac:dyDescent="0.35">
      <c r="A1254" t="s">
        <v>1538</v>
      </c>
      <c r="B1254" t="s">
        <v>1190</v>
      </c>
      <c r="C1254" t="s">
        <v>26</v>
      </c>
      <c r="D1254">
        <v>22</v>
      </c>
      <c r="E1254" t="s">
        <v>20</v>
      </c>
      <c r="F1254" t="s">
        <v>13</v>
      </c>
      <c r="G1254">
        <v>275</v>
      </c>
      <c r="H1254">
        <v>14</v>
      </c>
      <c r="I1254" t="s">
        <v>28</v>
      </c>
      <c r="J1254" t="str">
        <f>_xlfn.XLOOKUP(C1254,'product_masterlist(ifs)'!A:A,'product_masterlist(ifs)'!C:C,"N/A",0)</f>
        <v>Contact Lenses</v>
      </c>
      <c r="K1254">
        <f>VLOOKUP(C1254,'product_masterlist(ifs)'!A:I,7,FALSE)</f>
        <v>450</v>
      </c>
    </row>
    <row r="1255" spans="1:11" x14ac:dyDescent="0.35">
      <c r="A1255" t="s">
        <v>1539</v>
      </c>
      <c r="B1255" t="s">
        <v>122</v>
      </c>
      <c r="C1255" t="s">
        <v>26</v>
      </c>
      <c r="D1255">
        <v>16</v>
      </c>
      <c r="E1255" t="s">
        <v>20</v>
      </c>
      <c r="F1255" t="s">
        <v>13</v>
      </c>
      <c r="G1255">
        <v>200</v>
      </c>
      <c r="H1255">
        <v>14</v>
      </c>
      <c r="I1255" t="s">
        <v>28</v>
      </c>
      <c r="J1255" t="str">
        <f>_xlfn.XLOOKUP(C1255,'product_masterlist(ifs)'!A:A,'product_masterlist(ifs)'!C:C,"N/A",0)</f>
        <v>Contact Lenses</v>
      </c>
      <c r="K1255">
        <f>VLOOKUP(C1255,'product_masterlist(ifs)'!A:I,7,FALSE)</f>
        <v>450</v>
      </c>
    </row>
    <row r="1256" spans="1:11" x14ac:dyDescent="0.35">
      <c r="A1256" t="s">
        <v>1540</v>
      </c>
      <c r="B1256" t="s">
        <v>255</v>
      </c>
      <c r="C1256" t="s">
        <v>42</v>
      </c>
      <c r="D1256">
        <v>20</v>
      </c>
      <c r="E1256" t="s">
        <v>37</v>
      </c>
      <c r="F1256" t="s">
        <v>31</v>
      </c>
      <c r="G1256">
        <v>500</v>
      </c>
      <c r="H1256">
        <v>21</v>
      </c>
      <c r="I1256" t="s">
        <v>14</v>
      </c>
      <c r="J1256" t="str">
        <f>_xlfn.XLOOKUP(C1256,'product_masterlist(ifs)'!A:A,'product_masterlist(ifs)'!C:C,"N/A",0)</f>
        <v>Contact Lenses</v>
      </c>
      <c r="K1256">
        <f>VLOOKUP(C1256,'product_masterlist(ifs)'!A:I,7,FALSE)</f>
        <v>120</v>
      </c>
    </row>
    <row r="1257" spans="1:11" x14ac:dyDescent="0.35">
      <c r="A1257" t="s">
        <v>1541</v>
      </c>
      <c r="B1257" t="s">
        <v>345</v>
      </c>
      <c r="C1257" t="s">
        <v>33</v>
      </c>
      <c r="D1257">
        <v>5</v>
      </c>
      <c r="E1257" t="s">
        <v>22</v>
      </c>
      <c r="F1257" t="s">
        <v>31</v>
      </c>
      <c r="G1257">
        <v>750</v>
      </c>
      <c r="H1257">
        <v>45</v>
      </c>
      <c r="I1257" t="s">
        <v>34</v>
      </c>
      <c r="J1257" t="str">
        <f>_xlfn.XLOOKUP(C1257,'product_masterlist(ifs)'!A:A,'product_masterlist(ifs)'!C:C,"N/A",0)</f>
        <v>Surgical</v>
      </c>
      <c r="K1257">
        <f>VLOOKUP(C1257,'product_masterlist(ifs)'!A:I,7,FALSE)</f>
        <v>15</v>
      </c>
    </row>
    <row r="1258" spans="1:11" x14ac:dyDescent="0.35">
      <c r="A1258" t="s">
        <v>1542</v>
      </c>
      <c r="B1258" s="1">
        <v>45695</v>
      </c>
      <c r="C1258" t="s">
        <v>53</v>
      </c>
      <c r="D1258">
        <v>4</v>
      </c>
      <c r="E1258" t="s">
        <v>22</v>
      </c>
      <c r="F1258" t="s">
        <v>13</v>
      </c>
      <c r="G1258">
        <v>17</v>
      </c>
      <c r="H1258">
        <v>7</v>
      </c>
      <c r="I1258" t="s">
        <v>28</v>
      </c>
      <c r="J1258" t="str">
        <f>_xlfn.XLOOKUP(C1258,'product_masterlist(ifs)'!A:A,'product_masterlist(ifs)'!C:C,"N/A",0)</f>
        <v>Solutions</v>
      </c>
      <c r="K1258">
        <f>VLOOKUP(C1258,'product_masterlist(ifs)'!A:I,7,FALSE)</f>
        <v>800</v>
      </c>
    </row>
    <row r="1259" spans="1:11" x14ac:dyDescent="0.35">
      <c r="A1259" t="s">
        <v>1543</v>
      </c>
      <c r="B1259" s="1">
        <v>45727</v>
      </c>
      <c r="C1259" t="s">
        <v>90</v>
      </c>
      <c r="D1259">
        <v>20</v>
      </c>
      <c r="E1259" t="s">
        <v>37</v>
      </c>
      <c r="F1259" t="s">
        <v>23</v>
      </c>
      <c r="G1259">
        <v>970</v>
      </c>
      <c r="H1259">
        <v>30</v>
      </c>
      <c r="I1259" t="s">
        <v>14</v>
      </c>
      <c r="J1259" t="str">
        <f>_xlfn.XLOOKUP(C1259,'product_masterlist(ifs)'!A:A,'product_masterlist(ifs)'!C:C,"N/A",0)</f>
        <v>Frames</v>
      </c>
      <c r="K1259">
        <f>VLOOKUP(C1259,'product_masterlist(ifs)'!A:I,7,FALSE)</f>
        <v>180</v>
      </c>
    </row>
    <row r="1260" spans="1:11" x14ac:dyDescent="0.35">
      <c r="A1260" t="s">
        <v>1544</v>
      </c>
      <c r="B1260" t="s">
        <v>625</v>
      </c>
      <c r="C1260" t="s">
        <v>53</v>
      </c>
      <c r="D1260">
        <v>18</v>
      </c>
      <c r="E1260" t="s">
        <v>37</v>
      </c>
      <c r="F1260" t="s">
        <v>13</v>
      </c>
      <c r="G1260" t="s">
        <v>336</v>
      </c>
      <c r="H1260">
        <v>7</v>
      </c>
      <c r="I1260" t="s">
        <v>28</v>
      </c>
      <c r="J1260" t="str">
        <f>_xlfn.XLOOKUP(C1260,'product_masterlist(ifs)'!A:A,'product_masterlist(ifs)'!C:C,"N/A",0)</f>
        <v>Solutions</v>
      </c>
      <c r="K1260">
        <f>VLOOKUP(C1260,'product_masterlist(ifs)'!A:I,7,FALSE)</f>
        <v>800</v>
      </c>
    </row>
    <row r="1261" spans="1:11" x14ac:dyDescent="0.35">
      <c r="A1261" t="s">
        <v>1545</v>
      </c>
      <c r="B1261" s="1">
        <v>45787</v>
      </c>
      <c r="C1261" t="s">
        <v>33</v>
      </c>
      <c r="D1261">
        <v>17</v>
      </c>
      <c r="E1261" t="s">
        <v>12</v>
      </c>
      <c r="F1261" t="s">
        <v>23</v>
      </c>
      <c r="G1261">
        <v>2550</v>
      </c>
      <c r="H1261">
        <v>45</v>
      </c>
      <c r="I1261" t="s">
        <v>34</v>
      </c>
      <c r="J1261" t="str">
        <f>_xlfn.XLOOKUP(C1261,'product_masterlist(ifs)'!A:A,'product_masterlist(ifs)'!C:C,"N/A",0)</f>
        <v>Surgical</v>
      </c>
      <c r="K1261">
        <f>VLOOKUP(C1261,'product_masterlist(ifs)'!A:I,7,FALSE)</f>
        <v>15</v>
      </c>
    </row>
    <row r="1262" spans="1:11" x14ac:dyDescent="0.35">
      <c r="A1262" t="s">
        <v>1546</v>
      </c>
      <c r="B1262" t="s">
        <v>364</v>
      </c>
      <c r="C1262" t="s">
        <v>42</v>
      </c>
      <c r="D1262">
        <v>14</v>
      </c>
      <c r="E1262" t="s">
        <v>20</v>
      </c>
      <c r="F1262" t="s">
        <v>23</v>
      </c>
      <c r="G1262">
        <v>350</v>
      </c>
      <c r="H1262">
        <v>21</v>
      </c>
      <c r="I1262" t="s">
        <v>14</v>
      </c>
      <c r="J1262" t="str">
        <f>_xlfn.XLOOKUP(C1262,'product_masterlist(ifs)'!A:A,'product_masterlist(ifs)'!C:C,"N/A",0)</f>
        <v>Contact Lenses</v>
      </c>
      <c r="K1262">
        <f>VLOOKUP(C1262,'product_masterlist(ifs)'!A:I,7,FALSE)</f>
        <v>120</v>
      </c>
    </row>
    <row r="1263" spans="1:11" x14ac:dyDescent="0.35">
      <c r="A1263" t="s">
        <v>1547</v>
      </c>
      <c r="B1263" s="1">
        <v>45700</v>
      </c>
      <c r="C1263" t="s">
        <v>42</v>
      </c>
      <c r="D1263">
        <v>6</v>
      </c>
      <c r="E1263" t="s">
        <v>22</v>
      </c>
      <c r="F1263" t="s">
        <v>13</v>
      </c>
      <c r="G1263">
        <v>150</v>
      </c>
      <c r="H1263">
        <v>21</v>
      </c>
      <c r="I1263" t="s">
        <v>14</v>
      </c>
      <c r="J1263" t="str">
        <f>_xlfn.XLOOKUP(C1263,'product_masterlist(ifs)'!A:A,'product_masterlist(ifs)'!C:C,"N/A",0)</f>
        <v>Contact Lenses</v>
      </c>
      <c r="K1263">
        <f>VLOOKUP(C1263,'product_masterlist(ifs)'!A:I,7,FALSE)</f>
        <v>120</v>
      </c>
    </row>
    <row r="1264" spans="1:11" x14ac:dyDescent="0.35">
      <c r="A1264" t="s">
        <v>1548</v>
      </c>
      <c r="B1264" t="s">
        <v>277</v>
      </c>
      <c r="C1264" t="s">
        <v>33</v>
      </c>
      <c r="D1264">
        <v>18</v>
      </c>
      <c r="E1264" t="s">
        <v>20</v>
      </c>
      <c r="F1264" t="s">
        <v>31</v>
      </c>
      <c r="G1264">
        <v>2700</v>
      </c>
      <c r="H1264">
        <v>45</v>
      </c>
      <c r="I1264" t="s">
        <v>34</v>
      </c>
      <c r="J1264" t="str">
        <f>_xlfn.XLOOKUP(C1264,'product_masterlist(ifs)'!A:A,'product_masterlist(ifs)'!C:C,"N/A",0)</f>
        <v>Surgical</v>
      </c>
      <c r="K1264">
        <f>VLOOKUP(C1264,'product_masterlist(ifs)'!A:I,7,FALSE)</f>
        <v>15</v>
      </c>
    </row>
    <row r="1265" spans="1:11" x14ac:dyDescent="0.35">
      <c r="A1265" t="s">
        <v>1549</v>
      </c>
      <c r="B1265" t="s">
        <v>80</v>
      </c>
      <c r="C1265" t="s">
        <v>53</v>
      </c>
      <c r="D1265">
        <v>12</v>
      </c>
      <c r="E1265" t="s">
        <v>20</v>
      </c>
      <c r="F1265" t="s">
        <v>18</v>
      </c>
      <c r="G1265">
        <v>51</v>
      </c>
      <c r="H1265">
        <v>7</v>
      </c>
      <c r="I1265" t="s">
        <v>28</v>
      </c>
      <c r="J1265" t="str">
        <f>_xlfn.XLOOKUP(C1265,'product_masterlist(ifs)'!A:A,'product_masterlist(ifs)'!C:C,"N/A",0)</f>
        <v>Solutions</v>
      </c>
      <c r="K1265">
        <f>VLOOKUP(C1265,'product_masterlist(ifs)'!A:I,7,FALSE)</f>
        <v>800</v>
      </c>
    </row>
    <row r="1266" spans="1:11" x14ac:dyDescent="0.35">
      <c r="A1266" t="s">
        <v>1550</v>
      </c>
      <c r="B1266" t="s">
        <v>920</v>
      </c>
      <c r="C1266" t="s">
        <v>53</v>
      </c>
      <c r="D1266">
        <v>24</v>
      </c>
      <c r="E1266" t="s">
        <v>20</v>
      </c>
      <c r="F1266" t="s">
        <v>18</v>
      </c>
      <c r="G1266">
        <v>102</v>
      </c>
      <c r="H1266">
        <v>7</v>
      </c>
      <c r="I1266" t="s">
        <v>28</v>
      </c>
      <c r="J1266" t="str">
        <f>_xlfn.XLOOKUP(C1266,'product_masterlist(ifs)'!A:A,'product_masterlist(ifs)'!C:C,"N/A",0)</f>
        <v>Solutions</v>
      </c>
      <c r="K1266">
        <f>VLOOKUP(C1266,'product_masterlist(ifs)'!A:I,7,FALSE)</f>
        <v>800</v>
      </c>
    </row>
    <row r="1267" spans="1:11" x14ac:dyDescent="0.35">
      <c r="A1267" t="s">
        <v>1551</v>
      </c>
      <c r="B1267" t="s">
        <v>159</v>
      </c>
      <c r="C1267" t="s">
        <v>90</v>
      </c>
      <c r="D1267">
        <v>21</v>
      </c>
      <c r="E1267" t="s">
        <v>20</v>
      </c>
      <c r="F1267" t="s">
        <v>13</v>
      </c>
      <c r="G1267" t="s">
        <v>120</v>
      </c>
      <c r="H1267">
        <v>30</v>
      </c>
      <c r="I1267" t="s">
        <v>14</v>
      </c>
      <c r="J1267" t="str">
        <f>_xlfn.XLOOKUP(C1267,'product_masterlist(ifs)'!A:A,'product_masterlist(ifs)'!C:C,"N/A",0)</f>
        <v>Frames</v>
      </c>
      <c r="K1267">
        <f>VLOOKUP(C1267,'product_masterlist(ifs)'!A:I,7,FALSE)</f>
        <v>180</v>
      </c>
    </row>
    <row r="1268" spans="1:11" x14ac:dyDescent="0.35">
      <c r="A1268" t="s">
        <v>1552</v>
      </c>
      <c r="B1268" t="s">
        <v>312</v>
      </c>
      <c r="C1268" t="s">
        <v>11</v>
      </c>
      <c r="D1268">
        <v>12</v>
      </c>
      <c r="E1268" t="s">
        <v>20</v>
      </c>
      <c r="F1268" t="s">
        <v>23</v>
      </c>
      <c r="G1268">
        <v>1020</v>
      </c>
      <c r="H1268">
        <v>30</v>
      </c>
      <c r="I1268" t="s">
        <v>14</v>
      </c>
      <c r="J1268" t="str">
        <f>_xlfn.XLOOKUP(C1268,'product_masterlist(ifs)'!A:A,'product_masterlist(ifs)'!C:C,"N/A",0)</f>
        <v>Surgical</v>
      </c>
      <c r="K1268">
        <f>VLOOKUP(C1268,'product_masterlist(ifs)'!A:I,7,FALSE)</f>
        <v>40</v>
      </c>
    </row>
    <row r="1269" spans="1:11" x14ac:dyDescent="0.35">
      <c r="A1269" t="s">
        <v>1553</v>
      </c>
      <c r="B1269" s="1">
        <v>45879</v>
      </c>
      <c r="C1269" t="s">
        <v>53</v>
      </c>
      <c r="D1269">
        <v>2</v>
      </c>
      <c r="E1269" t="s">
        <v>12</v>
      </c>
      <c r="F1269" t="s">
        <v>23</v>
      </c>
      <c r="G1269" t="s">
        <v>291</v>
      </c>
      <c r="H1269">
        <v>7</v>
      </c>
      <c r="I1269" t="s">
        <v>28</v>
      </c>
      <c r="J1269" t="str">
        <f>_xlfn.XLOOKUP(C1269,'product_masterlist(ifs)'!A:A,'product_masterlist(ifs)'!C:C,"N/A",0)</f>
        <v>Solutions</v>
      </c>
      <c r="K1269">
        <f>VLOOKUP(C1269,'product_masterlist(ifs)'!A:I,7,FALSE)</f>
        <v>800</v>
      </c>
    </row>
    <row r="1270" spans="1:11" x14ac:dyDescent="0.35">
      <c r="A1270" t="s">
        <v>1554</v>
      </c>
      <c r="B1270" t="s">
        <v>460</v>
      </c>
      <c r="C1270" t="s">
        <v>53</v>
      </c>
      <c r="D1270">
        <v>4</v>
      </c>
      <c r="E1270" t="s">
        <v>20</v>
      </c>
      <c r="F1270" t="s">
        <v>18</v>
      </c>
      <c r="G1270">
        <v>17</v>
      </c>
      <c r="H1270">
        <v>7</v>
      </c>
      <c r="I1270" t="s">
        <v>28</v>
      </c>
      <c r="J1270" t="str">
        <f>_xlfn.XLOOKUP(C1270,'product_masterlist(ifs)'!A:A,'product_masterlist(ifs)'!C:C,"N/A",0)</f>
        <v>Solutions</v>
      </c>
      <c r="K1270">
        <f>VLOOKUP(C1270,'product_masterlist(ifs)'!A:I,7,FALSE)</f>
        <v>800</v>
      </c>
    </row>
    <row r="1271" spans="1:11" x14ac:dyDescent="0.35">
      <c r="A1271" t="s">
        <v>1555</v>
      </c>
      <c r="B1271" s="1">
        <v>45696</v>
      </c>
      <c r="C1271" t="s">
        <v>53</v>
      </c>
      <c r="D1271">
        <v>5</v>
      </c>
      <c r="E1271" t="s">
        <v>37</v>
      </c>
      <c r="F1271" t="s">
        <v>31</v>
      </c>
      <c r="G1271" t="s">
        <v>854</v>
      </c>
      <c r="H1271">
        <v>7</v>
      </c>
      <c r="I1271" t="s">
        <v>28</v>
      </c>
      <c r="J1271" t="str">
        <f>_xlfn.XLOOKUP(C1271,'product_masterlist(ifs)'!A:A,'product_masterlist(ifs)'!C:C,"N/A",0)</f>
        <v>Solutions</v>
      </c>
      <c r="K1271">
        <f>VLOOKUP(C1271,'product_masterlist(ifs)'!A:I,7,FALSE)</f>
        <v>800</v>
      </c>
    </row>
    <row r="1272" spans="1:11" x14ac:dyDescent="0.35">
      <c r="A1272" t="s">
        <v>1556</v>
      </c>
      <c r="B1272" t="s">
        <v>149</v>
      </c>
      <c r="C1272" t="s">
        <v>11</v>
      </c>
      <c r="D1272">
        <v>24</v>
      </c>
      <c r="E1272" t="s">
        <v>12</v>
      </c>
      <c r="F1272" t="s">
        <v>31</v>
      </c>
      <c r="G1272">
        <v>2040</v>
      </c>
      <c r="H1272">
        <v>30</v>
      </c>
      <c r="I1272" t="s">
        <v>14</v>
      </c>
      <c r="J1272" t="str">
        <f>_xlfn.XLOOKUP(C1272,'product_masterlist(ifs)'!A:A,'product_masterlist(ifs)'!C:C,"N/A",0)</f>
        <v>Surgical</v>
      </c>
      <c r="K1272">
        <f>VLOOKUP(C1272,'product_masterlist(ifs)'!A:I,7,FALSE)</f>
        <v>40</v>
      </c>
    </row>
    <row r="1273" spans="1:11" x14ac:dyDescent="0.35">
      <c r="A1273" t="s">
        <v>1557</v>
      </c>
      <c r="B1273" s="1">
        <v>45819</v>
      </c>
      <c r="C1273" t="s">
        <v>33</v>
      </c>
      <c r="D1273">
        <v>8</v>
      </c>
      <c r="E1273" t="s">
        <v>20</v>
      </c>
      <c r="F1273" t="s">
        <v>13</v>
      </c>
      <c r="G1273">
        <v>1200</v>
      </c>
      <c r="H1273">
        <v>45</v>
      </c>
      <c r="I1273" t="s">
        <v>34</v>
      </c>
      <c r="J1273" t="str">
        <f>_xlfn.XLOOKUP(C1273,'product_masterlist(ifs)'!A:A,'product_masterlist(ifs)'!C:C,"N/A",0)</f>
        <v>Surgical</v>
      </c>
      <c r="K1273">
        <f>VLOOKUP(C1273,'product_masterlist(ifs)'!A:I,7,FALSE)</f>
        <v>15</v>
      </c>
    </row>
    <row r="1274" spans="1:11" x14ac:dyDescent="0.35">
      <c r="A1274" t="s">
        <v>1558</v>
      </c>
      <c r="B1274" s="1">
        <v>45901</v>
      </c>
      <c r="C1274" t="s">
        <v>90</v>
      </c>
      <c r="D1274">
        <v>8</v>
      </c>
      <c r="E1274" t="s">
        <v>20</v>
      </c>
      <c r="F1274" t="s">
        <v>13</v>
      </c>
      <c r="G1274">
        <v>388</v>
      </c>
      <c r="H1274">
        <v>30</v>
      </c>
      <c r="I1274" t="s">
        <v>14</v>
      </c>
      <c r="J1274" t="str">
        <f>_xlfn.XLOOKUP(C1274,'product_masterlist(ifs)'!A:A,'product_masterlist(ifs)'!C:C,"N/A",0)</f>
        <v>Frames</v>
      </c>
      <c r="K1274">
        <f>VLOOKUP(C1274,'product_masterlist(ifs)'!A:I,7,FALSE)</f>
        <v>180</v>
      </c>
    </row>
    <row r="1275" spans="1:11" x14ac:dyDescent="0.35">
      <c r="A1275" t="s">
        <v>1559</v>
      </c>
      <c r="B1275" t="s">
        <v>192</v>
      </c>
      <c r="C1275" t="s">
        <v>42</v>
      </c>
      <c r="D1275">
        <v>25</v>
      </c>
      <c r="E1275" t="s">
        <v>12</v>
      </c>
      <c r="F1275" t="s">
        <v>18</v>
      </c>
      <c r="G1275">
        <v>625</v>
      </c>
      <c r="H1275">
        <v>21</v>
      </c>
      <c r="I1275" t="s">
        <v>14</v>
      </c>
      <c r="J1275" t="str">
        <f>_xlfn.XLOOKUP(C1275,'product_masterlist(ifs)'!A:A,'product_masterlist(ifs)'!C:C,"N/A",0)</f>
        <v>Contact Lenses</v>
      </c>
      <c r="K1275">
        <f>VLOOKUP(C1275,'product_masterlist(ifs)'!A:I,7,FALSE)</f>
        <v>120</v>
      </c>
    </row>
    <row r="1276" spans="1:11" x14ac:dyDescent="0.35">
      <c r="A1276" t="s">
        <v>1560</v>
      </c>
      <c r="B1276" s="1">
        <v>45722</v>
      </c>
      <c r="C1276" t="s">
        <v>33</v>
      </c>
      <c r="D1276">
        <v>15</v>
      </c>
      <c r="E1276" t="s">
        <v>22</v>
      </c>
      <c r="F1276" t="s">
        <v>18</v>
      </c>
      <c r="G1276">
        <v>2250</v>
      </c>
      <c r="H1276">
        <v>45</v>
      </c>
      <c r="I1276" t="s">
        <v>34</v>
      </c>
      <c r="J1276" t="str">
        <f>_xlfn.XLOOKUP(C1276,'product_masterlist(ifs)'!A:A,'product_masterlist(ifs)'!C:C,"N/A",0)</f>
        <v>Surgical</v>
      </c>
      <c r="K1276">
        <f>VLOOKUP(C1276,'product_masterlist(ifs)'!A:I,7,FALSE)</f>
        <v>15</v>
      </c>
    </row>
    <row r="1277" spans="1:11" x14ac:dyDescent="0.35">
      <c r="A1277" t="s">
        <v>1561</v>
      </c>
      <c r="B1277" t="s">
        <v>582</v>
      </c>
      <c r="C1277" t="s">
        <v>42</v>
      </c>
      <c r="D1277">
        <v>8</v>
      </c>
      <c r="E1277" t="s">
        <v>20</v>
      </c>
      <c r="F1277" t="s">
        <v>23</v>
      </c>
      <c r="G1277">
        <v>200</v>
      </c>
      <c r="H1277">
        <v>21</v>
      </c>
      <c r="I1277" t="s">
        <v>14</v>
      </c>
      <c r="J1277" t="str">
        <f>_xlfn.XLOOKUP(C1277,'product_masterlist(ifs)'!A:A,'product_masterlist(ifs)'!C:C,"N/A",0)</f>
        <v>Contact Lenses</v>
      </c>
      <c r="K1277">
        <f>VLOOKUP(C1277,'product_masterlist(ifs)'!A:I,7,FALSE)</f>
        <v>120</v>
      </c>
    </row>
    <row r="1278" spans="1:11" x14ac:dyDescent="0.35">
      <c r="A1278" t="s">
        <v>1562</v>
      </c>
      <c r="B1278" t="s">
        <v>350</v>
      </c>
      <c r="C1278" t="s">
        <v>11</v>
      </c>
      <c r="D1278">
        <v>6</v>
      </c>
      <c r="E1278" t="s">
        <v>37</v>
      </c>
      <c r="F1278" t="s">
        <v>18</v>
      </c>
      <c r="G1278">
        <v>510</v>
      </c>
      <c r="H1278">
        <v>30</v>
      </c>
      <c r="I1278" t="s">
        <v>14</v>
      </c>
      <c r="J1278" t="str">
        <f>_xlfn.XLOOKUP(C1278,'product_masterlist(ifs)'!A:A,'product_masterlist(ifs)'!C:C,"N/A",0)</f>
        <v>Surgical</v>
      </c>
      <c r="K1278">
        <f>VLOOKUP(C1278,'product_masterlist(ifs)'!A:I,7,FALSE)</f>
        <v>40</v>
      </c>
    </row>
    <row r="1279" spans="1:11" x14ac:dyDescent="0.35">
      <c r="A1279" t="s">
        <v>1563</v>
      </c>
      <c r="B1279" t="s">
        <v>567</v>
      </c>
      <c r="C1279" t="s">
        <v>33</v>
      </c>
      <c r="D1279">
        <v>17</v>
      </c>
      <c r="E1279" t="s">
        <v>12</v>
      </c>
      <c r="F1279" t="s">
        <v>18</v>
      </c>
      <c r="G1279">
        <v>2550</v>
      </c>
      <c r="H1279">
        <v>45</v>
      </c>
      <c r="I1279" t="s">
        <v>34</v>
      </c>
      <c r="J1279" t="str">
        <f>_xlfn.XLOOKUP(C1279,'product_masterlist(ifs)'!A:A,'product_masterlist(ifs)'!C:C,"N/A",0)</f>
        <v>Surgical</v>
      </c>
      <c r="K1279">
        <f>VLOOKUP(C1279,'product_masterlist(ifs)'!A:I,7,FALSE)</f>
        <v>15</v>
      </c>
    </row>
    <row r="1280" spans="1:11" x14ac:dyDescent="0.35">
      <c r="A1280" t="s">
        <v>1564</v>
      </c>
      <c r="B1280" t="s">
        <v>823</v>
      </c>
      <c r="C1280" t="s">
        <v>26</v>
      </c>
      <c r="D1280">
        <v>13</v>
      </c>
      <c r="E1280" t="s">
        <v>20</v>
      </c>
      <c r="F1280" t="s">
        <v>18</v>
      </c>
      <c r="G1280" t="s">
        <v>437</v>
      </c>
      <c r="H1280">
        <v>14</v>
      </c>
      <c r="I1280" t="s">
        <v>28</v>
      </c>
      <c r="J1280" t="str">
        <f>_xlfn.XLOOKUP(C1280,'product_masterlist(ifs)'!A:A,'product_masterlist(ifs)'!C:C,"N/A",0)</f>
        <v>Contact Lenses</v>
      </c>
      <c r="K1280">
        <f>VLOOKUP(C1280,'product_masterlist(ifs)'!A:I,7,FALSE)</f>
        <v>450</v>
      </c>
    </row>
    <row r="1281" spans="1:11" x14ac:dyDescent="0.35">
      <c r="A1281" t="s">
        <v>1565</v>
      </c>
      <c r="B1281" s="1">
        <v>45814</v>
      </c>
      <c r="C1281" t="s">
        <v>53</v>
      </c>
      <c r="D1281">
        <v>3</v>
      </c>
      <c r="E1281" t="s">
        <v>22</v>
      </c>
      <c r="F1281" t="s">
        <v>13</v>
      </c>
      <c r="G1281" t="s">
        <v>278</v>
      </c>
      <c r="H1281">
        <v>7</v>
      </c>
      <c r="I1281" t="s">
        <v>28</v>
      </c>
      <c r="J1281" t="str">
        <f>_xlfn.XLOOKUP(C1281,'product_masterlist(ifs)'!A:A,'product_masterlist(ifs)'!C:C,"N/A",0)</f>
        <v>Solutions</v>
      </c>
      <c r="K1281">
        <f>VLOOKUP(C1281,'product_masterlist(ifs)'!A:I,7,FALSE)</f>
        <v>800</v>
      </c>
    </row>
    <row r="1282" spans="1:11" x14ac:dyDescent="0.35">
      <c r="A1282" t="s">
        <v>1566</v>
      </c>
      <c r="B1282" s="1">
        <v>45717</v>
      </c>
      <c r="C1282" t="s">
        <v>53</v>
      </c>
      <c r="D1282">
        <v>23</v>
      </c>
      <c r="E1282" t="s">
        <v>20</v>
      </c>
      <c r="F1282" t="s">
        <v>23</v>
      </c>
      <c r="G1282" t="s">
        <v>576</v>
      </c>
      <c r="H1282">
        <v>7</v>
      </c>
      <c r="I1282" t="s">
        <v>28</v>
      </c>
      <c r="J1282" t="str">
        <f>_xlfn.XLOOKUP(C1282,'product_masterlist(ifs)'!A:A,'product_masterlist(ifs)'!C:C,"N/A",0)</f>
        <v>Solutions</v>
      </c>
      <c r="K1282">
        <f>VLOOKUP(C1282,'product_masterlist(ifs)'!A:I,7,FALSE)</f>
        <v>800</v>
      </c>
    </row>
    <row r="1283" spans="1:11" x14ac:dyDescent="0.35">
      <c r="A1283" t="s">
        <v>1567</v>
      </c>
      <c r="B1283" t="s">
        <v>417</v>
      </c>
      <c r="C1283" t="s">
        <v>26</v>
      </c>
      <c r="D1283">
        <v>12</v>
      </c>
      <c r="E1283" t="s">
        <v>12</v>
      </c>
      <c r="F1283" t="s">
        <v>18</v>
      </c>
      <c r="G1283">
        <v>150</v>
      </c>
      <c r="H1283">
        <v>14</v>
      </c>
      <c r="I1283" t="s">
        <v>28</v>
      </c>
      <c r="J1283" t="str">
        <f>_xlfn.XLOOKUP(C1283,'product_masterlist(ifs)'!A:A,'product_masterlist(ifs)'!C:C,"N/A",0)</f>
        <v>Contact Lenses</v>
      </c>
      <c r="K1283">
        <f>VLOOKUP(C1283,'product_masterlist(ifs)'!A:I,7,FALSE)</f>
        <v>450</v>
      </c>
    </row>
    <row r="1284" spans="1:11" x14ac:dyDescent="0.35">
      <c r="A1284" t="s">
        <v>1568</v>
      </c>
      <c r="B1284" t="s">
        <v>975</v>
      </c>
      <c r="C1284" t="s">
        <v>11</v>
      </c>
      <c r="D1284">
        <v>20</v>
      </c>
      <c r="E1284" t="s">
        <v>37</v>
      </c>
      <c r="F1284" t="s">
        <v>23</v>
      </c>
      <c r="G1284">
        <v>1700</v>
      </c>
      <c r="H1284">
        <v>30</v>
      </c>
      <c r="I1284" t="s">
        <v>14</v>
      </c>
      <c r="J1284" t="str">
        <f>_xlfn.XLOOKUP(C1284,'product_masterlist(ifs)'!A:A,'product_masterlist(ifs)'!C:C,"N/A",0)</f>
        <v>Surgical</v>
      </c>
      <c r="K1284">
        <f>VLOOKUP(C1284,'product_masterlist(ifs)'!A:I,7,FALSE)</f>
        <v>40</v>
      </c>
    </row>
    <row r="1285" spans="1:11" x14ac:dyDescent="0.35">
      <c r="A1285" t="s">
        <v>1569</v>
      </c>
      <c r="B1285" s="1">
        <v>45700</v>
      </c>
      <c r="C1285" t="s">
        <v>90</v>
      </c>
      <c r="D1285">
        <v>7</v>
      </c>
      <c r="E1285" t="s">
        <v>22</v>
      </c>
      <c r="F1285" t="s">
        <v>13</v>
      </c>
      <c r="G1285" t="s">
        <v>181</v>
      </c>
      <c r="H1285">
        <v>30</v>
      </c>
      <c r="I1285" t="s">
        <v>14</v>
      </c>
      <c r="J1285" t="str">
        <f>_xlfn.XLOOKUP(C1285,'product_masterlist(ifs)'!A:A,'product_masterlist(ifs)'!C:C,"N/A",0)</f>
        <v>Frames</v>
      </c>
      <c r="K1285">
        <f>VLOOKUP(C1285,'product_masterlist(ifs)'!A:I,7,FALSE)</f>
        <v>180</v>
      </c>
    </row>
    <row r="1286" spans="1:11" x14ac:dyDescent="0.35">
      <c r="A1286" t="s">
        <v>1570</v>
      </c>
      <c r="B1286" s="1">
        <v>45693</v>
      </c>
      <c r="C1286" t="s">
        <v>17</v>
      </c>
      <c r="D1286">
        <v>11</v>
      </c>
      <c r="E1286" t="s">
        <v>37</v>
      </c>
      <c r="F1286" t="s">
        <v>31</v>
      </c>
      <c r="G1286">
        <v>495</v>
      </c>
      <c r="H1286">
        <v>30</v>
      </c>
      <c r="I1286" t="s">
        <v>14</v>
      </c>
      <c r="J1286" t="str">
        <f>_xlfn.XLOOKUP(C1286,'product_masterlist(ifs)'!A:A,'product_masterlist(ifs)'!C:C,"N/A",0)</f>
        <v>Frames</v>
      </c>
      <c r="K1286">
        <f>VLOOKUP(C1286,'product_masterlist(ifs)'!A:I,7,FALSE)</f>
        <v>45</v>
      </c>
    </row>
    <row r="1287" spans="1:11" x14ac:dyDescent="0.35">
      <c r="A1287" t="s">
        <v>1571</v>
      </c>
      <c r="B1287" s="1">
        <v>45699</v>
      </c>
      <c r="C1287" t="s">
        <v>42</v>
      </c>
      <c r="D1287">
        <v>22</v>
      </c>
      <c r="E1287" t="s">
        <v>20</v>
      </c>
      <c r="F1287" t="s">
        <v>31</v>
      </c>
      <c r="G1287">
        <v>550</v>
      </c>
      <c r="H1287">
        <v>21</v>
      </c>
      <c r="I1287" t="s">
        <v>14</v>
      </c>
      <c r="J1287" t="str">
        <f>_xlfn.XLOOKUP(C1287,'product_masterlist(ifs)'!A:A,'product_masterlist(ifs)'!C:C,"N/A",0)</f>
        <v>Contact Lenses</v>
      </c>
      <c r="K1287">
        <f>VLOOKUP(C1287,'product_masterlist(ifs)'!A:I,7,FALSE)</f>
        <v>120</v>
      </c>
    </row>
    <row r="1288" spans="1:11" x14ac:dyDescent="0.35">
      <c r="A1288" t="s">
        <v>1572</v>
      </c>
      <c r="B1288" t="s">
        <v>36</v>
      </c>
      <c r="C1288" t="s">
        <v>53</v>
      </c>
      <c r="D1288">
        <v>10</v>
      </c>
      <c r="E1288" t="s">
        <v>37</v>
      </c>
      <c r="F1288" t="s">
        <v>23</v>
      </c>
      <c r="G1288" t="s">
        <v>95</v>
      </c>
      <c r="H1288">
        <v>7</v>
      </c>
      <c r="I1288" t="s">
        <v>28</v>
      </c>
      <c r="J1288" t="str">
        <f>_xlfn.XLOOKUP(C1288,'product_masterlist(ifs)'!A:A,'product_masterlist(ifs)'!C:C,"N/A",0)</f>
        <v>Solutions</v>
      </c>
      <c r="K1288">
        <f>VLOOKUP(C1288,'product_masterlist(ifs)'!A:I,7,FALSE)</f>
        <v>800</v>
      </c>
    </row>
    <row r="1289" spans="1:11" x14ac:dyDescent="0.35">
      <c r="A1289" t="s">
        <v>1573</v>
      </c>
      <c r="B1289" t="s">
        <v>503</v>
      </c>
      <c r="C1289" t="s">
        <v>33</v>
      </c>
      <c r="D1289">
        <v>20</v>
      </c>
      <c r="E1289" t="s">
        <v>22</v>
      </c>
      <c r="F1289" t="s">
        <v>13</v>
      </c>
      <c r="G1289">
        <v>3000</v>
      </c>
      <c r="H1289">
        <v>45</v>
      </c>
      <c r="I1289" t="s">
        <v>34</v>
      </c>
      <c r="J1289" t="str">
        <f>_xlfn.XLOOKUP(C1289,'product_masterlist(ifs)'!A:A,'product_masterlist(ifs)'!C:C,"N/A",0)</f>
        <v>Surgical</v>
      </c>
      <c r="K1289">
        <f>VLOOKUP(C1289,'product_masterlist(ifs)'!A:I,7,FALSE)</f>
        <v>15</v>
      </c>
    </row>
    <row r="1290" spans="1:11" x14ac:dyDescent="0.35">
      <c r="A1290" t="s">
        <v>1574</v>
      </c>
      <c r="B1290" t="s">
        <v>901</v>
      </c>
      <c r="C1290" t="s">
        <v>33</v>
      </c>
      <c r="D1290">
        <v>6</v>
      </c>
      <c r="E1290" t="s">
        <v>12</v>
      </c>
      <c r="F1290" t="s">
        <v>23</v>
      </c>
      <c r="G1290">
        <v>900</v>
      </c>
      <c r="H1290">
        <v>45</v>
      </c>
      <c r="I1290" t="s">
        <v>34</v>
      </c>
      <c r="J1290" t="str">
        <f>_xlfn.XLOOKUP(C1290,'product_masterlist(ifs)'!A:A,'product_masterlist(ifs)'!C:C,"N/A",0)</f>
        <v>Surgical</v>
      </c>
      <c r="K1290">
        <f>VLOOKUP(C1290,'product_masterlist(ifs)'!A:I,7,FALSE)</f>
        <v>15</v>
      </c>
    </row>
    <row r="1291" spans="1:11" x14ac:dyDescent="0.35">
      <c r="A1291" t="s">
        <v>1575</v>
      </c>
      <c r="B1291" t="s">
        <v>489</v>
      </c>
      <c r="C1291" t="s">
        <v>17</v>
      </c>
      <c r="D1291">
        <v>3</v>
      </c>
      <c r="E1291" t="s">
        <v>37</v>
      </c>
      <c r="F1291" t="s">
        <v>31</v>
      </c>
      <c r="G1291">
        <v>135</v>
      </c>
      <c r="H1291">
        <v>30</v>
      </c>
      <c r="I1291" t="s">
        <v>14</v>
      </c>
      <c r="J1291" t="str">
        <f>_xlfn.XLOOKUP(C1291,'product_masterlist(ifs)'!A:A,'product_masterlist(ifs)'!C:C,"N/A",0)</f>
        <v>Frames</v>
      </c>
      <c r="K1291">
        <f>VLOOKUP(C1291,'product_masterlist(ifs)'!A:I,7,FALSE)</f>
        <v>45</v>
      </c>
    </row>
    <row r="1292" spans="1:11" x14ac:dyDescent="0.35">
      <c r="A1292" t="s">
        <v>1576</v>
      </c>
      <c r="B1292" t="s">
        <v>159</v>
      </c>
      <c r="C1292" t="s">
        <v>90</v>
      </c>
      <c r="D1292">
        <v>21</v>
      </c>
      <c r="E1292" t="s">
        <v>12</v>
      </c>
      <c r="F1292" t="s">
        <v>13</v>
      </c>
      <c r="G1292" t="s">
        <v>120</v>
      </c>
      <c r="H1292">
        <v>30</v>
      </c>
      <c r="I1292" t="s">
        <v>14</v>
      </c>
      <c r="J1292" t="str">
        <f>_xlfn.XLOOKUP(C1292,'product_masterlist(ifs)'!A:A,'product_masterlist(ifs)'!C:C,"N/A",0)</f>
        <v>Frames</v>
      </c>
      <c r="K1292">
        <f>VLOOKUP(C1292,'product_masterlist(ifs)'!A:I,7,FALSE)</f>
        <v>180</v>
      </c>
    </row>
    <row r="1293" spans="1:11" x14ac:dyDescent="0.35">
      <c r="A1293" t="s">
        <v>1577</v>
      </c>
      <c r="B1293" t="s">
        <v>1578</v>
      </c>
      <c r="C1293" t="s">
        <v>42</v>
      </c>
      <c r="D1293">
        <v>4</v>
      </c>
      <c r="E1293" t="s">
        <v>22</v>
      </c>
      <c r="F1293" t="s">
        <v>13</v>
      </c>
      <c r="G1293">
        <v>100</v>
      </c>
      <c r="H1293">
        <v>21</v>
      </c>
      <c r="I1293" t="s">
        <v>14</v>
      </c>
      <c r="J1293" t="str">
        <f>_xlfn.XLOOKUP(C1293,'product_masterlist(ifs)'!A:A,'product_masterlist(ifs)'!C:C,"N/A",0)</f>
        <v>Contact Lenses</v>
      </c>
      <c r="K1293">
        <f>VLOOKUP(C1293,'product_masterlist(ifs)'!A:I,7,FALSE)</f>
        <v>120</v>
      </c>
    </row>
    <row r="1294" spans="1:11" x14ac:dyDescent="0.35">
      <c r="A1294" t="s">
        <v>1579</v>
      </c>
      <c r="B1294" t="s">
        <v>192</v>
      </c>
      <c r="C1294" t="s">
        <v>90</v>
      </c>
      <c r="D1294">
        <v>18</v>
      </c>
      <c r="E1294" t="s">
        <v>22</v>
      </c>
      <c r="F1294" t="s">
        <v>18</v>
      </c>
      <c r="G1294">
        <v>873</v>
      </c>
      <c r="H1294">
        <v>30</v>
      </c>
      <c r="I1294" t="s">
        <v>14</v>
      </c>
      <c r="J1294" t="str">
        <f>_xlfn.XLOOKUP(C1294,'product_masterlist(ifs)'!A:A,'product_masterlist(ifs)'!C:C,"N/A",0)</f>
        <v>Frames</v>
      </c>
      <c r="K1294">
        <f>VLOOKUP(C1294,'product_masterlist(ifs)'!A:I,7,FALSE)</f>
        <v>180</v>
      </c>
    </row>
    <row r="1295" spans="1:11" x14ac:dyDescent="0.35">
      <c r="A1295" t="s">
        <v>1580</v>
      </c>
      <c r="B1295" t="s">
        <v>39</v>
      </c>
      <c r="C1295" t="s">
        <v>26</v>
      </c>
      <c r="D1295">
        <v>10</v>
      </c>
      <c r="E1295" t="s">
        <v>12</v>
      </c>
      <c r="F1295" t="s">
        <v>31</v>
      </c>
      <c r="G1295">
        <v>125</v>
      </c>
      <c r="H1295">
        <v>14</v>
      </c>
      <c r="I1295" t="s">
        <v>28</v>
      </c>
      <c r="J1295" t="str">
        <f>_xlfn.XLOOKUP(C1295,'product_masterlist(ifs)'!A:A,'product_masterlist(ifs)'!C:C,"N/A",0)</f>
        <v>Contact Lenses</v>
      </c>
      <c r="K1295">
        <f>VLOOKUP(C1295,'product_masterlist(ifs)'!A:I,7,FALSE)</f>
        <v>450</v>
      </c>
    </row>
    <row r="1296" spans="1:11" x14ac:dyDescent="0.35">
      <c r="A1296" t="s">
        <v>1581</v>
      </c>
      <c r="B1296" t="s">
        <v>553</v>
      </c>
      <c r="C1296" t="s">
        <v>26</v>
      </c>
      <c r="D1296">
        <v>18</v>
      </c>
      <c r="E1296" t="s">
        <v>37</v>
      </c>
      <c r="F1296" t="s">
        <v>31</v>
      </c>
      <c r="G1296">
        <v>225</v>
      </c>
      <c r="H1296">
        <v>14</v>
      </c>
      <c r="I1296" t="s">
        <v>28</v>
      </c>
      <c r="J1296" t="str">
        <f>_xlfn.XLOOKUP(C1296,'product_masterlist(ifs)'!A:A,'product_masterlist(ifs)'!C:C,"N/A",0)</f>
        <v>Contact Lenses</v>
      </c>
      <c r="K1296">
        <f>VLOOKUP(C1296,'product_masterlist(ifs)'!A:I,7,FALSE)</f>
        <v>450</v>
      </c>
    </row>
    <row r="1297" spans="1:11" x14ac:dyDescent="0.35">
      <c r="A1297" t="s">
        <v>1582</v>
      </c>
      <c r="B1297" t="s">
        <v>1016</v>
      </c>
      <c r="C1297" t="s">
        <v>33</v>
      </c>
      <c r="D1297">
        <v>17</v>
      </c>
      <c r="E1297" t="s">
        <v>22</v>
      </c>
      <c r="F1297" t="s">
        <v>31</v>
      </c>
      <c r="G1297">
        <v>2550</v>
      </c>
      <c r="H1297">
        <v>45</v>
      </c>
      <c r="I1297" t="s">
        <v>34</v>
      </c>
      <c r="J1297" t="str">
        <f>_xlfn.XLOOKUP(C1297,'product_masterlist(ifs)'!A:A,'product_masterlist(ifs)'!C:C,"N/A",0)</f>
        <v>Surgical</v>
      </c>
      <c r="K1297">
        <f>VLOOKUP(C1297,'product_masterlist(ifs)'!A:I,7,FALSE)</f>
        <v>15</v>
      </c>
    </row>
    <row r="1298" spans="1:11" x14ac:dyDescent="0.35">
      <c r="A1298" t="s">
        <v>1583</v>
      </c>
      <c r="B1298" t="s">
        <v>227</v>
      </c>
      <c r="C1298" t="s">
        <v>42</v>
      </c>
      <c r="D1298">
        <v>3</v>
      </c>
      <c r="E1298" t="s">
        <v>37</v>
      </c>
      <c r="F1298" t="s">
        <v>23</v>
      </c>
      <c r="G1298">
        <v>75</v>
      </c>
      <c r="H1298">
        <v>21</v>
      </c>
      <c r="I1298" t="s">
        <v>14</v>
      </c>
      <c r="J1298" t="str">
        <f>_xlfn.XLOOKUP(C1298,'product_masterlist(ifs)'!A:A,'product_masterlist(ifs)'!C:C,"N/A",0)</f>
        <v>Contact Lenses</v>
      </c>
      <c r="K1298">
        <f>VLOOKUP(C1298,'product_masterlist(ifs)'!A:I,7,FALSE)</f>
        <v>120</v>
      </c>
    </row>
    <row r="1299" spans="1:11" x14ac:dyDescent="0.35">
      <c r="A1299" t="s">
        <v>1584</v>
      </c>
      <c r="B1299" t="s">
        <v>80</v>
      </c>
      <c r="C1299" t="s">
        <v>42</v>
      </c>
      <c r="D1299">
        <v>18</v>
      </c>
      <c r="E1299" t="s">
        <v>20</v>
      </c>
      <c r="F1299" t="s">
        <v>31</v>
      </c>
      <c r="G1299">
        <v>450</v>
      </c>
      <c r="H1299">
        <v>21</v>
      </c>
      <c r="I1299" t="s">
        <v>14</v>
      </c>
      <c r="J1299" t="str">
        <f>_xlfn.XLOOKUP(C1299,'product_masterlist(ifs)'!A:A,'product_masterlist(ifs)'!C:C,"N/A",0)</f>
        <v>Contact Lenses</v>
      </c>
      <c r="K1299">
        <f>VLOOKUP(C1299,'product_masterlist(ifs)'!A:I,7,FALSE)</f>
        <v>120</v>
      </c>
    </row>
    <row r="1300" spans="1:11" x14ac:dyDescent="0.35">
      <c r="A1300" t="s">
        <v>1585</v>
      </c>
      <c r="B1300" t="s">
        <v>67</v>
      </c>
      <c r="C1300" t="s">
        <v>53</v>
      </c>
      <c r="D1300">
        <v>19</v>
      </c>
      <c r="E1300" t="s">
        <v>22</v>
      </c>
      <c r="F1300" t="s">
        <v>23</v>
      </c>
      <c r="G1300" t="s">
        <v>54</v>
      </c>
      <c r="H1300">
        <v>7</v>
      </c>
      <c r="I1300" t="s">
        <v>28</v>
      </c>
      <c r="J1300" t="str">
        <f>_xlfn.XLOOKUP(C1300,'product_masterlist(ifs)'!A:A,'product_masterlist(ifs)'!C:C,"N/A",0)</f>
        <v>Solutions</v>
      </c>
      <c r="K1300">
        <f>VLOOKUP(C1300,'product_masterlist(ifs)'!A:I,7,FALSE)</f>
        <v>800</v>
      </c>
    </row>
    <row r="1301" spans="1:11" x14ac:dyDescent="0.35">
      <c r="A1301" t="s">
        <v>1586</v>
      </c>
      <c r="B1301" t="s">
        <v>168</v>
      </c>
      <c r="C1301" t="s">
        <v>11</v>
      </c>
      <c r="D1301">
        <v>11</v>
      </c>
      <c r="E1301" t="s">
        <v>22</v>
      </c>
      <c r="F1301" t="s">
        <v>18</v>
      </c>
      <c r="G1301">
        <v>935</v>
      </c>
      <c r="H1301">
        <v>30</v>
      </c>
      <c r="I1301" t="s">
        <v>14</v>
      </c>
      <c r="J1301" t="str">
        <f>_xlfn.XLOOKUP(C1301,'product_masterlist(ifs)'!A:A,'product_masterlist(ifs)'!C:C,"N/A",0)</f>
        <v>Surgical</v>
      </c>
      <c r="K1301">
        <f>VLOOKUP(C1301,'product_masterlist(ifs)'!A:I,7,FALSE)</f>
        <v>40</v>
      </c>
    </row>
    <row r="1302" spans="1:11" x14ac:dyDescent="0.35">
      <c r="A1302" t="s">
        <v>1587</v>
      </c>
      <c r="B1302" s="1">
        <v>45848</v>
      </c>
      <c r="C1302" t="s">
        <v>17</v>
      </c>
      <c r="D1302">
        <v>18</v>
      </c>
      <c r="E1302" t="s">
        <v>20</v>
      </c>
      <c r="F1302" t="s">
        <v>13</v>
      </c>
      <c r="G1302">
        <v>810</v>
      </c>
      <c r="H1302">
        <v>30</v>
      </c>
      <c r="I1302" t="s">
        <v>14</v>
      </c>
      <c r="J1302" t="str">
        <f>_xlfn.XLOOKUP(C1302,'product_masterlist(ifs)'!A:A,'product_masterlist(ifs)'!C:C,"N/A",0)</f>
        <v>Frames</v>
      </c>
      <c r="K1302">
        <f>VLOOKUP(C1302,'product_masterlist(ifs)'!A:I,7,FALSE)</f>
        <v>45</v>
      </c>
    </row>
    <row r="1303" spans="1:11" x14ac:dyDescent="0.35">
      <c r="A1303" t="s">
        <v>1588</v>
      </c>
      <c r="B1303" s="1">
        <v>45910</v>
      </c>
      <c r="C1303" t="s">
        <v>33</v>
      </c>
      <c r="D1303">
        <v>11</v>
      </c>
      <c r="E1303" t="s">
        <v>20</v>
      </c>
      <c r="F1303" t="s">
        <v>18</v>
      </c>
      <c r="G1303">
        <v>1650</v>
      </c>
      <c r="H1303">
        <v>45</v>
      </c>
      <c r="I1303" t="s">
        <v>34</v>
      </c>
      <c r="J1303" t="str">
        <f>_xlfn.XLOOKUP(C1303,'product_masterlist(ifs)'!A:A,'product_masterlist(ifs)'!C:C,"N/A",0)</f>
        <v>Surgical</v>
      </c>
      <c r="K1303">
        <f>VLOOKUP(C1303,'product_masterlist(ifs)'!A:I,7,FALSE)</f>
        <v>15</v>
      </c>
    </row>
    <row r="1304" spans="1:11" x14ac:dyDescent="0.35">
      <c r="A1304" t="s">
        <v>1589</v>
      </c>
      <c r="B1304" t="s">
        <v>52</v>
      </c>
      <c r="C1304" t="s">
        <v>33</v>
      </c>
      <c r="D1304">
        <v>13</v>
      </c>
      <c r="E1304" t="s">
        <v>37</v>
      </c>
      <c r="F1304" t="s">
        <v>31</v>
      </c>
      <c r="G1304">
        <v>1950</v>
      </c>
      <c r="H1304">
        <v>45</v>
      </c>
      <c r="I1304" t="s">
        <v>34</v>
      </c>
      <c r="J1304" t="str">
        <f>_xlfn.XLOOKUP(C1304,'product_masterlist(ifs)'!A:A,'product_masterlist(ifs)'!C:C,"N/A",0)</f>
        <v>Surgical</v>
      </c>
      <c r="K1304">
        <f>VLOOKUP(C1304,'product_masterlist(ifs)'!A:I,7,FALSE)</f>
        <v>15</v>
      </c>
    </row>
    <row r="1305" spans="1:11" x14ac:dyDescent="0.35">
      <c r="A1305" t="s">
        <v>1590</v>
      </c>
      <c r="B1305" s="1">
        <v>45809</v>
      </c>
      <c r="C1305" t="s">
        <v>11</v>
      </c>
      <c r="D1305">
        <v>14</v>
      </c>
      <c r="E1305" t="s">
        <v>22</v>
      </c>
      <c r="F1305" t="s">
        <v>13</v>
      </c>
      <c r="G1305">
        <v>1190</v>
      </c>
      <c r="H1305">
        <v>30</v>
      </c>
      <c r="I1305" t="s">
        <v>14</v>
      </c>
      <c r="J1305" t="str">
        <f>_xlfn.XLOOKUP(C1305,'product_masterlist(ifs)'!A:A,'product_masterlist(ifs)'!C:C,"N/A",0)</f>
        <v>Surgical</v>
      </c>
      <c r="K1305">
        <f>VLOOKUP(C1305,'product_masterlist(ifs)'!A:I,7,FALSE)</f>
        <v>40</v>
      </c>
    </row>
    <row r="1306" spans="1:11" x14ac:dyDescent="0.35">
      <c r="A1306" t="s">
        <v>1591</v>
      </c>
      <c r="B1306" s="1">
        <v>45932</v>
      </c>
      <c r="C1306" t="s">
        <v>42</v>
      </c>
      <c r="D1306">
        <v>18</v>
      </c>
      <c r="E1306" t="s">
        <v>12</v>
      </c>
      <c r="F1306" t="s">
        <v>18</v>
      </c>
      <c r="G1306">
        <v>450</v>
      </c>
      <c r="H1306">
        <v>21</v>
      </c>
      <c r="I1306" t="s">
        <v>14</v>
      </c>
      <c r="J1306" t="str">
        <f>_xlfn.XLOOKUP(C1306,'product_masterlist(ifs)'!A:A,'product_masterlist(ifs)'!C:C,"N/A",0)</f>
        <v>Contact Lenses</v>
      </c>
      <c r="K1306">
        <f>VLOOKUP(C1306,'product_masterlist(ifs)'!A:I,7,FALSE)</f>
        <v>120</v>
      </c>
    </row>
    <row r="1307" spans="1:11" x14ac:dyDescent="0.35">
      <c r="A1307" t="s">
        <v>1592</v>
      </c>
      <c r="B1307" s="1">
        <v>45964</v>
      </c>
      <c r="C1307" t="s">
        <v>33</v>
      </c>
      <c r="D1307">
        <v>23</v>
      </c>
      <c r="E1307" t="s">
        <v>20</v>
      </c>
      <c r="F1307" t="s">
        <v>31</v>
      </c>
      <c r="G1307">
        <v>3450</v>
      </c>
      <c r="H1307">
        <v>45</v>
      </c>
      <c r="I1307" t="s">
        <v>34</v>
      </c>
      <c r="J1307" t="str">
        <f>_xlfn.XLOOKUP(C1307,'product_masterlist(ifs)'!A:A,'product_masterlist(ifs)'!C:C,"N/A",0)</f>
        <v>Surgical</v>
      </c>
      <c r="K1307">
        <f>VLOOKUP(C1307,'product_masterlist(ifs)'!A:I,7,FALSE)</f>
        <v>15</v>
      </c>
    </row>
    <row r="1308" spans="1:11" x14ac:dyDescent="0.35">
      <c r="A1308" t="s">
        <v>1593</v>
      </c>
      <c r="B1308" t="s">
        <v>119</v>
      </c>
      <c r="C1308" t="s">
        <v>42</v>
      </c>
      <c r="D1308">
        <v>7</v>
      </c>
      <c r="E1308" t="s">
        <v>22</v>
      </c>
      <c r="F1308" t="s">
        <v>23</v>
      </c>
      <c r="G1308">
        <v>175</v>
      </c>
      <c r="H1308">
        <v>21</v>
      </c>
      <c r="I1308" t="s">
        <v>14</v>
      </c>
      <c r="J1308" t="str">
        <f>_xlfn.XLOOKUP(C1308,'product_masterlist(ifs)'!A:A,'product_masterlist(ifs)'!C:C,"N/A",0)</f>
        <v>Contact Lenses</v>
      </c>
      <c r="K1308">
        <f>VLOOKUP(C1308,'product_masterlist(ifs)'!A:I,7,FALSE)</f>
        <v>120</v>
      </c>
    </row>
    <row r="1309" spans="1:11" x14ac:dyDescent="0.35">
      <c r="A1309" t="s">
        <v>1594</v>
      </c>
      <c r="B1309" s="1">
        <v>46000</v>
      </c>
      <c r="C1309" t="s">
        <v>42</v>
      </c>
      <c r="D1309">
        <v>24</v>
      </c>
      <c r="E1309" t="s">
        <v>22</v>
      </c>
      <c r="F1309" t="s">
        <v>13</v>
      </c>
      <c r="G1309">
        <v>600</v>
      </c>
      <c r="H1309">
        <v>21</v>
      </c>
      <c r="I1309" t="s">
        <v>14</v>
      </c>
      <c r="J1309" t="str">
        <f>_xlfn.XLOOKUP(C1309,'product_masterlist(ifs)'!A:A,'product_masterlist(ifs)'!C:C,"N/A",0)</f>
        <v>Contact Lenses</v>
      </c>
      <c r="K1309">
        <f>VLOOKUP(C1309,'product_masterlist(ifs)'!A:I,7,FALSE)</f>
        <v>120</v>
      </c>
    </row>
    <row r="1310" spans="1:11" x14ac:dyDescent="0.35">
      <c r="A1310" t="s">
        <v>1595</v>
      </c>
      <c r="B1310" t="s">
        <v>625</v>
      </c>
      <c r="C1310" t="s">
        <v>17</v>
      </c>
      <c r="D1310">
        <v>1</v>
      </c>
      <c r="E1310" t="s">
        <v>37</v>
      </c>
      <c r="F1310" t="s">
        <v>13</v>
      </c>
      <c r="G1310">
        <v>45</v>
      </c>
      <c r="H1310">
        <v>30</v>
      </c>
      <c r="I1310" t="s">
        <v>14</v>
      </c>
      <c r="J1310" t="str">
        <f>_xlfn.XLOOKUP(C1310,'product_masterlist(ifs)'!A:A,'product_masterlist(ifs)'!C:C,"N/A",0)</f>
        <v>Frames</v>
      </c>
      <c r="K1310">
        <f>VLOOKUP(C1310,'product_masterlist(ifs)'!A:I,7,FALSE)</f>
        <v>45</v>
      </c>
    </row>
    <row r="1311" spans="1:11" x14ac:dyDescent="0.35">
      <c r="A1311" t="s">
        <v>1596</v>
      </c>
      <c r="B1311" s="1">
        <v>45875</v>
      </c>
      <c r="C1311" t="s">
        <v>33</v>
      </c>
      <c r="D1311">
        <v>14</v>
      </c>
      <c r="E1311" t="s">
        <v>22</v>
      </c>
      <c r="F1311" t="s">
        <v>18</v>
      </c>
      <c r="G1311">
        <v>2100</v>
      </c>
      <c r="H1311">
        <v>45</v>
      </c>
      <c r="I1311" t="s">
        <v>34</v>
      </c>
      <c r="J1311" t="str">
        <f>_xlfn.XLOOKUP(C1311,'product_masterlist(ifs)'!A:A,'product_masterlist(ifs)'!C:C,"N/A",0)</f>
        <v>Surgical</v>
      </c>
      <c r="K1311">
        <f>VLOOKUP(C1311,'product_masterlist(ifs)'!A:I,7,FALSE)</f>
        <v>15</v>
      </c>
    </row>
    <row r="1312" spans="1:11" x14ac:dyDescent="0.35">
      <c r="A1312" t="s">
        <v>1597</v>
      </c>
      <c r="B1312" s="1">
        <v>45904</v>
      </c>
      <c r="C1312" t="s">
        <v>17</v>
      </c>
      <c r="D1312">
        <v>15</v>
      </c>
      <c r="E1312" t="s">
        <v>22</v>
      </c>
      <c r="F1312" t="s">
        <v>31</v>
      </c>
      <c r="G1312">
        <v>675</v>
      </c>
      <c r="H1312">
        <v>30</v>
      </c>
      <c r="I1312" t="s">
        <v>14</v>
      </c>
      <c r="J1312" t="str">
        <f>_xlfn.XLOOKUP(C1312,'product_masterlist(ifs)'!A:A,'product_masterlist(ifs)'!C:C,"N/A",0)</f>
        <v>Frames</v>
      </c>
      <c r="K1312">
        <f>VLOOKUP(C1312,'product_masterlist(ifs)'!A:I,7,FALSE)</f>
        <v>45</v>
      </c>
    </row>
    <row r="1313" spans="1:11" x14ac:dyDescent="0.35">
      <c r="A1313" t="s">
        <v>1598</v>
      </c>
      <c r="B1313" t="s">
        <v>838</v>
      </c>
      <c r="C1313" t="s">
        <v>11</v>
      </c>
      <c r="D1313">
        <v>9</v>
      </c>
      <c r="E1313" t="s">
        <v>37</v>
      </c>
      <c r="F1313" t="s">
        <v>13</v>
      </c>
      <c r="G1313">
        <v>765</v>
      </c>
      <c r="H1313">
        <v>30</v>
      </c>
      <c r="I1313" t="s">
        <v>14</v>
      </c>
      <c r="J1313" t="str">
        <f>_xlfn.XLOOKUP(C1313,'product_masterlist(ifs)'!A:A,'product_masterlist(ifs)'!C:C,"N/A",0)</f>
        <v>Surgical</v>
      </c>
      <c r="K1313">
        <f>VLOOKUP(C1313,'product_masterlist(ifs)'!A:I,7,FALSE)</f>
        <v>40</v>
      </c>
    </row>
    <row r="1314" spans="1:11" x14ac:dyDescent="0.35">
      <c r="A1314" t="s">
        <v>1599</v>
      </c>
      <c r="B1314" t="s">
        <v>588</v>
      </c>
      <c r="C1314" t="s">
        <v>90</v>
      </c>
      <c r="D1314">
        <v>11</v>
      </c>
      <c r="E1314" t="s">
        <v>37</v>
      </c>
      <c r="F1314" t="s">
        <v>13</v>
      </c>
      <c r="G1314" t="s">
        <v>238</v>
      </c>
      <c r="H1314">
        <v>30</v>
      </c>
      <c r="I1314" t="s">
        <v>14</v>
      </c>
      <c r="J1314" t="str">
        <f>_xlfn.XLOOKUP(C1314,'product_masterlist(ifs)'!A:A,'product_masterlist(ifs)'!C:C,"N/A",0)</f>
        <v>Frames</v>
      </c>
      <c r="K1314">
        <f>VLOOKUP(C1314,'product_masterlist(ifs)'!A:I,7,FALSE)</f>
        <v>180</v>
      </c>
    </row>
    <row r="1315" spans="1:11" x14ac:dyDescent="0.35">
      <c r="A1315" t="s">
        <v>1600</v>
      </c>
      <c r="B1315" t="s">
        <v>67</v>
      </c>
      <c r="C1315" t="s">
        <v>42</v>
      </c>
      <c r="D1315">
        <v>3</v>
      </c>
      <c r="E1315" t="s">
        <v>22</v>
      </c>
      <c r="F1315" t="s">
        <v>31</v>
      </c>
      <c r="G1315">
        <v>75</v>
      </c>
      <c r="H1315">
        <v>21</v>
      </c>
      <c r="I1315" t="s">
        <v>14</v>
      </c>
      <c r="J1315" t="str">
        <f>_xlfn.XLOOKUP(C1315,'product_masterlist(ifs)'!A:A,'product_masterlist(ifs)'!C:C,"N/A",0)</f>
        <v>Contact Lenses</v>
      </c>
      <c r="K1315">
        <f>VLOOKUP(C1315,'product_masterlist(ifs)'!A:I,7,FALSE)</f>
        <v>120</v>
      </c>
    </row>
    <row r="1316" spans="1:11" x14ac:dyDescent="0.35">
      <c r="A1316" t="s">
        <v>1601</v>
      </c>
      <c r="B1316" t="s">
        <v>168</v>
      </c>
      <c r="C1316" t="s">
        <v>33</v>
      </c>
      <c r="D1316">
        <v>9</v>
      </c>
      <c r="E1316" t="s">
        <v>37</v>
      </c>
      <c r="F1316" t="s">
        <v>23</v>
      </c>
      <c r="G1316">
        <v>1350</v>
      </c>
      <c r="H1316">
        <v>45</v>
      </c>
      <c r="I1316" t="s">
        <v>34</v>
      </c>
      <c r="J1316" t="str">
        <f>_xlfn.XLOOKUP(C1316,'product_masterlist(ifs)'!A:A,'product_masterlist(ifs)'!C:C,"N/A",0)</f>
        <v>Surgical</v>
      </c>
      <c r="K1316">
        <f>VLOOKUP(C1316,'product_masterlist(ifs)'!A:I,7,FALSE)</f>
        <v>15</v>
      </c>
    </row>
    <row r="1317" spans="1:11" x14ac:dyDescent="0.35">
      <c r="A1317" t="s">
        <v>1602</v>
      </c>
      <c r="B1317" s="1">
        <v>45786</v>
      </c>
      <c r="C1317" t="s">
        <v>26</v>
      </c>
      <c r="D1317">
        <v>22</v>
      </c>
      <c r="E1317" t="s">
        <v>22</v>
      </c>
      <c r="F1317" t="s">
        <v>31</v>
      </c>
      <c r="G1317">
        <v>275</v>
      </c>
      <c r="H1317">
        <v>14</v>
      </c>
      <c r="I1317" t="s">
        <v>28</v>
      </c>
      <c r="J1317" t="str">
        <f>_xlfn.XLOOKUP(C1317,'product_masterlist(ifs)'!A:A,'product_masterlist(ifs)'!C:C,"N/A",0)</f>
        <v>Contact Lenses</v>
      </c>
      <c r="K1317">
        <f>VLOOKUP(C1317,'product_masterlist(ifs)'!A:I,7,FALSE)</f>
        <v>450</v>
      </c>
    </row>
    <row r="1318" spans="1:11" x14ac:dyDescent="0.35">
      <c r="A1318" t="s">
        <v>1603</v>
      </c>
      <c r="B1318" s="1">
        <v>45874</v>
      </c>
      <c r="C1318" t="s">
        <v>26</v>
      </c>
      <c r="D1318">
        <v>21</v>
      </c>
      <c r="E1318" t="s">
        <v>12</v>
      </c>
      <c r="F1318" t="s">
        <v>31</v>
      </c>
      <c r="G1318" t="s">
        <v>366</v>
      </c>
      <c r="H1318">
        <v>14</v>
      </c>
      <c r="I1318" t="s">
        <v>28</v>
      </c>
      <c r="J1318" t="str">
        <f>_xlfn.XLOOKUP(C1318,'product_masterlist(ifs)'!A:A,'product_masterlist(ifs)'!C:C,"N/A",0)</f>
        <v>Contact Lenses</v>
      </c>
      <c r="K1318">
        <f>VLOOKUP(C1318,'product_masterlist(ifs)'!A:I,7,FALSE)</f>
        <v>450</v>
      </c>
    </row>
    <row r="1319" spans="1:11" x14ac:dyDescent="0.35">
      <c r="A1319" t="s">
        <v>1604</v>
      </c>
      <c r="B1319" s="1">
        <v>45665</v>
      </c>
      <c r="C1319" t="s">
        <v>33</v>
      </c>
      <c r="D1319">
        <v>20</v>
      </c>
      <c r="E1319" t="s">
        <v>12</v>
      </c>
      <c r="F1319" t="s">
        <v>31</v>
      </c>
      <c r="G1319">
        <v>3000</v>
      </c>
      <c r="H1319">
        <v>45</v>
      </c>
      <c r="I1319" t="s">
        <v>34</v>
      </c>
      <c r="J1319" t="str">
        <f>_xlfn.XLOOKUP(C1319,'product_masterlist(ifs)'!A:A,'product_masterlist(ifs)'!C:C,"N/A",0)</f>
        <v>Surgical</v>
      </c>
      <c r="K1319">
        <f>VLOOKUP(C1319,'product_masterlist(ifs)'!A:I,7,FALSE)</f>
        <v>15</v>
      </c>
    </row>
    <row r="1320" spans="1:11" x14ac:dyDescent="0.35">
      <c r="A1320" t="s">
        <v>1605</v>
      </c>
      <c r="B1320" s="1">
        <v>45779</v>
      </c>
      <c r="C1320" t="s">
        <v>17</v>
      </c>
      <c r="D1320">
        <v>22</v>
      </c>
      <c r="E1320" t="s">
        <v>20</v>
      </c>
      <c r="F1320" t="s">
        <v>18</v>
      </c>
      <c r="G1320">
        <v>990</v>
      </c>
      <c r="H1320">
        <v>30</v>
      </c>
      <c r="I1320" t="s">
        <v>14</v>
      </c>
      <c r="J1320" t="str">
        <f>_xlfn.XLOOKUP(C1320,'product_masterlist(ifs)'!A:A,'product_masterlist(ifs)'!C:C,"N/A",0)</f>
        <v>Frames</v>
      </c>
      <c r="K1320">
        <f>VLOOKUP(C1320,'product_masterlist(ifs)'!A:I,7,FALSE)</f>
        <v>45</v>
      </c>
    </row>
    <row r="1321" spans="1:11" x14ac:dyDescent="0.35">
      <c r="A1321" t="s">
        <v>1606</v>
      </c>
      <c r="B1321" t="s">
        <v>289</v>
      </c>
      <c r="C1321" t="s">
        <v>42</v>
      </c>
      <c r="D1321">
        <v>11</v>
      </c>
      <c r="E1321" t="s">
        <v>12</v>
      </c>
      <c r="F1321" t="s">
        <v>13</v>
      </c>
      <c r="G1321">
        <v>275</v>
      </c>
      <c r="H1321">
        <v>21</v>
      </c>
      <c r="I1321" t="s">
        <v>14</v>
      </c>
      <c r="J1321" t="str">
        <f>_xlfn.XLOOKUP(C1321,'product_masterlist(ifs)'!A:A,'product_masterlist(ifs)'!C:C,"N/A",0)</f>
        <v>Contact Lenses</v>
      </c>
      <c r="K1321">
        <f>VLOOKUP(C1321,'product_masterlist(ifs)'!A:I,7,FALSE)</f>
        <v>120</v>
      </c>
    </row>
    <row r="1322" spans="1:11" x14ac:dyDescent="0.35">
      <c r="A1322" t="s">
        <v>1607</v>
      </c>
      <c r="B1322" s="1">
        <v>45992</v>
      </c>
      <c r="C1322" t="s">
        <v>26</v>
      </c>
      <c r="D1322">
        <v>16</v>
      </c>
      <c r="E1322" t="s">
        <v>20</v>
      </c>
      <c r="F1322" t="s">
        <v>13</v>
      </c>
      <c r="G1322">
        <v>200</v>
      </c>
      <c r="H1322">
        <v>14</v>
      </c>
      <c r="I1322" t="s">
        <v>28</v>
      </c>
      <c r="J1322" t="str">
        <f>_xlfn.XLOOKUP(C1322,'product_masterlist(ifs)'!A:A,'product_masterlist(ifs)'!C:C,"N/A",0)</f>
        <v>Contact Lenses</v>
      </c>
      <c r="K1322">
        <f>VLOOKUP(C1322,'product_masterlist(ifs)'!A:I,7,FALSE)</f>
        <v>450</v>
      </c>
    </row>
    <row r="1323" spans="1:11" x14ac:dyDescent="0.35">
      <c r="A1323" t="s">
        <v>1608</v>
      </c>
      <c r="B1323" s="1">
        <v>45755</v>
      </c>
      <c r="C1323" t="s">
        <v>33</v>
      </c>
      <c r="D1323">
        <v>2</v>
      </c>
      <c r="E1323" t="s">
        <v>37</v>
      </c>
      <c r="F1323" t="s">
        <v>23</v>
      </c>
      <c r="G1323">
        <v>300</v>
      </c>
      <c r="H1323">
        <v>45</v>
      </c>
      <c r="I1323" t="s">
        <v>34</v>
      </c>
      <c r="J1323" t="str">
        <f>_xlfn.XLOOKUP(C1323,'product_masterlist(ifs)'!A:A,'product_masterlist(ifs)'!C:C,"N/A",0)</f>
        <v>Surgical</v>
      </c>
      <c r="K1323">
        <f>VLOOKUP(C1323,'product_masterlist(ifs)'!A:I,7,FALSE)</f>
        <v>15</v>
      </c>
    </row>
    <row r="1324" spans="1:11" x14ac:dyDescent="0.35">
      <c r="A1324" t="s">
        <v>1609</v>
      </c>
      <c r="B1324" t="s">
        <v>60</v>
      </c>
      <c r="C1324" t="s">
        <v>53</v>
      </c>
      <c r="D1324">
        <v>6</v>
      </c>
      <c r="E1324" t="s">
        <v>20</v>
      </c>
      <c r="F1324" t="s">
        <v>31</v>
      </c>
      <c r="G1324" t="s">
        <v>369</v>
      </c>
      <c r="H1324">
        <v>7</v>
      </c>
      <c r="I1324" t="s">
        <v>28</v>
      </c>
      <c r="J1324" t="str">
        <f>_xlfn.XLOOKUP(C1324,'product_masterlist(ifs)'!A:A,'product_masterlist(ifs)'!C:C,"N/A",0)</f>
        <v>Solutions</v>
      </c>
      <c r="K1324">
        <f>VLOOKUP(C1324,'product_masterlist(ifs)'!A:I,7,FALSE)</f>
        <v>800</v>
      </c>
    </row>
    <row r="1325" spans="1:11" x14ac:dyDescent="0.35">
      <c r="A1325" t="s">
        <v>1610</v>
      </c>
      <c r="B1325" t="s">
        <v>310</v>
      </c>
      <c r="C1325" t="s">
        <v>17</v>
      </c>
      <c r="D1325">
        <v>12</v>
      </c>
      <c r="E1325" t="s">
        <v>22</v>
      </c>
      <c r="F1325" t="s">
        <v>13</v>
      </c>
      <c r="G1325">
        <v>540</v>
      </c>
      <c r="H1325">
        <v>30</v>
      </c>
      <c r="I1325" t="s">
        <v>14</v>
      </c>
      <c r="J1325" t="str">
        <f>_xlfn.XLOOKUP(C1325,'product_masterlist(ifs)'!A:A,'product_masterlist(ifs)'!C:C,"N/A",0)</f>
        <v>Frames</v>
      </c>
      <c r="K1325">
        <f>VLOOKUP(C1325,'product_masterlist(ifs)'!A:I,7,FALSE)</f>
        <v>45</v>
      </c>
    </row>
    <row r="1326" spans="1:11" x14ac:dyDescent="0.35">
      <c r="A1326" t="s">
        <v>1611</v>
      </c>
      <c r="B1326" t="s">
        <v>708</v>
      </c>
      <c r="C1326" t="s">
        <v>33</v>
      </c>
      <c r="D1326">
        <v>2</v>
      </c>
      <c r="E1326" t="s">
        <v>22</v>
      </c>
      <c r="F1326" t="s">
        <v>31</v>
      </c>
      <c r="G1326">
        <v>300</v>
      </c>
      <c r="H1326">
        <v>45</v>
      </c>
      <c r="I1326" t="s">
        <v>34</v>
      </c>
      <c r="J1326" t="str">
        <f>_xlfn.XLOOKUP(C1326,'product_masterlist(ifs)'!A:A,'product_masterlist(ifs)'!C:C,"N/A",0)</f>
        <v>Surgical</v>
      </c>
      <c r="K1326">
        <f>VLOOKUP(C1326,'product_masterlist(ifs)'!A:I,7,FALSE)</f>
        <v>15</v>
      </c>
    </row>
    <row r="1327" spans="1:11" x14ac:dyDescent="0.35">
      <c r="A1327" t="s">
        <v>1612</v>
      </c>
      <c r="B1327" t="s">
        <v>515</v>
      </c>
      <c r="C1327" t="s">
        <v>90</v>
      </c>
      <c r="D1327">
        <v>9</v>
      </c>
      <c r="E1327" t="s">
        <v>37</v>
      </c>
      <c r="F1327" t="s">
        <v>18</v>
      </c>
      <c r="G1327" t="s">
        <v>91</v>
      </c>
      <c r="H1327">
        <v>30</v>
      </c>
      <c r="I1327" t="s">
        <v>14</v>
      </c>
      <c r="J1327" t="str">
        <f>_xlfn.XLOOKUP(C1327,'product_masterlist(ifs)'!A:A,'product_masterlist(ifs)'!C:C,"N/A",0)</f>
        <v>Frames</v>
      </c>
      <c r="K1327">
        <f>VLOOKUP(C1327,'product_masterlist(ifs)'!A:I,7,FALSE)</f>
        <v>180</v>
      </c>
    </row>
    <row r="1328" spans="1:11" x14ac:dyDescent="0.35">
      <c r="A1328" t="s">
        <v>1613</v>
      </c>
      <c r="B1328" s="1">
        <v>45901</v>
      </c>
      <c r="C1328" t="s">
        <v>17</v>
      </c>
      <c r="D1328">
        <v>8</v>
      </c>
      <c r="E1328" t="s">
        <v>22</v>
      </c>
      <c r="F1328" t="s">
        <v>13</v>
      </c>
      <c r="G1328">
        <v>360</v>
      </c>
      <c r="H1328">
        <v>30</v>
      </c>
      <c r="I1328" t="s">
        <v>14</v>
      </c>
      <c r="J1328" t="str">
        <f>_xlfn.XLOOKUP(C1328,'product_masterlist(ifs)'!A:A,'product_masterlist(ifs)'!C:C,"N/A",0)</f>
        <v>Frames</v>
      </c>
      <c r="K1328">
        <f>VLOOKUP(C1328,'product_masterlist(ifs)'!A:I,7,FALSE)</f>
        <v>45</v>
      </c>
    </row>
    <row r="1329" spans="1:11" x14ac:dyDescent="0.35">
      <c r="A1329" t="s">
        <v>1614</v>
      </c>
      <c r="B1329" t="s">
        <v>393</v>
      </c>
      <c r="C1329" t="s">
        <v>17</v>
      </c>
      <c r="D1329">
        <v>2</v>
      </c>
      <c r="E1329" t="s">
        <v>22</v>
      </c>
      <c r="F1329" t="s">
        <v>18</v>
      </c>
      <c r="G1329">
        <v>90</v>
      </c>
      <c r="H1329">
        <v>30</v>
      </c>
      <c r="I1329" t="s">
        <v>14</v>
      </c>
      <c r="J1329" t="str">
        <f>_xlfn.XLOOKUP(C1329,'product_masterlist(ifs)'!A:A,'product_masterlist(ifs)'!C:C,"N/A",0)</f>
        <v>Frames</v>
      </c>
      <c r="K1329">
        <f>VLOOKUP(C1329,'product_masterlist(ifs)'!A:I,7,FALSE)</f>
        <v>45</v>
      </c>
    </row>
    <row r="1330" spans="1:11" x14ac:dyDescent="0.35">
      <c r="A1330" t="s">
        <v>1615</v>
      </c>
      <c r="B1330" t="s">
        <v>1578</v>
      </c>
      <c r="C1330" t="s">
        <v>11</v>
      </c>
      <c r="D1330">
        <v>14</v>
      </c>
      <c r="E1330" t="s">
        <v>22</v>
      </c>
      <c r="F1330" t="s">
        <v>23</v>
      </c>
      <c r="G1330">
        <v>1190</v>
      </c>
      <c r="H1330">
        <v>30</v>
      </c>
      <c r="I1330" t="s">
        <v>14</v>
      </c>
      <c r="J1330" t="str">
        <f>_xlfn.XLOOKUP(C1330,'product_masterlist(ifs)'!A:A,'product_masterlist(ifs)'!C:C,"N/A",0)</f>
        <v>Surgical</v>
      </c>
      <c r="K1330">
        <f>VLOOKUP(C1330,'product_masterlist(ifs)'!A:I,7,FALSE)</f>
        <v>40</v>
      </c>
    </row>
    <row r="1331" spans="1:11" x14ac:dyDescent="0.35">
      <c r="A1331" t="s">
        <v>1616</v>
      </c>
      <c r="B1331" t="s">
        <v>60</v>
      </c>
      <c r="C1331" t="s">
        <v>53</v>
      </c>
      <c r="D1331">
        <v>9</v>
      </c>
      <c r="E1331" t="s">
        <v>22</v>
      </c>
      <c r="F1331" t="s">
        <v>13</v>
      </c>
      <c r="G1331" t="s">
        <v>75</v>
      </c>
      <c r="H1331">
        <v>7</v>
      </c>
      <c r="I1331" t="s">
        <v>28</v>
      </c>
      <c r="J1331" t="str">
        <f>_xlfn.XLOOKUP(C1331,'product_masterlist(ifs)'!A:A,'product_masterlist(ifs)'!C:C,"N/A",0)</f>
        <v>Solutions</v>
      </c>
      <c r="K1331">
        <f>VLOOKUP(C1331,'product_masterlist(ifs)'!A:I,7,FALSE)</f>
        <v>800</v>
      </c>
    </row>
    <row r="1332" spans="1:11" x14ac:dyDescent="0.35">
      <c r="A1332" t="s">
        <v>1617</v>
      </c>
      <c r="B1332" t="s">
        <v>952</v>
      </c>
      <c r="C1332" t="s">
        <v>42</v>
      </c>
      <c r="D1332">
        <v>17</v>
      </c>
      <c r="E1332" t="s">
        <v>12</v>
      </c>
      <c r="F1332" t="s">
        <v>18</v>
      </c>
      <c r="G1332">
        <v>425</v>
      </c>
      <c r="H1332">
        <v>21</v>
      </c>
      <c r="I1332" t="s">
        <v>14</v>
      </c>
      <c r="J1332" t="str">
        <f>_xlfn.XLOOKUP(C1332,'product_masterlist(ifs)'!A:A,'product_masterlist(ifs)'!C:C,"N/A",0)</f>
        <v>Contact Lenses</v>
      </c>
      <c r="K1332">
        <f>VLOOKUP(C1332,'product_masterlist(ifs)'!A:I,7,FALSE)</f>
        <v>120</v>
      </c>
    </row>
    <row r="1333" spans="1:11" x14ac:dyDescent="0.35">
      <c r="A1333" t="s">
        <v>1618</v>
      </c>
      <c r="B1333" t="s">
        <v>651</v>
      </c>
      <c r="C1333" t="s">
        <v>11</v>
      </c>
      <c r="D1333">
        <v>4</v>
      </c>
      <c r="E1333" t="s">
        <v>22</v>
      </c>
      <c r="F1333" t="s">
        <v>23</v>
      </c>
      <c r="G1333">
        <v>340</v>
      </c>
      <c r="H1333">
        <v>30</v>
      </c>
      <c r="I1333" t="s">
        <v>14</v>
      </c>
      <c r="J1333" t="str">
        <f>_xlfn.XLOOKUP(C1333,'product_masterlist(ifs)'!A:A,'product_masterlist(ifs)'!C:C,"N/A",0)</f>
        <v>Surgical</v>
      </c>
      <c r="K1333">
        <f>VLOOKUP(C1333,'product_masterlist(ifs)'!A:I,7,FALSE)</f>
        <v>40</v>
      </c>
    </row>
    <row r="1334" spans="1:11" x14ac:dyDescent="0.35">
      <c r="A1334" t="s">
        <v>1619</v>
      </c>
      <c r="B1334" t="s">
        <v>36</v>
      </c>
      <c r="C1334" t="s">
        <v>42</v>
      </c>
      <c r="D1334">
        <v>23</v>
      </c>
      <c r="E1334" t="s">
        <v>20</v>
      </c>
      <c r="F1334" t="s">
        <v>31</v>
      </c>
      <c r="G1334">
        <v>575</v>
      </c>
      <c r="H1334">
        <v>21</v>
      </c>
      <c r="I1334" t="s">
        <v>14</v>
      </c>
      <c r="J1334" t="str">
        <f>_xlfn.XLOOKUP(C1334,'product_masterlist(ifs)'!A:A,'product_masterlist(ifs)'!C:C,"N/A",0)</f>
        <v>Contact Lenses</v>
      </c>
      <c r="K1334">
        <f>VLOOKUP(C1334,'product_masterlist(ifs)'!A:I,7,FALSE)</f>
        <v>120</v>
      </c>
    </row>
    <row r="1335" spans="1:11" x14ac:dyDescent="0.35">
      <c r="A1335" t="s">
        <v>1620</v>
      </c>
      <c r="B1335" t="s">
        <v>87</v>
      </c>
      <c r="C1335" t="s">
        <v>90</v>
      </c>
      <c r="D1335">
        <v>6</v>
      </c>
      <c r="E1335" t="s">
        <v>20</v>
      </c>
      <c r="F1335" t="s">
        <v>31</v>
      </c>
      <c r="G1335">
        <v>291</v>
      </c>
      <c r="H1335">
        <v>30</v>
      </c>
      <c r="I1335" t="s">
        <v>14</v>
      </c>
      <c r="J1335" t="str">
        <f>_xlfn.XLOOKUP(C1335,'product_masterlist(ifs)'!A:A,'product_masterlist(ifs)'!C:C,"N/A",0)</f>
        <v>Frames</v>
      </c>
      <c r="K1335">
        <f>VLOOKUP(C1335,'product_masterlist(ifs)'!A:I,7,FALSE)</f>
        <v>180</v>
      </c>
    </row>
    <row r="1336" spans="1:11" x14ac:dyDescent="0.35">
      <c r="A1336" t="s">
        <v>1621</v>
      </c>
      <c r="B1336" s="1">
        <v>45727</v>
      </c>
      <c r="C1336" t="s">
        <v>33</v>
      </c>
      <c r="D1336">
        <v>6</v>
      </c>
      <c r="E1336" t="s">
        <v>37</v>
      </c>
      <c r="F1336" t="s">
        <v>31</v>
      </c>
      <c r="G1336">
        <v>900</v>
      </c>
      <c r="H1336">
        <v>45</v>
      </c>
      <c r="I1336" t="s">
        <v>34</v>
      </c>
      <c r="J1336" t="str">
        <f>_xlfn.XLOOKUP(C1336,'product_masterlist(ifs)'!A:A,'product_masterlist(ifs)'!C:C,"N/A",0)</f>
        <v>Surgical</v>
      </c>
      <c r="K1336">
        <f>VLOOKUP(C1336,'product_masterlist(ifs)'!A:I,7,FALSE)</f>
        <v>15</v>
      </c>
    </row>
    <row r="1337" spans="1:11" x14ac:dyDescent="0.35">
      <c r="A1337" t="s">
        <v>1622</v>
      </c>
      <c r="B1337" t="s">
        <v>436</v>
      </c>
      <c r="C1337" t="s">
        <v>90</v>
      </c>
      <c r="D1337">
        <v>14</v>
      </c>
      <c r="E1337" t="s">
        <v>20</v>
      </c>
      <c r="F1337" t="s">
        <v>18</v>
      </c>
      <c r="G1337">
        <v>679</v>
      </c>
      <c r="H1337">
        <v>30</v>
      </c>
      <c r="I1337" t="s">
        <v>14</v>
      </c>
      <c r="J1337" t="str">
        <f>_xlfn.XLOOKUP(C1337,'product_masterlist(ifs)'!A:A,'product_masterlist(ifs)'!C:C,"N/A",0)</f>
        <v>Frames</v>
      </c>
      <c r="K1337">
        <f>VLOOKUP(C1337,'product_masterlist(ifs)'!A:I,7,FALSE)</f>
        <v>180</v>
      </c>
    </row>
    <row r="1338" spans="1:11" x14ac:dyDescent="0.35">
      <c r="A1338" t="s">
        <v>1623</v>
      </c>
      <c r="B1338" s="1">
        <v>45938</v>
      </c>
      <c r="C1338" t="s">
        <v>11</v>
      </c>
      <c r="D1338">
        <v>9</v>
      </c>
      <c r="E1338" t="s">
        <v>37</v>
      </c>
      <c r="F1338" t="s">
        <v>13</v>
      </c>
      <c r="G1338">
        <v>765</v>
      </c>
      <c r="H1338">
        <v>30</v>
      </c>
      <c r="I1338" t="s">
        <v>14</v>
      </c>
      <c r="J1338" t="str">
        <f>_xlfn.XLOOKUP(C1338,'product_masterlist(ifs)'!A:A,'product_masterlist(ifs)'!C:C,"N/A",0)</f>
        <v>Surgical</v>
      </c>
      <c r="K1338">
        <f>VLOOKUP(C1338,'product_masterlist(ifs)'!A:I,7,FALSE)</f>
        <v>40</v>
      </c>
    </row>
    <row r="1339" spans="1:11" x14ac:dyDescent="0.35">
      <c r="A1339" t="s">
        <v>1624</v>
      </c>
      <c r="B1339" t="s">
        <v>1190</v>
      </c>
      <c r="C1339" t="s">
        <v>90</v>
      </c>
      <c r="D1339">
        <v>4</v>
      </c>
      <c r="E1339" t="s">
        <v>22</v>
      </c>
      <c r="F1339" t="s">
        <v>23</v>
      </c>
      <c r="G1339">
        <v>194</v>
      </c>
      <c r="H1339">
        <v>30</v>
      </c>
      <c r="I1339" t="s">
        <v>14</v>
      </c>
      <c r="J1339" t="str">
        <f>_xlfn.XLOOKUP(C1339,'product_masterlist(ifs)'!A:A,'product_masterlist(ifs)'!C:C,"N/A",0)</f>
        <v>Frames</v>
      </c>
      <c r="K1339">
        <f>VLOOKUP(C1339,'product_masterlist(ifs)'!A:I,7,FALSE)</f>
        <v>180</v>
      </c>
    </row>
    <row r="1340" spans="1:11" x14ac:dyDescent="0.35">
      <c r="A1340" t="s">
        <v>1625</v>
      </c>
      <c r="B1340" s="1">
        <v>45814</v>
      </c>
      <c r="C1340" t="s">
        <v>42</v>
      </c>
      <c r="D1340">
        <v>25</v>
      </c>
      <c r="E1340" t="s">
        <v>22</v>
      </c>
      <c r="F1340" t="s">
        <v>13</v>
      </c>
      <c r="G1340">
        <v>625</v>
      </c>
      <c r="H1340">
        <v>21</v>
      </c>
      <c r="I1340" t="s">
        <v>14</v>
      </c>
      <c r="J1340" t="str">
        <f>_xlfn.XLOOKUP(C1340,'product_masterlist(ifs)'!A:A,'product_masterlist(ifs)'!C:C,"N/A",0)</f>
        <v>Contact Lenses</v>
      </c>
      <c r="K1340">
        <f>VLOOKUP(C1340,'product_masterlist(ifs)'!A:I,7,FALSE)</f>
        <v>120</v>
      </c>
    </row>
    <row r="1341" spans="1:11" x14ac:dyDescent="0.35">
      <c r="A1341" t="s">
        <v>1626</v>
      </c>
      <c r="B1341" t="s">
        <v>161</v>
      </c>
      <c r="C1341" t="s">
        <v>26</v>
      </c>
      <c r="D1341">
        <v>8</v>
      </c>
      <c r="E1341" t="s">
        <v>20</v>
      </c>
      <c r="F1341" t="s">
        <v>31</v>
      </c>
      <c r="G1341">
        <v>100</v>
      </c>
      <c r="H1341">
        <v>14</v>
      </c>
      <c r="I1341" t="s">
        <v>28</v>
      </c>
      <c r="J1341" t="str">
        <f>_xlfn.XLOOKUP(C1341,'product_masterlist(ifs)'!A:A,'product_masterlist(ifs)'!C:C,"N/A",0)</f>
        <v>Contact Lenses</v>
      </c>
      <c r="K1341">
        <f>VLOOKUP(C1341,'product_masterlist(ifs)'!A:I,7,FALSE)</f>
        <v>450</v>
      </c>
    </row>
    <row r="1342" spans="1:11" x14ac:dyDescent="0.35">
      <c r="A1342" t="s">
        <v>1627</v>
      </c>
      <c r="B1342" t="s">
        <v>60</v>
      </c>
      <c r="C1342" t="s">
        <v>42</v>
      </c>
      <c r="D1342">
        <v>25</v>
      </c>
      <c r="E1342" t="s">
        <v>22</v>
      </c>
      <c r="F1342" t="s">
        <v>18</v>
      </c>
      <c r="G1342">
        <v>625</v>
      </c>
      <c r="H1342">
        <v>21</v>
      </c>
      <c r="I1342" t="s">
        <v>14</v>
      </c>
      <c r="J1342" t="str">
        <f>_xlfn.XLOOKUP(C1342,'product_masterlist(ifs)'!A:A,'product_masterlist(ifs)'!C:C,"N/A",0)</f>
        <v>Contact Lenses</v>
      </c>
      <c r="K1342">
        <f>VLOOKUP(C1342,'product_masterlist(ifs)'!A:I,7,FALSE)</f>
        <v>120</v>
      </c>
    </row>
    <row r="1343" spans="1:11" x14ac:dyDescent="0.35">
      <c r="A1343" t="s">
        <v>1628</v>
      </c>
      <c r="B1343" t="s">
        <v>802</v>
      </c>
      <c r="C1343" t="s">
        <v>90</v>
      </c>
      <c r="D1343">
        <v>10</v>
      </c>
      <c r="E1343" t="s">
        <v>20</v>
      </c>
      <c r="F1343" t="s">
        <v>31</v>
      </c>
      <c r="G1343">
        <v>485</v>
      </c>
      <c r="H1343">
        <v>30</v>
      </c>
      <c r="I1343" t="s">
        <v>14</v>
      </c>
      <c r="J1343" t="str">
        <f>_xlfn.XLOOKUP(C1343,'product_masterlist(ifs)'!A:A,'product_masterlist(ifs)'!C:C,"N/A",0)</f>
        <v>Frames</v>
      </c>
      <c r="K1343">
        <f>VLOOKUP(C1343,'product_masterlist(ifs)'!A:I,7,FALSE)</f>
        <v>180</v>
      </c>
    </row>
    <row r="1344" spans="1:11" x14ac:dyDescent="0.35">
      <c r="A1344" t="s">
        <v>1629</v>
      </c>
      <c r="B1344" t="s">
        <v>151</v>
      </c>
      <c r="C1344" t="s">
        <v>90</v>
      </c>
      <c r="D1344">
        <v>18</v>
      </c>
      <c r="E1344" t="s">
        <v>20</v>
      </c>
      <c r="F1344" t="s">
        <v>31</v>
      </c>
      <c r="G1344">
        <v>873</v>
      </c>
      <c r="H1344">
        <v>30</v>
      </c>
      <c r="I1344" t="s">
        <v>14</v>
      </c>
      <c r="J1344" t="str">
        <f>_xlfn.XLOOKUP(C1344,'product_masterlist(ifs)'!A:A,'product_masterlist(ifs)'!C:C,"N/A",0)</f>
        <v>Frames</v>
      </c>
      <c r="K1344">
        <f>VLOOKUP(C1344,'product_masterlist(ifs)'!A:I,7,FALSE)</f>
        <v>180</v>
      </c>
    </row>
    <row r="1345" spans="1:11" x14ac:dyDescent="0.35">
      <c r="A1345" t="s">
        <v>1630</v>
      </c>
      <c r="B1345" t="s">
        <v>315</v>
      </c>
      <c r="C1345" t="s">
        <v>42</v>
      </c>
      <c r="D1345">
        <v>17</v>
      </c>
      <c r="E1345" t="s">
        <v>22</v>
      </c>
      <c r="F1345" t="s">
        <v>23</v>
      </c>
      <c r="G1345">
        <v>425</v>
      </c>
      <c r="H1345">
        <v>21</v>
      </c>
      <c r="I1345" t="s">
        <v>14</v>
      </c>
      <c r="J1345" t="str">
        <f>_xlfn.XLOOKUP(C1345,'product_masterlist(ifs)'!A:A,'product_masterlist(ifs)'!C:C,"N/A",0)</f>
        <v>Contact Lenses</v>
      </c>
      <c r="K1345">
        <f>VLOOKUP(C1345,'product_masterlist(ifs)'!A:I,7,FALSE)</f>
        <v>120</v>
      </c>
    </row>
    <row r="1346" spans="1:11" x14ac:dyDescent="0.35">
      <c r="A1346" t="s">
        <v>1631</v>
      </c>
      <c r="B1346" s="1">
        <v>45908</v>
      </c>
      <c r="C1346" t="s">
        <v>33</v>
      </c>
      <c r="D1346">
        <v>6</v>
      </c>
      <c r="E1346" t="s">
        <v>22</v>
      </c>
      <c r="F1346" t="s">
        <v>13</v>
      </c>
      <c r="G1346">
        <v>900</v>
      </c>
      <c r="H1346">
        <v>45</v>
      </c>
      <c r="I1346" t="s">
        <v>34</v>
      </c>
      <c r="J1346" t="str">
        <f>_xlfn.XLOOKUP(C1346,'product_masterlist(ifs)'!A:A,'product_masterlist(ifs)'!C:C,"N/A",0)</f>
        <v>Surgical</v>
      </c>
      <c r="K1346">
        <f>VLOOKUP(C1346,'product_masterlist(ifs)'!A:I,7,FALSE)</f>
        <v>15</v>
      </c>
    </row>
    <row r="1347" spans="1:11" x14ac:dyDescent="0.35">
      <c r="A1347" t="s">
        <v>1632</v>
      </c>
      <c r="B1347" t="s">
        <v>224</v>
      </c>
      <c r="C1347" t="s">
        <v>42</v>
      </c>
      <c r="D1347">
        <v>8</v>
      </c>
      <c r="E1347" t="s">
        <v>12</v>
      </c>
      <c r="F1347" t="s">
        <v>23</v>
      </c>
      <c r="G1347">
        <v>200</v>
      </c>
      <c r="H1347">
        <v>21</v>
      </c>
      <c r="I1347" t="s">
        <v>14</v>
      </c>
      <c r="J1347" t="str">
        <f>_xlfn.XLOOKUP(C1347,'product_masterlist(ifs)'!A:A,'product_masterlist(ifs)'!C:C,"N/A",0)</f>
        <v>Contact Lenses</v>
      </c>
      <c r="K1347">
        <f>VLOOKUP(C1347,'product_masterlist(ifs)'!A:I,7,FALSE)</f>
        <v>120</v>
      </c>
    </row>
    <row r="1348" spans="1:11" x14ac:dyDescent="0.35">
      <c r="A1348" t="s">
        <v>1633</v>
      </c>
      <c r="B1348" t="s">
        <v>317</v>
      </c>
      <c r="C1348" t="s">
        <v>90</v>
      </c>
      <c r="D1348">
        <v>2</v>
      </c>
      <c r="E1348" t="s">
        <v>20</v>
      </c>
      <c r="F1348" t="s">
        <v>18</v>
      </c>
      <c r="G1348">
        <v>97</v>
      </c>
      <c r="H1348">
        <v>30</v>
      </c>
      <c r="I1348" t="s">
        <v>14</v>
      </c>
      <c r="J1348" t="str">
        <f>_xlfn.XLOOKUP(C1348,'product_masterlist(ifs)'!A:A,'product_masterlist(ifs)'!C:C,"N/A",0)</f>
        <v>Frames</v>
      </c>
      <c r="K1348">
        <f>VLOOKUP(C1348,'product_masterlist(ifs)'!A:I,7,FALSE)</f>
        <v>180</v>
      </c>
    </row>
    <row r="1349" spans="1:11" x14ac:dyDescent="0.35">
      <c r="A1349" t="s">
        <v>1634</v>
      </c>
      <c r="B1349" t="s">
        <v>146</v>
      </c>
      <c r="C1349" t="s">
        <v>53</v>
      </c>
      <c r="D1349">
        <v>7</v>
      </c>
      <c r="E1349" t="s">
        <v>12</v>
      </c>
      <c r="F1349" t="s">
        <v>13</v>
      </c>
      <c r="G1349" t="s">
        <v>320</v>
      </c>
      <c r="H1349">
        <v>7</v>
      </c>
      <c r="I1349" t="s">
        <v>28</v>
      </c>
      <c r="J1349" t="str">
        <f>_xlfn.XLOOKUP(C1349,'product_masterlist(ifs)'!A:A,'product_masterlist(ifs)'!C:C,"N/A",0)</f>
        <v>Solutions</v>
      </c>
      <c r="K1349">
        <f>VLOOKUP(C1349,'product_masterlist(ifs)'!A:I,7,FALSE)</f>
        <v>800</v>
      </c>
    </row>
    <row r="1350" spans="1:11" x14ac:dyDescent="0.35">
      <c r="A1350" t="s">
        <v>1635</v>
      </c>
      <c r="B1350" s="1">
        <v>45750</v>
      </c>
      <c r="C1350" t="s">
        <v>33</v>
      </c>
      <c r="D1350">
        <v>3</v>
      </c>
      <c r="E1350" t="s">
        <v>12</v>
      </c>
      <c r="F1350" t="s">
        <v>13</v>
      </c>
      <c r="G1350">
        <v>450</v>
      </c>
      <c r="H1350">
        <v>45</v>
      </c>
      <c r="I1350" t="s">
        <v>34</v>
      </c>
      <c r="J1350" t="str">
        <f>_xlfn.XLOOKUP(C1350,'product_masterlist(ifs)'!A:A,'product_masterlist(ifs)'!C:C,"N/A",0)</f>
        <v>Surgical</v>
      </c>
      <c r="K1350">
        <f>VLOOKUP(C1350,'product_masterlist(ifs)'!A:I,7,FALSE)</f>
        <v>15</v>
      </c>
    </row>
    <row r="1351" spans="1:11" x14ac:dyDescent="0.35">
      <c r="A1351" t="s">
        <v>1636</v>
      </c>
      <c r="B1351" t="s">
        <v>44</v>
      </c>
      <c r="C1351" t="s">
        <v>53</v>
      </c>
      <c r="D1351">
        <v>22</v>
      </c>
      <c r="E1351" t="s">
        <v>22</v>
      </c>
      <c r="F1351" t="s">
        <v>18</v>
      </c>
      <c r="G1351" t="s">
        <v>176</v>
      </c>
      <c r="H1351">
        <v>7</v>
      </c>
      <c r="I1351" t="s">
        <v>28</v>
      </c>
      <c r="J1351" t="str">
        <f>_xlfn.XLOOKUP(C1351,'product_masterlist(ifs)'!A:A,'product_masterlist(ifs)'!C:C,"N/A",0)</f>
        <v>Solutions</v>
      </c>
      <c r="K1351">
        <f>VLOOKUP(C1351,'product_masterlist(ifs)'!A:I,7,FALSE)</f>
        <v>800</v>
      </c>
    </row>
    <row r="1352" spans="1:11" x14ac:dyDescent="0.35">
      <c r="A1352" t="s">
        <v>1637</v>
      </c>
      <c r="B1352" s="1">
        <v>45695</v>
      </c>
      <c r="C1352" t="s">
        <v>11</v>
      </c>
      <c r="D1352">
        <v>16</v>
      </c>
      <c r="E1352" t="s">
        <v>37</v>
      </c>
      <c r="F1352" t="s">
        <v>23</v>
      </c>
      <c r="G1352">
        <v>1360</v>
      </c>
      <c r="H1352">
        <v>30</v>
      </c>
      <c r="I1352" t="s">
        <v>14</v>
      </c>
      <c r="J1352" t="str">
        <f>_xlfn.XLOOKUP(C1352,'product_masterlist(ifs)'!A:A,'product_masterlist(ifs)'!C:C,"N/A",0)</f>
        <v>Surgical</v>
      </c>
      <c r="K1352">
        <f>VLOOKUP(C1352,'product_masterlist(ifs)'!A:I,7,FALSE)</f>
        <v>40</v>
      </c>
    </row>
    <row r="1353" spans="1:11" x14ac:dyDescent="0.35">
      <c r="A1353" t="s">
        <v>1638</v>
      </c>
      <c r="B1353" s="1">
        <v>45870</v>
      </c>
      <c r="C1353" t="s">
        <v>53</v>
      </c>
      <c r="D1353">
        <v>12</v>
      </c>
      <c r="E1353" t="s">
        <v>22</v>
      </c>
      <c r="F1353" t="s">
        <v>18</v>
      </c>
      <c r="G1353">
        <v>51</v>
      </c>
      <c r="H1353">
        <v>7</v>
      </c>
      <c r="I1353" t="s">
        <v>28</v>
      </c>
      <c r="J1353" t="str">
        <f>_xlfn.XLOOKUP(C1353,'product_masterlist(ifs)'!A:A,'product_masterlist(ifs)'!C:C,"N/A",0)</f>
        <v>Solutions</v>
      </c>
      <c r="K1353">
        <f>VLOOKUP(C1353,'product_masterlist(ifs)'!A:I,7,FALSE)</f>
        <v>800</v>
      </c>
    </row>
    <row r="1354" spans="1:11" x14ac:dyDescent="0.35">
      <c r="A1354" t="s">
        <v>1639</v>
      </c>
      <c r="B1354" s="1">
        <v>45699</v>
      </c>
      <c r="C1354" t="s">
        <v>11</v>
      </c>
      <c r="D1354">
        <v>18</v>
      </c>
      <c r="E1354" t="s">
        <v>12</v>
      </c>
      <c r="F1354" t="s">
        <v>31</v>
      </c>
      <c r="G1354">
        <v>1530</v>
      </c>
      <c r="H1354">
        <v>30</v>
      </c>
      <c r="I1354" t="s">
        <v>14</v>
      </c>
      <c r="J1354" t="str">
        <f>_xlfn.XLOOKUP(C1354,'product_masterlist(ifs)'!A:A,'product_masterlist(ifs)'!C:C,"N/A",0)</f>
        <v>Surgical</v>
      </c>
      <c r="K1354">
        <f>VLOOKUP(C1354,'product_masterlist(ifs)'!A:I,7,FALSE)</f>
        <v>40</v>
      </c>
    </row>
    <row r="1355" spans="1:11" x14ac:dyDescent="0.35">
      <c r="A1355" t="s">
        <v>1640</v>
      </c>
      <c r="B1355" s="1">
        <v>45841</v>
      </c>
      <c r="C1355" t="s">
        <v>11</v>
      </c>
      <c r="D1355">
        <v>18</v>
      </c>
      <c r="E1355" t="s">
        <v>12</v>
      </c>
      <c r="F1355" t="s">
        <v>13</v>
      </c>
      <c r="G1355">
        <v>1530</v>
      </c>
      <c r="H1355">
        <v>30</v>
      </c>
      <c r="I1355" t="s">
        <v>14</v>
      </c>
      <c r="J1355" t="str">
        <f>_xlfn.XLOOKUP(C1355,'product_masterlist(ifs)'!A:A,'product_masterlist(ifs)'!C:C,"N/A",0)</f>
        <v>Surgical</v>
      </c>
      <c r="K1355">
        <f>VLOOKUP(C1355,'product_masterlist(ifs)'!A:I,7,FALSE)</f>
        <v>40</v>
      </c>
    </row>
    <row r="1356" spans="1:11" x14ac:dyDescent="0.35">
      <c r="A1356" t="s">
        <v>1641</v>
      </c>
      <c r="B1356" t="s">
        <v>1016</v>
      </c>
      <c r="C1356" t="s">
        <v>26</v>
      </c>
      <c r="D1356">
        <v>10</v>
      </c>
      <c r="E1356" t="s">
        <v>22</v>
      </c>
      <c r="F1356" t="s">
        <v>18</v>
      </c>
      <c r="G1356">
        <v>125</v>
      </c>
      <c r="H1356">
        <v>14</v>
      </c>
      <c r="I1356" t="s">
        <v>28</v>
      </c>
      <c r="J1356" t="str">
        <f>_xlfn.XLOOKUP(C1356,'product_masterlist(ifs)'!A:A,'product_masterlist(ifs)'!C:C,"N/A",0)</f>
        <v>Contact Lenses</v>
      </c>
      <c r="K1356">
        <f>VLOOKUP(C1356,'product_masterlist(ifs)'!A:I,7,FALSE)</f>
        <v>450</v>
      </c>
    </row>
    <row r="1357" spans="1:11" x14ac:dyDescent="0.35">
      <c r="A1357" t="s">
        <v>1642</v>
      </c>
      <c r="B1357" t="s">
        <v>532</v>
      </c>
      <c r="C1357" t="s">
        <v>11</v>
      </c>
      <c r="D1357">
        <v>16</v>
      </c>
      <c r="E1357" t="s">
        <v>37</v>
      </c>
      <c r="F1357" t="s">
        <v>23</v>
      </c>
      <c r="G1357">
        <v>1360</v>
      </c>
      <c r="H1357">
        <v>30</v>
      </c>
      <c r="I1357" t="s">
        <v>14</v>
      </c>
      <c r="J1357" t="str">
        <f>_xlfn.XLOOKUP(C1357,'product_masterlist(ifs)'!A:A,'product_masterlist(ifs)'!C:C,"N/A",0)</f>
        <v>Surgical</v>
      </c>
      <c r="K1357">
        <f>VLOOKUP(C1357,'product_masterlist(ifs)'!A:I,7,FALSE)</f>
        <v>40</v>
      </c>
    </row>
    <row r="1358" spans="1:11" x14ac:dyDescent="0.35">
      <c r="A1358" t="s">
        <v>1643</v>
      </c>
      <c r="B1358" t="s">
        <v>535</v>
      </c>
      <c r="C1358" t="s">
        <v>17</v>
      </c>
      <c r="D1358">
        <v>21</v>
      </c>
      <c r="E1358" t="s">
        <v>12</v>
      </c>
      <c r="F1358" t="s">
        <v>31</v>
      </c>
      <c r="G1358">
        <v>945</v>
      </c>
      <c r="H1358">
        <v>30</v>
      </c>
      <c r="I1358" t="s">
        <v>14</v>
      </c>
      <c r="J1358" t="str">
        <f>_xlfn.XLOOKUP(C1358,'product_masterlist(ifs)'!A:A,'product_masterlist(ifs)'!C:C,"N/A",0)</f>
        <v>Frames</v>
      </c>
      <c r="K1358">
        <f>VLOOKUP(C1358,'product_masterlist(ifs)'!A:I,7,FALSE)</f>
        <v>45</v>
      </c>
    </row>
    <row r="1359" spans="1:11" x14ac:dyDescent="0.35">
      <c r="A1359" t="s">
        <v>1644</v>
      </c>
      <c r="B1359" s="1">
        <v>45728</v>
      </c>
      <c r="C1359" t="s">
        <v>17</v>
      </c>
      <c r="D1359">
        <v>9</v>
      </c>
      <c r="E1359" t="s">
        <v>37</v>
      </c>
      <c r="F1359" t="s">
        <v>13</v>
      </c>
      <c r="G1359">
        <v>405</v>
      </c>
      <c r="H1359">
        <v>30</v>
      </c>
      <c r="I1359" t="s">
        <v>14</v>
      </c>
      <c r="J1359" t="str">
        <f>_xlfn.XLOOKUP(C1359,'product_masterlist(ifs)'!A:A,'product_masterlist(ifs)'!C:C,"N/A",0)</f>
        <v>Frames</v>
      </c>
      <c r="K1359">
        <f>VLOOKUP(C1359,'product_masterlist(ifs)'!A:I,7,FALSE)</f>
        <v>45</v>
      </c>
    </row>
    <row r="1360" spans="1:11" x14ac:dyDescent="0.35">
      <c r="A1360" t="s">
        <v>1645</v>
      </c>
      <c r="B1360" t="s">
        <v>584</v>
      </c>
      <c r="C1360" t="s">
        <v>17</v>
      </c>
      <c r="D1360">
        <v>25</v>
      </c>
      <c r="E1360" t="s">
        <v>37</v>
      </c>
      <c r="F1360" t="s">
        <v>13</v>
      </c>
      <c r="G1360">
        <v>1125</v>
      </c>
      <c r="H1360">
        <v>30</v>
      </c>
      <c r="I1360" t="s">
        <v>14</v>
      </c>
      <c r="J1360" t="str">
        <f>_xlfn.XLOOKUP(C1360,'product_masterlist(ifs)'!A:A,'product_masterlist(ifs)'!C:C,"N/A",0)</f>
        <v>Frames</v>
      </c>
      <c r="K1360">
        <f>VLOOKUP(C1360,'product_masterlist(ifs)'!A:I,7,FALSE)</f>
        <v>45</v>
      </c>
    </row>
    <row r="1361" spans="1:11" x14ac:dyDescent="0.35">
      <c r="A1361" t="s">
        <v>1646</v>
      </c>
      <c r="B1361" t="s">
        <v>183</v>
      </c>
      <c r="C1361" t="s">
        <v>90</v>
      </c>
      <c r="D1361">
        <v>21</v>
      </c>
      <c r="E1361" t="s">
        <v>37</v>
      </c>
      <c r="F1361" t="s">
        <v>23</v>
      </c>
      <c r="G1361" t="s">
        <v>120</v>
      </c>
      <c r="H1361">
        <v>30</v>
      </c>
      <c r="I1361" t="s">
        <v>14</v>
      </c>
      <c r="J1361" t="str">
        <f>_xlfn.XLOOKUP(C1361,'product_masterlist(ifs)'!A:A,'product_masterlist(ifs)'!C:C,"N/A",0)</f>
        <v>Frames</v>
      </c>
      <c r="K1361">
        <f>VLOOKUP(C1361,'product_masterlist(ifs)'!A:I,7,FALSE)</f>
        <v>180</v>
      </c>
    </row>
    <row r="1362" spans="1:11" x14ac:dyDescent="0.35">
      <c r="A1362" t="s">
        <v>1647</v>
      </c>
      <c r="B1362" s="1">
        <v>45839</v>
      </c>
      <c r="C1362" t="s">
        <v>42</v>
      </c>
      <c r="D1362">
        <v>20</v>
      </c>
      <c r="E1362" t="s">
        <v>22</v>
      </c>
      <c r="F1362" t="s">
        <v>23</v>
      </c>
      <c r="G1362">
        <v>500</v>
      </c>
      <c r="H1362">
        <v>21</v>
      </c>
      <c r="I1362" t="s">
        <v>14</v>
      </c>
      <c r="J1362" t="str">
        <f>_xlfn.XLOOKUP(C1362,'product_masterlist(ifs)'!A:A,'product_masterlist(ifs)'!C:C,"N/A",0)</f>
        <v>Contact Lenses</v>
      </c>
      <c r="K1362">
        <f>VLOOKUP(C1362,'product_masterlist(ifs)'!A:I,7,FALSE)</f>
        <v>120</v>
      </c>
    </row>
    <row r="1363" spans="1:11" x14ac:dyDescent="0.35">
      <c r="A1363" t="s">
        <v>1648</v>
      </c>
      <c r="B1363" t="s">
        <v>208</v>
      </c>
      <c r="C1363" t="s">
        <v>11</v>
      </c>
      <c r="D1363">
        <v>6</v>
      </c>
      <c r="E1363" t="s">
        <v>22</v>
      </c>
      <c r="F1363" t="s">
        <v>31</v>
      </c>
      <c r="G1363">
        <v>510</v>
      </c>
      <c r="H1363">
        <v>30</v>
      </c>
      <c r="I1363" t="s">
        <v>14</v>
      </c>
      <c r="J1363" t="str">
        <f>_xlfn.XLOOKUP(C1363,'product_masterlist(ifs)'!A:A,'product_masterlist(ifs)'!C:C,"N/A",0)</f>
        <v>Surgical</v>
      </c>
      <c r="K1363">
        <f>VLOOKUP(C1363,'product_masterlist(ifs)'!A:I,7,FALSE)</f>
        <v>40</v>
      </c>
    </row>
    <row r="1364" spans="1:11" x14ac:dyDescent="0.35">
      <c r="A1364" t="s">
        <v>1649</v>
      </c>
      <c r="B1364" s="1">
        <v>45850</v>
      </c>
      <c r="C1364" t="s">
        <v>90</v>
      </c>
      <c r="D1364">
        <v>22</v>
      </c>
      <c r="E1364" t="s">
        <v>37</v>
      </c>
      <c r="F1364" t="s">
        <v>23</v>
      </c>
      <c r="G1364">
        <v>1067</v>
      </c>
      <c r="H1364">
        <v>30</v>
      </c>
      <c r="I1364" t="s">
        <v>14</v>
      </c>
      <c r="J1364" t="str">
        <f>_xlfn.XLOOKUP(C1364,'product_masterlist(ifs)'!A:A,'product_masterlist(ifs)'!C:C,"N/A",0)</f>
        <v>Frames</v>
      </c>
      <c r="K1364">
        <f>VLOOKUP(C1364,'product_masterlist(ifs)'!A:I,7,FALSE)</f>
        <v>180</v>
      </c>
    </row>
    <row r="1365" spans="1:11" x14ac:dyDescent="0.35">
      <c r="A1365" t="s">
        <v>1650</v>
      </c>
      <c r="B1365" t="s">
        <v>144</v>
      </c>
      <c r="C1365" t="s">
        <v>90</v>
      </c>
      <c r="D1365">
        <v>13</v>
      </c>
      <c r="E1365" t="s">
        <v>12</v>
      </c>
      <c r="F1365" t="s">
        <v>18</v>
      </c>
      <c r="G1365" t="s">
        <v>262</v>
      </c>
      <c r="H1365">
        <v>30</v>
      </c>
      <c r="I1365" t="s">
        <v>14</v>
      </c>
      <c r="J1365" t="str">
        <f>_xlfn.XLOOKUP(C1365,'product_masterlist(ifs)'!A:A,'product_masterlist(ifs)'!C:C,"N/A",0)</f>
        <v>Frames</v>
      </c>
      <c r="K1365">
        <f>VLOOKUP(C1365,'product_masterlist(ifs)'!A:I,7,FALSE)</f>
        <v>180</v>
      </c>
    </row>
    <row r="1366" spans="1:11" x14ac:dyDescent="0.35">
      <c r="A1366" t="s">
        <v>1651</v>
      </c>
      <c r="B1366" s="1">
        <v>45665</v>
      </c>
      <c r="C1366" t="s">
        <v>53</v>
      </c>
      <c r="D1366">
        <v>24</v>
      </c>
      <c r="E1366" t="s">
        <v>22</v>
      </c>
      <c r="F1366" t="s">
        <v>23</v>
      </c>
      <c r="G1366">
        <v>102</v>
      </c>
      <c r="H1366">
        <v>7</v>
      </c>
      <c r="I1366" t="s">
        <v>28</v>
      </c>
      <c r="J1366" t="str">
        <f>_xlfn.XLOOKUP(C1366,'product_masterlist(ifs)'!A:A,'product_masterlist(ifs)'!C:C,"N/A",0)</f>
        <v>Solutions</v>
      </c>
      <c r="K1366">
        <f>VLOOKUP(C1366,'product_masterlist(ifs)'!A:I,7,FALSE)</f>
        <v>800</v>
      </c>
    </row>
    <row r="1367" spans="1:11" x14ac:dyDescent="0.35">
      <c r="A1367" t="s">
        <v>1652</v>
      </c>
      <c r="B1367" s="1">
        <v>45722</v>
      </c>
      <c r="C1367" t="s">
        <v>11</v>
      </c>
      <c r="D1367">
        <v>21</v>
      </c>
      <c r="E1367" t="s">
        <v>22</v>
      </c>
      <c r="F1367" t="s">
        <v>31</v>
      </c>
      <c r="G1367">
        <v>1785</v>
      </c>
      <c r="H1367">
        <v>30</v>
      </c>
      <c r="I1367" t="s">
        <v>14</v>
      </c>
      <c r="J1367" t="str">
        <f>_xlfn.XLOOKUP(C1367,'product_masterlist(ifs)'!A:A,'product_masterlist(ifs)'!C:C,"N/A",0)</f>
        <v>Surgical</v>
      </c>
      <c r="K1367">
        <f>VLOOKUP(C1367,'product_masterlist(ifs)'!A:I,7,FALSE)</f>
        <v>40</v>
      </c>
    </row>
    <row r="1368" spans="1:11" x14ac:dyDescent="0.35">
      <c r="A1368" t="s">
        <v>1653</v>
      </c>
      <c r="B1368" t="s">
        <v>36</v>
      </c>
      <c r="C1368" t="s">
        <v>17</v>
      </c>
      <c r="D1368">
        <v>23</v>
      </c>
      <c r="E1368" t="s">
        <v>20</v>
      </c>
      <c r="F1368" t="s">
        <v>23</v>
      </c>
      <c r="G1368">
        <v>1035</v>
      </c>
      <c r="H1368">
        <v>30</v>
      </c>
      <c r="I1368" t="s">
        <v>14</v>
      </c>
      <c r="J1368" t="str">
        <f>_xlfn.XLOOKUP(C1368,'product_masterlist(ifs)'!A:A,'product_masterlist(ifs)'!C:C,"N/A",0)</f>
        <v>Frames</v>
      </c>
      <c r="K1368">
        <f>VLOOKUP(C1368,'product_masterlist(ifs)'!A:I,7,FALSE)</f>
        <v>45</v>
      </c>
    </row>
    <row r="1369" spans="1:11" x14ac:dyDescent="0.35">
      <c r="A1369" t="s">
        <v>1654</v>
      </c>
      <c r="B1369" t="s">
        <v>1099</v>
      </c>
      <c r="C1369" t="s">
        <v>42</v>
      </c>
      <c r="D1369">
        <v>6</v>
      </c>
      <c r="E1369" t="s">
        <v>12</v>
      </c>
      <c r="F1369" t="s">
        <v>23</v>
      </c>
      <c r="G1369">
        <v>150</v>
      </c>
      <c r="H1369">
        <v>21</v>
      </c>
      <c r="I1369" t="s">
        <v>14</v>
      </c>
      <c r="J1369" t="str">
        <f>_xlfn.XLOOKUP(C1369,'product_masterlist(ifs)'!A:A,'product_masterlist(ifs)'!C:C,"N/A",0)</f>
        <v>Contact Lenses</v>
      </c>
      <c r="K1369">
        <f>VLOOKUP(C1369,'product_masterlist(ifs)'!A:I,7,FALSE)</f>
        <v>120</v>
      </c>
    </row>
    <row r="1370" spans="1:11" x14ac:dyDescent="0.35">
      <c r="A1370" t="s">
        <v>1655</v>
      </c>
      <c r="B1370" s="1">
        <v>45725</v>
      </c>
      <c r="C1370" t="s">
        <v>26</v>
      </c>
      <c r="D1370">
        <v>20</v>
      </c>
      <c r="E1370" t="s">
        <v>20</v>
      </c>
      <c r="F1370" t="s">
        <v>23</v>
      </c>
      <c r="G1370">
        <v>250</v>
      </c>
      <c r="H1370">
        <v>14</v>
      </c>
      <c r="I1370" t="s">
        <v>28</v>
      </c>
      <c r="J1370" t="str">
        <f>_xlfn.XLOOKUP(C1370,'product_masterlist(ifs)'!A:A,'product_masterlist(ifs)'!C:C,"N/A",0)</f>
        <v>Contact Lenses</v>
      </c>
      <c r="K1370">
        <f>VLOOKUP(C1370,'product_masterlist(ifs)'!A:I,7,FALSE)</f>
        <v>450</v>
      </c>
    </row>
    <row r="1371" spans="1:11" x14ac:dyDescent="0.35">
      <c r="A1371" t="s">
        <v>1656</v>
      </c>
      <c r="B1371" t="s">
        <v>708</v>
      </c>
      <c r="C1371" t="s">
        <v>33</v>
      </c>
      <c r="D1371">
        <v>16</v>
      </c>
      <c r="E1371" t="s">
        <v>20</v>
      </c>
      <c r="F1371" t="s">
        <v>18</v>
      </c>
      <c r="G1371">
        <v>2400</v>
      </c>
      <c r="H1371">
        <v>45</v>
      </c>
      <c r="I1371" t="s">
        <v>34</v>
      </c>
      <c r="J1371" t="str">
        <f>_xlfn.XLOOKUP(C1371,'product_masterlist(ifs)'!A:A,'product_masterlist(ifs)'!C:C,"N/A",0)</f>
        <v>Surgical</v>
      </c>
      <c r="K1371">
        <f>VLOOKUP(C1371,'product_masterlist(ifs)'!A:I,7,FALSE)</f>
        <v>15</v>
      </c>
    </row>
    <row r="1372" spans="1:11" x14ac:dyDescent="0.35">
      <c r="A1372" t="s">
        <v>1657</v>
      </c>
      <c r="B1372" t="s">
        <v>255</v>
      </c>
      <c r="C1372" t="s">
        <v>26</v>
      </c>
      <c r="D1372">
        <v>21</v>
      </c>
      <c r="E1372" t="s">
        <v>22</v>
      </c>
      <c r="F1372" t="s">
        <v>13</v>
      </c>
      <c r="G1372" t="s">
        <v>366</v>
      </c>
      <c r="H1372">
        <v>14</v>
      </c>
      <c r="I1372" t="s">
        <v>28</v>
      </c>
      <c r="J1372" t="str">
        <f>_xlfn.XLOOKUP(C1372,'product_masterlist(ifs)'!A:A,'product_masterlist(ifs)'!C:C,"N/A",0)</f>
        <v>Contact Lenses</v>
      </c>
      <c r="K1372">
        <f>VLOOKUP(C1372,'product_masterlist(ifs)'!A:I,7,FALSE)</f>
        <v>450</v>
      </c>
    </row>
    <row r="1373" spans="1:11" x14ac:dyDescent="0.35">
      <c r="A1373" t="s">
        <v>1658</v>
      </c>
      <c r="B1373" t="s">
        <v>115</v>
      </c>
      <c r="C1373" t="s">
        <v>11</v>
      </c>
      <c r="D1373">
        <v>16</v>
      </c>
      <c r="E1373" t="s">
        <v>12</v>
      </c>
      <c r="F1373" t="s">
        <v>13</v>
      </c>
      <c r="G1373">
        <v>1360</v>
      </c>
      <c r="H1373">
        <v>30</v>
      </c>
      <c r="I1373" t="s">
        <v>14</v>
      </c>
      <c r="J1373" t="str">
        <f>_xlfn.XLOOKUP(C1373,'product_masterlist(ifs)'!A:A,'product_masterlist(ifs)'!C:C,"N/A",0)</f>
        <v>Surgical</v>
      </c>
      <c r="K1373">
        <f>VLOOKUP(C1373,'product_masterlist(ifs)'!A:I,7,FALSE)</f>
        <v>40</v>
      </c>
    </row>
    <row r="1374" spans="1:11" x14ac:dyDescent="0.35">
      <c r="A1374" t="s">
        <v>1659</v>
      </c>
      <c r="B1374" t="s">
        <v>565</v>
      </c>
      <c r="C1374" t="s">
        <v>42</v>
      </c>
      <c r="D1374">
        <v>12</v>
      </c>
      <c r="E1374" t="s">
        <v>37</v>
      </c>
      <c r="F1374" t="s">
        <v>13</v>
      </c>
      <c r="G1374">
        <v>300</v>
      </c>
      <c r="H1374">
        <v>21</v>
      </c>
      <c r="I1374" t="s">
        <v>14</v>
      </c>
      <c r="J1374" t="str">
        <f>_xlfn.XLOOKUP(C1374,'product_masterlist(ifs)'!A:A,'product_masterlist(ifs)'!C:C,"N/A",0)</f>
        <v>Contact Lenses</v>
      </c>
      <c r="K1374">
        <f>VLOOKUP(C1374,'product_masterlist(ifs)'!A:I,7,FALSE)</f>
        <v>120</v>
      </c>
    </row>
    <row r="1375" spans="1:11" x14ac:dyDescent="0.35">
      <c r="A1375" t="s">
        <v>1660</v>
      </c>
      <c r="B1375" t="s">
        <v>808</v>
      </c>
      <c r="C1375" t="s">
        <v>90</v>
      </c>
      <c r="D1375">
        <v>23</v>
      </c>
      <c r="E1375" t="s">
        <v>22</v>
      </c>
      <c r="F1375" t="s">
        <v>18</v>
      </c>
      <c r="G1375" t="s">
        <v>123</v>
      </c>
      <c r="H1375">
        <v>30</v>
      </c>
      <c r="I1375" t="s">
        <v>14</v>
      </c>
      <c r="J1375" t="str">
        <f>_xlfn.XLOOKUP(C1375,'product_masterlist(ifs)'!A:A,'product_masterlist(ifs)'!C:C,"N/A",0)</f>
        <v>Frames</v>
      </c>
      <c r="K1375">
        <f>VLOOKUP(C1375,'product_masterlist(ifs)'!A:I,7,FALSE)</f>
        <v>180</v>
      </c>
    </row>
    <row r="1376" spans="1:11" x14ac:dyDescent="0.35">
      <c r="A1376" t="s">
        <v>1661</v>
      </c>
      <c r="B1376" t="s">
        <v>119</v>
      </c>
      <c r="C1376" t="s">
        <v>11</v>
      </c>
      <c r="D1376">
        <v>7</v>
      </c>
      <c r="E1376" t="s">
        <v>22</v>
      </c>
      <c r="F1376" t="s">
        <v>23</v>
      </c>
      <c r="G1376">
        <v>595</v>
      </c>
      <c r="H1376">
        <v>30</v>
      </c>
      <c r="I1376" t="s">
        <v>14</v>
      </c>
      <c r="J1376" t="str">
        <f>_xlfn.XLOOKUP(C1376,'product_masterlist(ifs)'!A:A,'product_masterlist(ifs)'!C:C,"N/A",0)</f>
        <v>Surgical</v>
      </c>
      <c r="K1376">
        <f>VLOOKUP(C1376,'product_masterlist(ifs)'!A:I,7,FALSE)</f>
        <v>40</v>
      </c>
    </row>
    <row r="1377" spans="1:11" x14ac:dyDescent="0.35">
      <c r="A1377" t="s">
        <v>1662</v>
      </c>
      <c r="B1377" t="s">
        <v>1663</v>
      </c>
      <c r="C1377" t="s">
        <v>17</v>
      </c>
      <c r="D1377">
        <v>25</v>
      </c>
      <c r="E1377" t="s">
        <v>20</v>
      </c>
      <c r="F1377" t="s">
        <v>18</v>
      </c>
      <c r="G1377">
        <v>1125</v>
      </c>
      <c r="H1377">
        <v>30</v>
      </c>
      <c r="I1377" t="s">
        <v>14</v>
      </c>
      <c r="J1377" t="str">
        <f>_xlfn.XLOOKUP(C1377,'product_masterlist(ifs)'!A:A,'product_masterlist(ifs)'!C:C,"N/A",0)</f>
        <v>Frames</v>
      </c>
      <c r="K1377">
        <f>VLOOKUP(C1377,'product_masterlist(ifs)'!A:I,7,FALSE)</f>
        <v>45</v>
      </c>
    </row>
    <row r="1378" spans="1:11" x14ac:dyDescent="0.35">
      <c r="A1378" t="s">
        <v>1664</v>
      </c>
      <c r="B1378" t="s">
        <v>475</v>
      </c>
      <c r="C1378" t="s">
        <v>11</v>
      </c>
      <c r="D1378">
        <v>9</v>
      </c>
      <c r="E1378" t="s">
        <v>37</v>
      </c>
      <c r="F1378" t="s">
        <v>23</v>
      </c>
      <c r="G1378">
        <v>765</v>
      </c>
      <c r="H1378">
        <v>30</v>
      </c>
      <c r="I1378" t="s">
        <v>14</v>
      </c>
      <c r="J1378" t="str">
        <f>_xlfn.XLOOKUP(C1378,'product_masterlist(ifs)'!A:A,'product_masterlist(ifs)'!C:C,"N/A",0)</f>
        <v>Surgical</v>
      </c>
      <c r="K1378">
        <f>VLOOKUP(C1378,'product_masterlist(ifs)'!A:I,7,FALSE)</f>
        <v>40</v>
      </c>
    </row>
    <row r="1379" spans="1:11" x14ac:dyDescent="0.35">
      <c r="A1379" t="s">
        <v>1665</v>
      </c>
      <c r="B1379" t="s">
        <v>763</v>
      </c>
      <c r="C1379" t="s">
        <v>26</v>
      </c>
      <c r="D1379">
        <v>16</v>
      </c>
      <c r="E1379" t="s">
        <v>22</v>
      </c>
      <c r="F1379" t="s">
        <v>13</v>
      </c>
      <c r="G1379">
        <v>200</v>
      </c>
      <c r="H1379">
        <v>14</v>
      </c>
      <c r="I1379" t="s">
        <v>28</v>
      </c>
      <c r="J1379" t="str">
        <f>_xlfn.XLOOKUP(C1379,'product_masterlist(ifs)'!A:A,'product_masterlist(ifs)'!C:C,"N/A",0)</f>
        <v>Contact Lenses</v>
      </c>
      <c r="K1379">
        <f>VLOOKUP(C1379,'product_masterlist(ifs)'!A:I,7,FALSE)</f>
        <v>450</v>
      </c>
    </row>
    <row r="1380" spans="1:11" x14ac:dyDescent="0.35">
      <c r="A1380" t="s">
        <v>1666</v>
      </c>
      <c r="B1380" t="s">
        <v>1006</v>
      </c>
      <c r="C1380" t="s">
        <v>26</v>
      </c>
      <c r="D1380">
        <v>24</v>
      </c>
      <c r="E1380" t="s">
        <v>20</v>
      </c>
      <c r="F1380" t="s">
        <v>23</v>
      </c>
      <c r="G1380">
        <v>300</v>
      </c>
      <c r="H1380">
        <v>14</v>
      </c>
      <c r="I1380" t="s">
        <v>28</v>
      </c>
      <c r="J1380" t="str">
        <f>_xlfn.XLOOKUP(C1380,'product_masterlist(ifs)'!A:A,'product_masterlist(ifs)'!C:C,"N/A",0)</f>
        <v>Contact Lenses</v>
      </c>
      <c r="K1380">
        <f>VLOOKUP(C1380,'product_masterlist(ifs)'!A:I,7,FALSE)</f>
        <v>450</v>
      </c>
    </row>
    <row r="1381" spans="1:11" x14ac:dyDescent="0.35">
      <c r="A1381" t="s">
        <v>1667</v>
      </c>
      <c r="B1381" t="s">
        <v>660</v>
      </c>
      <c r="C1381" t="s">
        <v>26</v>
      </c>
      <c r="D1381">
        <v>1</v>
      </c>
      <c r="E1381" t="s">
        <v>22</v>
      </c>
      <c r="F1381" t="s">
        <v>18</v>
      </c>
      <c r="G1381" t="s">
        <v>101</v>
      </c>
      <c r="H1381">
        <v>14</v>
      </c>
      <c r="I1381" t="s">
        <v>28</v>
      </c>
      <c r="J1381" t="str">
        <f>_xlfn.XLOOKUP(C1381,'product_masterlist(ifs)'!A:A,'product_masterlist(ifs)'!C:C,"N/A",0)</f>
        <v>Contact Lenses</v>
      </c>
      <c r="K1381">
        <f>VLOOKUP(C1381,'product_masterlist(ifs)'!A:I,7,FALSE)</f>
        <v>450</v>
      </c>
    </row>
    <row r="1382" spans="1:11" x14ac:dyDescent="0.35">
      <c r="A1382" t="s">
        <v>1668</v>
      </c>
      <c r="B1382" t="s">
        <v>1229</v>
      </c>
      <c r="C1382" t="s">
        <v>42</v>
      </c>
      <c r="D1382">
        <v>20</v>
      </c>
      <c r="E1382" t="s">
        <v>20</v>
      </c>
      <c r="F1382" t="s">
        <v>23</v>
      </c>
      <c r="G1382">
        <v>500</v>
      </c>
      <c r="H1382">
        <v>21</v>
      </c>
      <c r="I1382" t="s">
        <v>14</v>
      </c>
      <c r="J1382" t="str">
        <f>_xlfn.XLOOKUP(C1382,'product_masterlist(ifs)'!A:A,'product_masterlist(ifs)'!C:C,"N/A",0)</f>
        <v>Contact Lenses</v>
      </c>
      <c r="K1382">
        <f>VLOOKUP(C1382,'product_masterlist(ifs)'!A:I,7,FALSE)</f>
        <v>120</v>
      </c>
    </row>
    <row r="1383" spans="1:11" x14ac:dyDescent="0.35">
      <c r="A1383" t="s">
        <v>1669</v>
      </c>
      <c r="B1383" t="s">
        <v>1103</v>
      </c>
      <c r="C1383" t="s">
        <v>11</v>
      </c>
      <c r="D1383">
        <v>15</v>
      </c>
      <c r="E1383" t="s">
        <v>22</v>
      </c>
      <c r="F1383" t="s">
        <v>23</v>
      </c>
      <c r="G1383">
        <v>1275</v>
      </c>
      <c r="H1383">
        <v>30</v>
      </c>
      <c r="I1383" t="s">
        <v>14</v>
      </c>
      <c r="J1383" t="str">
        <f>_xlfn.XLOOKUP(C1383,'product_masterlist(ifs)'!A:A,'product_masterlist(ifs)'!C:C,"N/A",0)</f>
        <v>Surgical</v>
      </c>
      <c r="K1383">
        <f>VLOOKUP(C1383,'product_masterlist(ifs)'!A:I,7,FALSE)</f>
        <v>40</v>
      </c>
    </row>
    <row r="1384" spans="1:11" x14ac:dyDescent="0.35">
      <c r="A1384" t="s">
        <v>1670</v>
      </c>
      <c r="B1384" s="1">
        <v>45753</v>
      </c>
      <c r="C1384" t="s">
        <v>53</v>
      </c>
      <c r="D1384">
        <v>15</v>
      </c>
      <c r="E1384" t="s">
        <v>12</v>
      </c>
      <c r="F1384" t="s">
        <v>31</v>
      </c>
      <c r="G1384" t="s">
        <v>93</v>
      </c>
      <c r="H1384">
        <v>7</v>
      </c>
      <c r="I1384" t="s">
        <v>28</v>
      </c>
      <c r="J1384" t="str">
        <f>_xlfn.XLOOKUP(C1384,'product_masterlist(ifs)'!A:A,'product_masterlist(ifs)'!C:C,"N/A",0)</f>
        <v>Solutions</v>
      </c>
      <c r="K1384">
        <f>VLOOKUP(C1384,'product_masterlist(ifs)'!A:I,7,FALSE)</f>
        <v>800</v>
      </c>
    </row>
    <row r="1385" spans="1:11" x14ac:dyDescent="0.35">
      <c r="A1385" t="s">
        <v>1671</v>
      </c>
      <c r="B1385" t="s">
        <v>506</v>
      </c>
      <c r="C1385" t="s">
        <v>53</v>
      </c>
      <c r="D1385">
        <v>13</v>
      </c>
      <c r="E1385" t="s">
        <v>20</v>
      </c>
      <c r="F1385" t="s">
        <v>13</v>
      </c>
      <c r="G1385" t="s">
        <v>188</v>
      </c>
      <c r="H1385">
        <v>7</v>
      </c>
      <c r="I1385" t="s">
        <v>28</v>
      </c>
      <c r="J1385" t="str">
        <f>_xlfn.XLOOKUP(C1385,'product_masterlist(ifs)'!A:A,'product_masterlist(ifs)'!C:C,"N/A",0)</f>
        <v>Solutions</v>
      </c>
      <c r="K1385">
        <f>VLOOKUP(C1385,'product_masterlist(ifs)'!A:I,7,FALSE)</f>
        <v>800</v>
      </c>
    </row>
    <row r="1386" spans="1:11" x14ac:dyDescent="0.35">
      <c r="A1386" t="s">
        <v>1672</v>
      </c>
      <c r="B1386" s="1">
        <v>45842</v>
      </c>
      <c r="C1386" t="s">
        <v>11</v>
      </c>
      <c r="D1386">
        <v>25</v>
      </c>
      <c r="E1386" t="s">
        <v>37</v>
      </c>
      <c r="F1386" t="s">
        <v>23</v>
      </c>
      <c r="G1386">
        <v>2125</v>
      </c>
      <c r="H1386">
        <v>30</v>
      </c>
      <c r="I1386" t="s">
        <v>14</v>
      </c>
      <c r="J1386" t="str">
        <f>_xlfn.XLOOKUP(C1386,'product_masterlist(ifs)'!A:A,'product_masterlist(ifs)'!C:C,"N/A",0)</f>
        <v>Surgical</v>
      </c>
      <c r="K1386">
        <f>VLOOKUP(C1386,'product_masterlist(ifs)'!A:I,7,FALSE)</f>
        <v>40</v>
      </c>
    </row>
    <row r="1387" spans="1:11" x14ac:dyDescent="0.35">
      <c r="A1387" t="s">
        <v>1673</v>
      </c>
      <c r="B1387" t="s">
        <v>952</v>
      </c>
      <c r="C1387" t="s">
        <v>33</v>
      </c>
      <c r="D1387">
        <v>19</v>
      </c>
      <c r="E1387" t="s">
        <v>20</v>
      </c>
      <c r="F1387" t="s">
        <v>31</v>
      </c>
      <c r="G1387">
        <v>2850</v>
      </c>
      <c r="H1387">
        <v>45</v>
      </c>
      <c r="I1387" t="s">
        <v>34</v>
      </c>
      <c r="J1387" t="str">
        <f>_xlfn.XLOOKUP(C1387,'product_masterlist(ifs)'!A:A,'product_masterlist(ifs)'!C:C,"N/A",0)</f>
        <v>Surgical</v>
      </c>
      <c r="K1387">
        <f>VLOOKUP(C1387,'product_masterlist(ifs)'!A:I,7,FALSE)</f>
        <v>15</v>
      </c>
    </row>
    <row r="1388" spans="1:11" x14ac:dyDescent="0.35">
      <c r="A1388" t="s">
        <v>1674</v>
      </c>
      <c r="B1388" t="s">
        <v>271</v>
      </c>
      <c r="C1388" t="s">
        <v>42</v>
      </c>
      <c r="D1388">
        <v>8</v>
      </c>
      <c r="E1388" t="s">
        <v>37</v>
      </c>
      <c r="F1388" t="s">
        <v>18</v>
      </c>
      <c r="G1388">
        <v>200</v>
      </c>
      <c r="H1388">
        <v>21</v>
      </c>
      <c r="I1388" t="s">
        <v>14</v>
      </c>
      <c r="J1388" t="str">
        <f>_xlfn.XLOOKUP(C1388,'product_masterlist(ifs)'!A:A,'product_masterlist(ifs)'!C:C,"N/A",0)</f>
        <v>Contact Lenses</v>
      </c>
      <c r="K1388">
        <f>VLOOKUP(C1388,'product_masterlist(ifs)'!A:I,7,FALSE)</f>
        <v>120</v>
      </c>
    </row>
    <row r="1389" spans="1:11" x14ac:dyDescent="0.35">
      <c r="A1389" t="s">
        <v>1675</v>
      </c>
      <c r="B1389" s="1">
        <v>45819</v>
      </c>
      <c r="C1389" t="s">
        <v>11</v>
      </c>
      <c r="D1389">
        <v>9</v>
      </c>
      <c r="E1389" t="s">
        <v>12</v>
      </c>
      <c r="F1389" t="s">
        <v>13</v>
      </c>
      <c r="G1389">
        <v>765</v>
      </c>
      <c r="H1389">
        <v>30</v>
      </c>
      <c r="I1389" t="s">
        <v>14</v>
      </c>
      <c r="J1389" t="str">
        <f>_xlfn.XLOOKUP(C1389,'product_masterlist(ifs)'!A:A,'product_masterlist(ifs)'!C:C,"N/A",0)</f>
        <v>Surgical</v>
      </c>
      <c r="K1389">
        <f>VLOOKUP(C1389,'product_masterlist(ifs)'!A:I,7,FALSE)</f>
        <v>40</v>
      </c>
    </row>
    <row r="1390" spans="1:11" x14ac:dyDescent="0.35">
      <c r="A1390" t="s">
        <v>1676</v>
      </c>
      <c r="B1390" s="1">
        <v>45966</v>
      </c>
      <c r="C1390" t="s">
        <v>11</v>
      </c>
      <c r="D1390">
        <v>9</v>
      </c>
      <c r="E1390" t="s">
        <v>20</v>
      </c>
      <c r="F1390" t="s">
        <v>18</v>
      </c>
      <c r="G1390">
        <v>765</v>
      </c>
      <c r="H1390">
        <v>30</v>
      </c>
      <c r="I1390" t="s">
        <v>14</v>
      </c>
      <c r="J1390" t="str">
        <f>_xlfn.XLOOKUP(C1390,'product_masterlist(ifs)'!A:A,'product_masterlist(ifs)'!C:C,"N/A",0)</f>
        <v>Surgical</v>
      </c>
      <c r="K1390">
        <f>VLOOKUP(C1390,'product_masterlist(ifs)'!A:I,7,FALSE)</f>
        <v>40</v>
      </c>
    </row>
    <row r="1391" spans="1:11" x14ac:dyDescent="0.35">
      <c r="A1391" t="s">
        <v>1677</v>
      </c>
      <c r="B1391" s="1">
        <v>45787</v>
      </c>
      <c r="C1391" t="s">
        <v>26</v>
      </c>
      <c r="D1391">
        <v>2</v>
      </c>
      <c r="E1391" t="s">
        <v>22</v>
      </c>
      <c r="F1391" t="s">
        <v>13</v>
      </c>
      <c r="G1391">
        <v>25</v>
      </c>
      <c r="H1391">
        <v>14</v>
      </c>
      <c r="I1391" t="s">
        <v>28</v>
      </c>
      <c r="J1391" t="str">
        <f>_xlfn.XLOOKUP(C1391,'product_masterlist(ifs)'!A:A,'product_masterlist(ifs)'!C:C,"N/A",0)</f>
        <v>Contact Lenses</v>
      </c>
      <c r="K1391">
        <f>VLOOKUP(C1391,'product_masterlist(ifs)'!A:I,7,FALSE)</f>
        <v>450</v>
      </c>
    </row>
    <row r="1392" spans="1:11" x14ac:dyDescent="0.35">
      <c r="A1392" t="s">
        <v>1678</v>
      </c>
      <c r="B1392" s="1">
        <v>45812</v>
      </c>
      <c r="C1392" t="s">
        <v>26</v>
      </c>
      <c r="D1392">
        <v>1</v>
      </c>
      <c r="E1392" t="s">
        <v>12</v>
      </c>
      <c r="F1392" t="s">
        <v>13</v>
      </c>
      <c r="G1392" t="s">
        <v>101</v>
      </c>
      <c r="H1392">
        <v>14</v>
      </c>
      <c r="I1392" t="s">
        <v>28</v>
      </c>
      <c r="J1392" t="str">
        <f>_xlfn.XLOOKUP(C1392,'product_masterlist(ifs)'!A:A,'product_masterlist(ifs)'!C:C,"N/A",0)</f>
        <v>Contact Lenses</v>
      </c>
      <c r="K1392">
        <f>VLOOKUP(C1392,'product_masterlist(ifs)'!A:I,7,FALSE)</f>
        <v>450</v>
      </c>
    </row>
    <row r="1393" spans="1:11" x14ac:dyDescent="0.35">
      <c r="A1393" t="s">
        <v>1679</v>
      </c>
      <c r="B1393" s="1">
        <v>45783</v>
      </c>
      <c r="C1393" t="s">
        <v>90</v>
      </c>
      <c r="D1393">
        <v>18</v>
      </c>
      <c r="E1393" t="s">
        <v>22</v>
      </c>
      <c r="F1393" t="s">
        <v>23</v>
      </c>
      <c r="G1393">
        <v>873</v>
      </c>
      <c r="H1393">
        <v>30</v>
      </c>
      <c r="I1393" t="s">
        <v>14</v>
      </c>
      <c r="J1393" t="str">
        <f>_xlfn.XLOOKUP(C1393,'product_masterlist(ifs)'!A:A,'product_masterlist(ifs)'!C:C,"N/A",0)</f>
        <v>Frames</v>
      </c>
      <c r="K1393">
        <f>VLOOKUP(C1393,'product_masterlist(ifs)'!A:I,7,FALSE)</f>
        <v>180</v>
      </c>
    </row>
    <row r="1394" spans="1:11" x14ac:dyDescent="0.35">
      <c r="A1394" t="s">
        <v>1680</v>
      </c>
      <c r="B1394" t="s">
        <v>1367</v>
      </c>
      <c r="C1394" t="s">
        <v>26</v>
      </c>
      <c r="D1394">
        <v>4</v>
      </c>
      <c r="E1394" t="s">
        <v>20</v>
      </c>
      <c r="F1394" t="s">
        <v>31</v>
      </c>
      <c r="G1394">
        <v>50</v>
      </c>
      <c r="H1394">
        <v>14</v>
      </c>
      <c r="I1394" t="s">
        <v>28</v>
      </c>
      <c r="J1394" t="str">
        <f>_xlfn.XLOOKUP(C1394,'product_masterlist(ifs)'!A:A,'product_masterlist(ifs)'!C:C,"N/A",0)</f>
        <v>Contact Lenses</v>
      </c>
      <c r="K1394">
        <f>VLOOKUP(C1394,'product_masterlist(ifs)'!A:I,7,FALSE)</f>
        <v>450</v>
      </c>
    </row>
    <row r="1395" spans="1:11" x14ac:dyDescent="0.35">
      <c r="A1395" t="s">
        <v>1681</v>
      </c>
      <c r="B1395" s="1">
        <v>45964</v>
      </c>
      <c r="C1395" t="s">
        <v>11</v>
      </c>
      <c r="D1395">
        <v>20</v>
      </c>
      <c r="E1395" t="s">
        <v>37</v>
      </c>
      <c r="F1395" t="s">
        <v>18</v>
      </c>
      <c r="G1395">
        <v>1700</v>
      </c>
      <c r="H1395">
        <v>30</v>
      </c>
      <c r="I1395" t="s">
        <v>14</v>
      </c>
      <c r="J1395" t="str">
        <f>_xlfn.XLOOKUP(C1395,'product_masterlist(ifs)'!A:A,'product_masterlist(ifs)'!C:C,"N/A",0)</f>
        <v>Surgical</v>
      </c>
      <c r="K1395">
        <f>VLOOKUP(C1395,'product_masterlist(ifs)'!A:I,7,FALSE)</f>
        <v>40</v>
      </c>
    </row>
    <row r="1396" spans="1:11" x14ac:dyDescent="0.35">
      <c r="A1396" t="s">
        <v>1682</v>
      </c>
      <c r="B1396" t="s">
        <v>550</v>
      </c>
      <c r="C1396" t="s">
        <v>11</v>
      </c>
      <c r="D1396">
        <v>8</v>
      </c>
      <c r="E1396" t="s">
        <v>22</v>
      </c>
      <c r="F1396" t="s">
        <v>18</v>
      </c>
      <c r="G1396">
        <v>680</v>
      </c>
      <c r="H1396">
        <v>30</v>
      </c>
      <c r="I1396" t="s">
        <v>14</v>
      </c>
      <c r="J1396" t="str">
        <f>_xlfn.XLOOKUP(C1396,'product_masterlist(ifs)'!A:A,'product_masterlist(ifs)'!C:C,"N/A",0)</f>
        <v>Surgical</v>
      </c>
      <c r="K1396">
        <f>VLOOKUP(C1396,'product_masterlist(ifs)'!A:I,7,FALSE)</f>
        <v>40</v>
      </c>
    </row>
    <row r="1397" spans="1:11" x14ac:dyDescent="0.35">
      <c r="A1397" t="s">
        <v>1683</v>
      </c>
      <c r="B1397" t="s">
        <v>199</v>
      </c>
      <c r="C1397" t="s">
        <v>53</v>
      </c>
      <c r="D1397">
        <v>17</v>
      </c>
      <c r="E1397" t="s">
        <v>22</v>
      </c>
      <c r="F1397" t="s">
        <v>23</v>
      </c>
      <c r="G1397" t="s">
        <v>698</v>
      </c>
      <c r="H1397">
        <v>7</v>
      </c>
      <c r="I1397" t="s">
        <v>28</v>
      </c>
      <c r="J1397" t="str">
        <f>_xlfn.XLOOKUP(C1397,'product_masterlist(ifs)'!A:A,'product_masterlist(ifs)'!C:C,"N/A",0)</f>
        <v>Solutions</v>
      </c>
      <c r="K1397">
        <f>VLOOKUP(C1397,'product_masterlist(ifs)'!A:I,7,FALSE)</f>
        <v>800</v>
      </c>
    </row>
    <row r="1398" spans="1:11" x14ac:dyDescent="0.35">
      <c r="A1398" t="s">
        <v>1684</v>
      </c>
      <c r="B1398" s="1">
        <v>45969</v>
      </c>
      <c r="C1398" t="s">
        <v>42</v>
      </c>
      <c r="D1398">
        <v>17</v>
      </c>
      <c r="E1398" t="s">
        <v>20</v>
      </c>
      <c r="F1398" t="s">
        <v>31</v>
      </c>
      <c r="G1398">
        <v>425</v>
      </c>
      <c r="H1398">
        <v>21</v>
      </c>
      <c r="I1398" t="s">
        <v>14</v>
      </c>
      <c r="J1398" t="str">
        <f>_xlfn.XLOOKUP(C1398,'product_masterlist(ifs)'!A:A,'product_masterlist(ifs)'!C:C,"N/A",0)</f>
        <v>Contact Lenses</v>
      </c>
      <c r="K1398">
        <f>VLOOKUP(C1398,'product_masterlist(ifs)'!A:I,7,FALSE)</f>
        <v>120</v>
      </c>
    </row>
    <row r="1399" spans="1:11" x14ac:dyDescent="0.35">
      <c r="A1399" t="s">
        <v>1685</v>
      </c>
      <c r="B1399" s="1">
        <v>45937</v>
      </c>
      <c r="C1399" t="s">
        <v>53</v>
      </c>
      <c r="D1399">
        <v>10</v>
      </c>
      <c r="E1399" t="s">
        <v>12</v>
      </c>
      <c r="F1399" t="s">
        <v>31</v>
      </c>
      <c r="G1399" t="s">
        <v>95</v>
      </c>
      <c r="H1399">
        <v>7</v>
      </c>
      <c r="I1399" t="s">
        <v>28</v>
      </c>
      <c r="J1399" t="str">
        <f>_xlfn.XLOOKUP(C1399,'product_masterlist(ifs)'!A:A,'product_masterlist(ifs)'!C:C,"N/A",0)</f>
        <v>Solutions</v>
      </c>
      <c r="K1399">
        <f>VLOOKUP(C1399,'product_masterlist(ifs)'!A:I,7,FALSE)</f>
        <v>800</v>
      </c>
    </row>
    <row r="1400" spans="1:11" x14ac:dyDescent="0.35">
      <c r="A1400" t="s">
        <v>1686</v>
      </c>
      <c r="B1400" s="1">
        <v>45815</v>
      </c>
      <c r="C1400" t="s">
        <v>26</v>
      </c>
      <c r="D1400">
        <v>7</v>
      </c>
      <c r="E1400" t="s">
        <v>22</v>
      </c>
      <c r="F1400" t="s">
        <v>31</v>
      </c>
      <c r="G1400" t="s">
        <v>27</v>
      </c>
      <c r="H1400">
        <v>14</v>
      </c>
      <c r="I1400" t="s">
        <v>28</v>
      </c>
      <c r="J1400" t="str">
        <f>_xlfn.XLOOKUP(C1400,'product_masterlist(ifs)'!A:A,'product_masterlist(ifs)'!C:C,"N/A",0)</f>
        <v>Contact Lenses</v>
      </c>
      <c r="K1400">
        <f>VLOOKUP(C1400,'product_masterlist(ifs)'!A:I,7,FALSE)</f>
        <v>450</v>
      </c>
    </row>
    <row r="1401" spans="1:11" x14ac:dyDescent="0.35">
      <c r="A1401" t="s">
        <v>1687</v>
      </c>
      <c r="B1401" t="s">
        <v>446</v>
      </c>
      <c r="C1401" t="s">
        <v>42</v>
      </c>
      <c r="D1401">
        <v>6</v>
      </c>
      <c r="E1401" t="s">
        <v>37</v>
      </c>
      <c r="F1401" t="s">
        <v>13</v>
      </c>
      <c r="G1401">
        <v>150</v>
      </c>
      <c r="H1401">
        <v>21</v>
      </c>
      <c r="I1401" t="s">
        <v>14</v>
      </c>
      <c r="J1401" t="str">
        <f>_xlfn.XLOOKUP(C1401,'product_masterlist(ifs)'!A:A,'product_masterlist(ifs)'!C:C,"N/A",0)</f>
        <v>Contact Lenses</v>
      </c>
      <c r="K1401">
        <f>VLOOKUP(C1401,'product_masterlist(ifs)'!A:I,7,FALSE)</f>
        <v>120</v>
      </c>
    </row>
    <row r="1402" spans="1:11" x14ac:dyDescent="0.35">
      <c r="A1402" t="s">
        <v>1688</v>
      </c>
      <c r="B1402" t="s">
        <v>808</v>
      </c>
      <c r="C1402" t="s">
        <v>26</v>
      </c>
      <c r="D1402">
        <v>23</v>
      </c>
      <c r="E1402" t="s">
        <v>22</v>
      </c>
      <c r="F1402" t="s">
        <v>13</v>
      </c>
      <c r="G1402" t="s">
        <v>162</v>
      </c>
      <c r="H1402">
        <v>14</v>
      </c>
      <c r="I1402" t="s">
        <v>28</v>
      </c>
      <c r="J1402" t="str">
        <f>_xlfn.XLOOKUP(C1402,'product_masterlist(ifs)'!A:A,'product_masterlist(ifs)'!C:C,"N/A",0)</f>
        <v>Contact Lenses</v>
      </c>
      <c r="K1402">
        <f>VLOOKUP(C1402,'product_masterlist(ifs)'!A:I,7,FALSE)</f>
        <v>450</v>
      </c>
    </row>
    <row r="1403" spans="1:11" x14ac:dyDescent="0.35">
      <c r="A1403" t="s">
        <v>1689</v>
      </c>
      <c r="B1403" t="s">
        <v>89</v>
      </c>
      <c r="C1403" t="s">
        <v>26</v>
      </c>
      <c r="D1403">
        <v>22</v>
      </c>
      <c r="E1403" t="s">
        <v>37</v>
      </c>
      <c r="F1403" t="s">
        <v>13</v>
      </c>
      <c r="G1403">
        <v>275</v>
      </c>
      <c r="H1403">
        <v>14</v>
      </c>
      <c r="I1403" t="s">
        <v>28</v>
      </c>
      <c r="J1403" t="str">
        <f>_xlfn.XLOOKUP(C1403,'product_masterlist(ifs)'!A:A,'product_masterlist(ifs)'!C:C,"N/A",0)</f>
        <v>Contact Lenses</v>
      </c>
      <c r="K1403">
        <f>VLOOKUP(C1403,'product_masterlist(ifs)'!A:I,7,FALSE)</f>
        <v>450</v>
      </c>
    </row>
    <row r="1404" spans="1:11" x14ac:dyDescent="0.35">
      <c r="A1404" t="s">
        <v>1690</v>
      </c>
      <c r="B1404" t="s">
        <v>196</v>
      </c>
      <c r="C1404" t="s">
        <v>33</v>
      </c>
      <c r="D1404">
        <v>24</v>
      </c>
      <c r="E1404" t="s">
        <v>37</v>
      </c>
      <c r="F1404" t="s">
        <v>31</v>
      </c>
      <c r="G1404">
        <v>3600</v>
      </c>
      <c r="H1404">
        <v>45</v>
      </c>
      <c r="I1404" t="s">
        <v>34</v>
      </c>
      <c r="J1404" t="str">
        <f>_xlfn.XLOOKUP(C1404,'product_masterlist(ifs)'!A:A,'product_masterlist(ifs)'!C:C,"N/A",0)</f>
        <v>Surgical</v>
      </c>
      <c r="K1404">
        <f>VLOOKUP(C1404,'product_masterlist(ifs)'!A:I,7,FALSE)</f>
        <v>15</v>
      </c>
    </row>
    <row r="1405" spans="1:11" x14ac:dyDescent="0.35">
      <c r="A1405" t="s">
        <v>1691</v>
      </c>
      <c r="B1405" s="1">
        <v>45993</v>
      </c>
      <c r="C1405" t="s">
        <v>33</v>
      </c>
      <c r="D1405">
        <v>18</v>
      </c>
      <c r="E1405" t="s">
        <v>37</v>
      </c>
      <c r="F1405" t="s">
        <v>18</v>
      </c>
      <c r="G1405">
        <v>2700</v>
      </c>
      <c r="H1405">
        <v>45</v>
      </c>
      <c r="I1405" t="s">
        <v>34</v>
      </c>
      <c r="J1405" t="str">
        <f>_xlfn.XLOOKUP(C1405,'product_masterlist(ifs)'!A:A,'product_masterlist(ifs)'!C:C,"N/A",0)</f>
        <v>Surgical</v>
      </c>
      <c r="K1405">
        <f>VLOOKUP(C1405,'product_masterlist(ifs)'!A:I,7,FALSE)</f>
        <v>15</v>
      </c>
    </row>
    <row r="1406" spans="1:11" x14ac:dyDescent="0.35">
      <c r="A1406" t="s">
        <v>1692</v>
      </c>
      <c r="B1406" t="s">
        <v>575</v>
      </c>
      <c r="C1406" t="s">
        <v>26</v>
      </c>
      <c r="D1406">
        <v>10</v>
      </c>
      <c r="E1406" t="s">
        <v>37</v>
      </c>
      <c r="F1406" t="s">
        <v>18</v>
      </c>
      <c r="G1406">
        <v>125</v>
      </c>
      <c r="H1406">
        <v>14</v>
      </c>
      <c r="I1406" t="s">
        <v>28</v>
      </c>
      <c r="J1406" t="str">
        <f>_xlfn.XLOOKUP(C1406,'product_masterlist(ifs)'!A:A,'product_masterlist(ifs)'!C:C,"N/A",0)</f>
        <v>Contact Lenses</v>
      </c>
      <c r="K1406">
        <f>VLOOKUP(C1406,'product_masterlist(ifs)'!A:I,7,FALSE)</f>
        <v>450</v>
      </c>
    </row>
    <row r="1407" spans="1:11" x14ac:dyDescent="0.35">
      <c r="A1407" t="s">
        <v>1693</v>
      </c>
      <c r="B1407" s="1">
        <v>45781</v>
      </c>
      <c r="C1407" t="s">
        <v>17</v>
      </c>
      <c r="D1407">
        <v>11</v>
      </c>
      <c r="E1407" t="s">
        <v>37</v>
      </c>
      <c r="F1407" t="s">
        <v>23</v>
      </c>
      <c r="G1407">
        <v>495</v>
      </c>
      <c r="H1407">
        <v>30</v>
      </c>
      <c r="I1407" t="s">
        <v>14</v>
      </c>
      <c r="J1407" t="str">
        <f>_xlfn.XLOOKUP(C1407,'product_masterlist(ifs)'!A:A,'product_masterlist(ifs)'!C:C,"N/A",0)</f>
        <v>Frames</v>
      </c>
      <c r="K1407">
        <f>VLOOKUP(C1407,'product_masterlist(ifs)'!A:I,7,FALSE)</f>
        <v>45</v>
      </c>
    </row>
    <row r="1408" spans="1:11" x14ac:dyDescent="0.35">
      <c r="A1408" t="s">
        <v>1694</v>
      </c>
      <c r="B1408" t="s">
        <v>379</v>
      </c>
      <c r="C1408" t="s">
        <v>17</v>
      </c>
      <c r="D1408">
        <v>23</v>
      </c>
      <c r="E1408" t="s">
        <v>12</v>
      </c>
      <c r="F1408" t="s">
        <v>23</v>
      </c>
      <c r="G1408">
        <v>1035</v>
      </c>
      <c r="H1408">
        <v>30</v>
      </c>
      <c r="I1408" t="s">
        <v>14</v>
      </c>
      <c r="J1408" t="str">
        <f>_xlfn.XLOOKUP(C1408,'product_masterlist(ifs)'!A:A,'product_masterlist(ifs)'!C:C,"N/A",0)</f>
        <v>Frames</v>
      </c>
      <c r="K1408">
        <f>VLOOKUP(C1408,'product_masterlist(ifs)'!A:I,7,FALSE)</f>
        <v>45</v>
      </c>
    </row>
    <row r="1409" spans="1:11" x14ac:dyDescent="0.35">
      <c r="A1409" t="s">
        <v>1695</v>
      </c>
      <c r="B1409" s="1">
        <v>45969</v>
      </c>
      <c r="C1409" t="s">
        <v>42</v>
      </c>
      <c r="D1409">
        <v>8</v>
      </c>
      <c r="E1409" t="s">
        <v>37</v>
      </c>
      <c r="F1409" t="s">
        <v>18</v>
      </c>
      <c r="G1409">
        <v>200</v>
      </c>
      <c r="H1409">
        <v>21</v>
      </c>
      <c r="I1409" t="s">
        <v>14</v>
      </c>
      <c r="J1409" t="str">
        <f>_xlfn.XLOOKUP(C1409,'product_masterlist(ifs)'!A:A,'product_masterlist(ifs)'!C:C,"N/A",0)</f>
        <v>Contact Lenses</v>
      </c>
      <c r="K1409">
        <f>VLOOKUP(C1409,'product_masterlist(ifs)'!A:I,7,FALSE)</f>
        <v>120</v>
      </c>
    </row>
    <row r="1410" spans="1:11" x14ac:dyDescent="0.35">
      <c r="A1410" t="s">
        <v>1696</v>
      </c>
      <c r="B1410" t="s">
        <v>1697</v>
      </c>
      <c r="C1410" t="s">
        <v>33</v>
      </c>
      <c r="D1410">
        <v>17</v>
      </c>
      <c r="E1410" t="s">
        <v>37</v>
      </c>
      <c r="F1410" t="s">
        <v>31</v>
      </c>
      <c r="G1410">
        <v>2550</v>
      </c>
      <c r="H1410">
        <v>45</v>
      </c>
      <c r="I1410" t="s">
        <v>34</v>
      </c>
      <c r="J1410" t="str">
        <f>_xlfn.XLOOKUP(C1410,'product_masterlist(ifs)'!A:A,'product_masterlist(ifs)'!C:C,"N/A",0)</f>
        <v>Surgical</v>
      </c>
      <c r="K1410">
        <f>VLOOKUP(C1410,'product_masterlist(ifs)'!A:I,7,FALSE)</f>
        <v>15</v>
      </c>
    </row>
    <row r="1411" spans="1:11" x14ac:dyDescent="0.35">
      <c r="A1411" t="s">
        <v>1698</v>
      </c>
      <c r="B1411" t="s">
        <v>210</v>
      </c>
      <c r="C1411" t="s">
        <v>90</v>
      </c>
      <c r="D1411">
        <v>7</v>
      </c>
      <c r="E1411" t="s">
        <v>37</v>
      </c>
      <c r="F1411" t="s">
        <v>31</v>
      </c>
      <c r="G1411" t="s">
        <v>181</v>
      </c>
      <c r="H1411">
        <v>30</v>
      </c>
      <c r="I1411" t="s">
        <v>14</v>
      </c>
      <c r="J1411" t="str">
        <f>_xlfn.XLOOKUP(C1411,'product_masterlist(ifs)'!A:A,'product_masterlist(ifs)'!C:C,"N/A",0)</f>
        <v>Frames</v>
      </c>
      <c r="K1411">
        <f>VLOOKUP(C1411,'product_masterlist(ifs)'!A:I,7,FALSE)</f>
        <v>180</v>
      </c>
    </row>
    <row r="1412" spans="1:11" x14ac:dyDescent="0.35">
      <c r="A1412" t="s">
        <v>1699</v>
      </c>
      <c r="B1412" t="s">
        <v>763</v>
      </c>
      <c r="C1412" t="s">
        <v>42</v>
      </c>
      <c r="D1412">
        <v>2</v>
      </c>
      <c r="E1412" t="s">
        <v>37</v>
      </c>
      <c r="F1412" t="s">
        <v>23</v>
      </c>
      <c r="G1412">
        <v>50</v>
      </c>
      <c r="H1412">
        <v>21</v>
      </c>
      <c r="I1412" t="s">
        <v>14</v>
      </c>
      <c r="J1412" t="str">
        <f>_xlfn.XLOOKUP(C1412,'product_masterlist(ifs)'!A:A,'product_masterlist(ifs)'!C:C,"N/A",0)</f>
        <v>Contact Lenses</v>
      </c>
      <c r="K1412">
        <f>VLOOKUP(C1412,'product_masterlist(ifs)'!A:I,7,FALSE)</f>
        <v>120</v>
      </c>
    </row>
    <row r="1413" spans="1:11" x14ac:dyDescent="0.35">
      <c r="A1413" t="s">
        <v>1700</v>
      </c>
      <c r="B1413" t="s">
        <v>36</v>
      </c>
      <c r="C1413" t="s">
        <v>33</v>
      </c>
      <c r="D1413">
        <v>25</v>
      </c>
      <c r="E1413" t="s">
        <v>20</v>
      </c>
      <c r="F1413" t="s">
        <v>31</v>
      </c>
      <c r="G1413">
        <v>3750</v>
      </c>
      <c r="H1413">
        <v>45</v>
      </c>
      <c r="I1413" t="s">
        <v>34</v>
      </c>
      <c r="J1413" t="str">
        <f>_xlfn.XLOOKUP(C1413,'product_masterlist(ifs)'!A:A,'product_masterlist(ifs)'!C:C,"N/A",0)</f>
        <v>Surgical</v>
      </c>
      <c r="K1413">
        <f>VLOOKUP(C1413,'product_masterlist(ifs)'!A:I,7,FALSE)</f>
        <v>15</v>
      </c>
    </row>
    <row r="1414" spans="1:11" x14ac:dyDescent="0.35">
      <c r="A1414" t="s">
        <v>1701</v>
      </c>
      <c r="B1414" s="1">
        <v>45839</v>
      </c>
      <c r="C1414" t="s">
        <v>11</v>
      </c>
      <c r="D1414">
        <v>7</v>
      </c>
      <c r="E1414" t="s">
        <v>37</v>
      </c>
      <c r="F1414" t="s">
        <v>13</v>
      </c>
      <c r="G1414">
        <v>595</v>
      </c>
      <c r="H1414">
        <v>30</v>
      </c>
      <c r="I1414" t="s">
        <v>14</v>
      </c>
      <c r="J1414" t="str">
        <f>_xlfn.XLOOKUP(C1414,'product_masterlist(ifs)'!A:A,'product_masterlist(ifs)'!C:C,"N/A",0)</f>
        <v>Surgical</v>
      </c>
      <c r="K1414">
        <f>VLOOKUP(C1414,'product_masterlist(ifs)'!A:I,7,FALSE)</f>
        <v>40</v>
      </c>
    </row>
    <row r="1415" spans="1:11" x14ac:dyDescent="0.35">
      <c r="A1415" t="s">
        <v>1702</v>
      </c>
      <c r="B1415" t="s">
        <v>690</v>
      </c>
      <c r="C1415" t="s">
        <v>17</v>
      </c>
      <c r="D1415">
        <v>19</v>
      </c>
      <c r="E1415" t="s">
        <v>22</v>
      </c>
      <c r="F1415" t="s">
        <v>18</v>
      </c>
      <c r="G1415">
        <v>855</v>
      </c>
      <c r="H1415">
        <v>30</v>
      </c>
      <c r="I1415" t="s">
        <v>14</v>
      </c>
      <c r="J1415" t="str">
        <f>_xlfn.XLOOKUP(C1415,'product_masterlist(ifs)'!A:A,'product_masterlist(ifs)'!C:C,"N/A",0)</f>
        <v>Frames</v>
      </c>
      <c r="K1415">
        <f>VLOOKUP(C1415,'product_masterlist(ifs)'!A:I,7,FALSE)</f>
        <v>45</v>
      </c>
    </row>
    <row r="1416" spans="1:11" x14ac:dyDescent="0.35">
      <c r="A1416" t="s">
        <v>1703</v>
      </c>
      <c r="B1416" t="s">
        <v>553</v>
      </c>
      <c r="C1416" t="s">
        <v>26</v>
      </c>
      <c r="D1416">
        <v>11</v>
      </c>
      <c r="E1416" t="s">
        <v>22</v>
      </c>
      <c r="F1416" t="s">
        <v>31</v>
      </c>
      <c r="G1416" t="s">
        <v>47</v>
      </c>
      <c r="H1416">
        <v>14</v>
      </c>
      <c r="I1416" t="s">
        <v>28</v>
      </c>
      <c r="J1416" t="str">
        <f>_xlfn.XLOOKUP(C1416,'product_masterlist(ifs)'!A:A,'product_masterlist(ifs)'!C:C,"N/A",0)</f>
        <v>Contact Lenses</v>
      </c>
      <c r="K1416">
        <f>VLOOKUP(C1416,'product_masterlist(ifs)'!A:I,7,FALSE)</f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B96D-EB9A-45EE-9F29-D522F37D0F8E}">
  <dimension ref="A1:J8"/>
  <sheetViews>
    <sheetView workbookViewId="0">
      <selection activeCell="A6" sqref="A6:A8"/>
    </sheetView>
  </sheetViews>
  <sheetFormatPr defaultRowHeight="14.5" x14ac:dyDescent="0.35"/>
  <cols>
    <col min="1" max="1" width="9.81640625" bestFit="1" customWidth="1"/>
    <col min="2" max="2" width="17.453125" customWidth="1"/>
    <col min="3" max="3" width="13.54296875" bestFit="1" customWidth="1"/>
    <col min="4" max="4" width="12.1796875" customWidth="1"/>
    <col min="6" max="6" width="14.36328125" bestFit="1" customWidth="1"/>
    <col min="7" max="7" width="10.36328125" bestFit="1" customWidth="1"/>
    <col min="8" max="8" width="12.1796875" bestFit="1" customWidth="1"/>
    <col min="9" max="9" width="10.1796875" bestFit="1" customWidth="1"/>
    <col min="10" max="10" width="12.453125" customWidth="1"/>
  </cols>
  <sheetData>
    <row r="1" spans="1:10" x14ac:dyDescent="0.35">
      <c r="A1" t="s">
        <v>2</v>
      </c>
      <c r="B1" t="s">
        <v>1704</v>
      </c>
      <c r="C1" t="s">
        <v>1705</v>
      </c>
      <c r="D1" t="s">
        <v>1706</v>
      </c>
      <c r="E1" t="s">
        <v>1707</v>
      </c>
      <c r="F1" t="s">
        <v>1708</v>
      </c>
      <c r="G1" t="s">
        <v>1709</v>
      </c>
      <c r="H1" t="s">
        <v>1710</v>
      </c>
      <c r="I1" t="s">
        <v>1711</v>
      </c>
      <c r="J1" t="s">
        <v>1730</v>
      </c>
    </row>
    <row r="2" spans="1:10" x14ac:dyDescent="0.35">
      <c r="A2" t="s">
        <v>26</v>
      </c>
      <c r="B2" t="s">
        <v>1712</v>
      </c>
      <c r="C2" t="s">
        <v>1713</v>
      </c>
      <c r="D2" t="s">
        <v>1714</v>
      </c>
      <c r="E2" t="s">
        <v>101</v>
      </c>
      <c r="F2">
        <v>14</v>
      </c>
      <c r="G2">
        <v>450</v>
      </c>
      <c r="H2">
        <v>500</v>
      </c>
      <c r="I2">
        <v>5625</v>
      </c>
      <c r="J2" t="str" cm="1">
        <f t="array" ref="J2">_xlfn.IFS(G2&lt;H2,"Reorder",G2&gt;2*H2,"Healthy",G2&gt;=H2,"Low Stock")</f>
        <v>Reorder</v>
      </c>
    </row>
    <row r="3" spans="1:10" x14ac:dyDescent="0.35">
      <c r="A3" t="s">
        <v>42</v>
      </c>
      <c r="B3" t="s">
        <v>1715</v>
      </c>
      <c r="C3" t="s">
        <v>1713</v>
      </c>
      <c r="D3" t="s">
        <v>1714</v>
      </c>
      <c r="E3">
        <v>25</v>
      </c>
      <c r="F3">
        <v>21</v>
      </c>
      <c r="G3">
        <v>120</v>
      </c>
      <c r="H3">
        <v>150</v>
      </c>
      <c r="I3">
        <v>3000</v>
      </c>
      <c r="J3" t="str" cm="1">
        <f t="array" ref="J3">_xlfn.IFS(G3&lt;H3,"Reorder",G3&gt;2*H3,"Healthy",G3&gt;=H3,"Low Stock")</f>
        <v>Reorder</v>
      </c>
    </row>
    <row r="4" spans="1:10" x14ac:dyDescent="0.35">
      <c r="A4" t="s">
        <v>17</v>
      </c>
      <c r="B4" t="s">
        <v>1716</v>
      </c>
      <c r="C4" t="s">
        <v>1717</v>
      </c>
      <c r="D4" t="s">
        <v>1718</v>
      </c>
      <c r="E4">
        <v>45</v>
      </c>
      <c r="F4">
        <v>30</v>
      </c>
      <c r="G4">
        <v>45</v>
      </c>
      <c r="H4">
        <v>50</v>
      </c>
      <c r="I4">
        <v>2025</v>
      </c>
      <c r="J4" t="str" cm="1">
        <f t="array" ref="J4">_xlfn.IFS(G4&lt;H4,"Reorder",G4&gt;2*H4,"Healthy",G4&gt;=H4,"Low Stock")</f>
        <v>Reorder</v>
      </c>
    </row>
    <row r="5" spans="1:10" x14ac:dyDescent="0.35">
      <c r="A5" t="s">
        <v>90</v>
      </c>
      <c r="B5" t="s">
        <v>1719</v>
      </c>
      <c r="C5" t="s">
        <v>1717</v>
      </c>
      <c r="D5" t="s">
        <v>1718</v>
      </c>
      <c r="E5" t="s">
        <v>109</v>
      </c>
      <c r="F5">
        <v>30</v>
      </c>
      <c r="G5">
        <v>180</v>
      </c>
      <c r="H5">
        <v>50</v>
      </c>
      <c r="I5">
        <v>8730</v>
      </c>
      <c r="J5" t="str" cm="1">
        <f t="array" ref="J5">_xlfn.IFS(G5&lt;H5,"Reorder",G5&gt;2*H5,"Healthy",G5&gt;=H5,"Low Stock")</f>
        <v>Healthy</v>
      </c>
    </row>
    <row r="6" spans="1:10" x14ac:dyDescent="0.35">
      <c r="A6" t="s">
        <v>53</v>
      </c>
      <c r="B6" t="s">
        <v>1720</v>
      </c>
      <c r="C6" t="s">
        <v>1721</v>
      </c>
      <c r="D6" t="s">
        <v>1722</v>
      </c>
      <c r="E6" t="s">
        <v>372</v>
      </c>
      <c r="F6">
        <v>7</v>
      </c>
      <c r="G6">
        <v>800</v>
      </c>
      <c r="H6">
        <v>400</v>
      </c>
      <c r="I6">
        <v>3400</v>
      </c>
      <c r="J6" t="str" cm="1">
        <f t="array" ref="J6">_xlfn.IFS(G6&lt;H6,"Reorder",G6&gt;2*H6,"Healthy",G6&gt;=H6,"Low Stock")</f>
        <v>Low Stock</v>
      </c>
    </row>
    <row r="7" spans="1:10" x14ac:dyDescent="0.35">
      <c r="A7" t="s">
        <v>33</v>
      </c>
      <c r="B7" t="s">
        <v>1723</v>
      </c>
      <c r="C7" t="s">
        <v>1724</v>
      </c>
      <c r="D7" t="s">
        <v>1725</v>
      </c>
      <c r="E7">
        <v>150</v>
      </c>
      <c r="F7">
        <v>45</v>
      </c>
      <c r="G7">
        <v>15</v>
      </c>
      <c r="H7">
        <v>20</v>
      </c>
      <c r="I7">
        <v>2250</v>
      </c>
      <c r="J7" t="str" cm="1">
        <f t="array" ref="J7">_xlfn.IFS(G7&lt;H7,"Reorder",G7&gt;2*H7,"Healthy",G7&gt;=H7,"Low Stock")</f>
        <v>Reorder</v>
      </c>
    </row>
    <row r="8" spans="1:10" x14ac:dyDescent="0.35">
      <c r="A8" t="s">
        <v>11</v>
      </c>
      <c r="B8" t="s">
        <v>1726</v>
      </c>
      <c r="C8" t="s">
        <v>1724</v>
      </c>
      <c r="D8" t="s">
        <v>1725</v>
      </c>
      <c r="E8">
        <v>85</v>
      </c>
      <c r="F8">
        <v>30</v>
      </c>
      <c r="G8">
        <v>40</v>
      </c>
      <c r="H8">
        <v>25</v>
      </c>
      <c r="I8">
        <v>3400</v>
      </c>
      <c r="J8" t="str" cm="1">
        <f t="array" ref="J8">_xlfn.IFS(G8&lt;H8,"Reorder",G8&gt;2*H8,"Healthy",G8&gt;=H8,"Low Stock")</f>
        <v>Low Stock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AB5A-548C-4DF7-823F-7CF873468D0E}">
  <dimension ref="A6:H20"/>
  <sheetViews>
    <sheetView topLeftCell="A4" workbookViewId="0">
      <selection activeCell="B20" sqref="B20:G20"/>
    </sheetView>
  </sheetViews>
  <sheetFormatPr defaultRowHeight="14.5" x14ac:dyDescent="0.35"/>
  <cols>
    <col min="1" max="1" width="14.36328125" bestFit="1" customWidth="1"/>
    <col min="2" max="2" width="14.54296875" customWidth="1"/>
    <col min="3" max="3" width="12.1796875" customWidth="1"/>
    <col min="4" max="4" width="11.54296875" bestFit="1" customWidth="1"/>
    <col min="5" max="5" width="11.7265625" customWidth="1"/>
    <col min="6" max="6" width="10.90625" customWidth="1"/>
    <col min="7" max="7" width="13.90625" bestFit="1" customWidth="1"/>
    <col min="8" max="8" width="11.453125" customWidth="1"/>
    <col min="9" max="9" width="9.54296875" bestFit="1" customWidth="1"/>
  </cols>
  <sheetData>
    <row r="6" spans="1:8" x14ac:dyDescent="0.35">
      <c r="A6" s="3" t="s">
        <v>1727</v>
      </c>
    </row>
    <row r="7" spans="1:8" x14ac:dyDescent="0.35">
      <c r="A7" s="2" t="s">
        <v>2</v>
      </c>
      <c r="B7" s="2" t="s">
        <v>26</v>
      </c>
      <c r="C7" s="2" t="s">
        <v>42</v>
      </c>
      <c r="D7" s="2" t="s">
        <v>17</v>
      </c>
      <c r="E7" s="2" t="s">
        <v>90</v>
      </c>
      <c r="F7" s="2" t="s">
        <v>53</v>
      </c>
      <c r="G7" s="2" t="s">
        <v>33</v>
      </c>
      <c r="H7" s="2" t="s">
        <v>11</v>
      </c>
    </row>
    <row r="8" spans="1:8" x14ac:dyDescent="0.35">
      <c r="A8" s="2" t="s">
        <v>1704</v>
      </c>
      <c r="B8" s="2" t="s">
        <v>1712</v>
      </c>
      <c r="C8" s="2" t="s">
        <v>1715</v>
      </c>
      <c r="D8" s="2" t="s">
        <v>1716</v>
      </c>
      <c r="E8" s="2" t="s">
        <v>1719</v>
      </c>
      <c r="F8" s="2" t="s">
        <v>1720</v>
      </c>
      <c r="G8" s="2" t="s">
        <v>1723</v>
      </c>
      <c r="H8" s="2" t="s">
        <v>1726</v>
      </c>
    </row>
    <row r="9" spans="1:8" x14ac:dyDescent="0.35">
      <c r="A9" s="2" t="s">
        <v>1705</v>
      </c>
      <c r="B9" s="2" t="s">
        <v>1713</v>
      </c>
      <c r="C9" s="2" t="s">
        <v>1713</v>
      </c>
      <c r="D9" s="2" t="s">
        <v>1717</v>
      </c>
      <c r="E9" s="2" t="s">
        <v>1717</v>
      </c>
      <c r="F9" s="2" t="s">
        <v>1721</v>
      </c>
      <c r="G9" s="2" t="s">
        <v>1724</v>
      </c>
      <c r="H9" s="2" t="s">
        <v>1724</v>
      </c>
    </row>
    <row r="10" spans="1:8" x14ac:dyDescent="0.35">
      <c r="A10" s="2" t="s">
        <v>1706</v>
      </c>
      <c r="B10" s="2" t="s">
        <v>1714</v>
      </c>
      <c r="C10" s="2" t="s">
        <v>1714</v>
      </c>
      <c r="D10" s="2" t="s">
        <v>1718</v>
      </c>
      <c r="E10" s="2" t="s">
        <v>1718</v>
      </c>
      <c r="F10" s="2" t="s">
        <v>1722</v>
      </c>
      <c r="G10" s="2" t="s">
        <v>1725</v>
      </c>
      <c r="H10" s="2" t="s">
        <v>1725</v>
      </c>
    </row>
    <row r="11" spans="1:8" x14ac:dyDescent="0.35">
      <c r="A11" s="2" t="s">
        <v>1707</v>
      </c>
      <c r="B11" s="2" t="s">
        <v>101</v>
      </c>
      <c r="C11" s="2">
        <v>25</v>
      </c>
      <c r="D11" s="2">
        <v>45</v>
      </c>
      <c r="E11" s="2" t="s">
        <v>109</v>
      </c>
      <c r="F11" s="2" t="s">
        <v>372</v>
      </c>
      <c r="G11" s="2">
        <v>150</v>
      </c>
      <c r="H11" s="2">
        <v>85</v>
      </c>
    </row>
    <row r="12" spans="1:8" x14ac:dyDescent="0.35">
      <c r="A12" s="2" t="s">
        <v>1708</v>
      </c>
      <c r="B12" s="2">
        <v>14</v>
      </c>
      <c r="C12" s="2">
        <v>21</v>
      </c>
      <c r="D12" s="2">
        <v>30</v>
      </c>
      <c r="E12" s="2">
        <v>30</v>
      </c>
      <c r="F12" s="2">
        <v>7</v>
      </c>
      <c r="G12" s="2">
        <v>45</v>
      </c>
      <c r="H12" s="2">
        <v>30</v>
      </c>
    </row>
    <row r="13" spans="1:8" x14ac:dyDescent="0.35">
      <c r="A13" s="2" t="s">
        <v>1709</v>
      </c>
      <c r="B13" s="2">
        <v>450</v>
      </c>
      <c r="C13" s="2">
        <v>120</v>
      </c>
      <c r="D13" s="2">
        <v>45</v>
      </c>
      <c r="E13" s="2">
        <v>180</v>
      </c>
      <c r="F13" s="2">
        <v>800</v>
      </c>
      <c r="G13" s="2">
        <v>15</v>
      </c>
      <c r="H13" s="2">
        <v>40</v>
      </c>
    </row>
    <row r="14" spans="1:8" x14ac:dyDescent="0.35">
      <c r="A14" s="2" t="s">
        <v>1710</v>
      </c>
      <c r="B14" s="2">
        <v>500</v>
      </c>
      <c r="C14" s="2">
        <v>150</v>
      </c>
      <c r="D14" s="2">
        <v>50</v>
      </c>
      <c r="E14" s="2">
        <v>50</v>
      </c>
      <c r="F14" s="2">
        <v>400</v>
      </c>
      <c r="G14" s="2">
        <v>20</v>
      </c>
      <c r="H14" s="2">
        <v>25</v>
      </c>
    </row>
    <row r="15" spans="1:8" x14ac:dyDescent="0.35">
      <c r="A15" s="2" t="s">
        <v>1711</v>
      </c>
      <c r="B15" s="2">
        <v>5625</v>
      </c>
      <c r="C15" s="2">
        <v>3000</v>
      </c>
      <c r="D15" s="2">
        <v>2025</v>
      </c>
      <c r="E15" s="2">
        <v>8730</v>
      </c>
      <c r="F15" s="2">
        <v>3400</v>
      </c>
      <c r="G15" s="2">
        <v>2250</v>
      </c>
      <c r="H15" s="2">
        <v>3400</v>
      </c>
    </row>
    <row r="17" spans="1:7" x14ac:dyDescent="0.35">
      <c r="A17" s="3" t="s">
        <v>1728</v>
      </c>
    </row>
    <row r="18" spans="1:7" x14ac:dyDescent="0.35">
      <c r="A18" s="2" t="s">
        <v>2</v>
      </c>
      <c r="B18" s="2" t="s">
        <v>11</v>
      </c>
      <c r="C18" s="2" t="s">
        <v>17</v>
      </c>
      <c r="D18" s="2" t="s">
        <v>11</v>
      </c>
      <c r="E18" s="2" t="s">
        <v>26</v>
      </c>
      <c r="F18" s="2" t="s">
        <v>33</v>
      </c>
      <c r="G18" s="2" t="s">
        <v>42</v>
      </c>
    </row>
    <row r="19" spans="1:7" x14ac:dyDescent="0.35">
      <c r="A19" s="2" t="s">
        <v>1709</v>
      </c>
      <c r="B19" s="2">
        <f>HLOOKUP(B18,A7:H15,7,FALSE)</f>
        <v>40</v>
      </c>
      <c r="C19" s="2">
        <f>HLOOKUP(C18,B7:I15,7,FALSE)</f>
        <v>45</v>
      </c>
      <c r="D19" s="2">
        <f>HLOOKUP(D18,C7:J15,7,FALSE)</f>
        <v>40</v>
      </c>
      <c r="E19" s="2">
        <f>HLOOKUP(E18,A7:H15,7,FALSE)</f>
        <v>450</v>
      </c>
      <c r="F19" s="2">
        <f>HLOOKUP(F18,G7:N15,7,FALSE)</f>
        <v>15</v>
      </c>
      <c r="G19" s="2">
        <f>HLOOKUP(G18,A7:H15,7,FALSE)</f>
        <v>120</v>
      </c>
    </row>
    <row r="20" spans="1:7" x14ac:dyDescent="0.35">
      <c r="A20" s="2" t="s">
        <v>1708</v>
      </c>
      <c r="B20" s="2">
        <f>HLOOKUP(B18,A7:H15,6,FALSE)</f>
        <v>30</v>
      </c>
      <c r="C20" s="2">
        <f>HLOOKUP(C18,B7:I15,6,FALSE)</f>
        <v>30</v>
      </c>
      <c r="D20" s="2">
        <f>HLOOKUP(D18,C7:J15,6,FALSE)</f>
        <v>30</v>
      </c>
      <c r="E20" s="2">
        <f>HLOOKUP(E18,A7:H15,6,FALSE)</f>
        <v>14</v>
      </c>
      <c r="F20" s="2">
        <f>HLOOKUP(F18,G7:N15,6,FALSE)</f>
        <v>45</v>
      </c>
      <c r="G20" s="2">
        <f>HLOOKUP(G18,A7:H15,6,FALSE)</f>
        <v>21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5A5D-BB02-43AF-B59C-6A32F515F4FF}">
  <dimension ref="A1:U1416"/>
  <sheetViews>
    <sheetView tabSelected="1" topLeftCell="K44" workbookViewId="0">
      <selection activeCell="N56" sqref="N56"/>
    </sheetView>
  </sheetViews>
  <sheetFormatPr defaultRowHeight="14.5" x14ac:dyDescent="0.35"/>
  <cols>
    <col min="2" max="2" width="10.08984375" bestFit="1" customWidth="1"/>
    <col min="3" max="3" width="9.81640625" bestFit="1" customWidth="1"/>
    <col min="6" max="6" width="9.81640625" bestFit="1" customWidth="1"/>
    <col min="9" max="9" width="11" bestFit="1" customWidth="1"/>
    <col min="10" max="10" width="13.54296875" bestFit="1" customWidth="1"/>
    <col min="11" max="11" width="14.08984375" customWidth="1"/>
    <col min="13" max="13" width="9.1796875" bestFit="1" customWidth="1"/>
    <col min="14" max="14" width="11" bestFit="1" customWidth="1"/>
    <col min="15" max="15" width="11.08984375" customWidth="1"/>
    <col min="17" max="17" width="11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1705</v>
      </c>
      <c r="K1" t="s">
        <v>1709</v>
      </c>
    </row>
    <row r="2" spans="1:16" x14ac:dyDescent="0.35">
      <c r="A2" t="s">
        <v>9</v>
      </c>
      <c r="B2" t="s">
        <v>10</v>
      </c>
      <c r="C2" t="s">
        <v>11</v>
      </c>
      <c r="D2">
        <v>18</v>
      </c>
      <c r="E2" t="s">
        <v>12</v>
      </c>
      <c r="F2" t="s">
        <v>13</v>
      </c>
      <c r="G2">
        <v>1530</v>
      </c>
      <c r="H2">
        <v>30</v>
      </c>
      <c r="I2" t="s">
        <v>14</v>
      </c>
      <c r="J2" t="str">
        <f>_xlfn.XLOOKUP('inventory_transactions(countif)'!C2,'product_masterlist(ifs)'!A:A,'product_masterlist(ifs)'!C:C,,0)</f>
        <v>Surgical</v>
      </c>
      <c r="K2">
        <f>VLOOKUP(C2,'product_masterlist(ifs)'!A:I,7,FALSE)</f>
        <v>40</v>
      </c>
    </row>
    <row r="3" spans="1:16" x14ac:dyDescent="0.35">
      <c r="A3" t="s">
        <v>15</v>
      </c>
      <c r="B3" t="s">
        <v>16</v>
      </c>
      <c r="C3" t="s">
        <v>17</v>
      </c>
      <c r="D3">
        <v>4</v>
      </c>
      <c r="E3" t="s">
        <v>12</v>
      </c>
      <c r="F3" t="s">
        <v>18</v>
      </c>
      <c r="G3">
        <v>180</v>
      </c>
      <c r="H3">
        <v>30</v>
      </c>
      <c r="I3" t="s">
        <v>14</v>
      </c>
      <c r="J3" t="str">
        <f>_xlfn.XLOOKUP(C3,'product_masterlist(ifs)'!A:A,'product_masterlist(ifs)'!C:C,"N/A",0)</f>
        <v>Frames</v>
      </c>
      <c r="K3">
        <f>VLOOKUP(C3,'product_masterlist(ifs)'!A:I,7,FALSE)</f>
        <v>45</v>
      </c>
    </row>
    <row r="4" spans="1:16" x14ac:dyDescent="0.35">
      <c r="A4" t="s">
        <v>19</v>
      </c>
      <c r="B4" s="1">
        <v>45840</v>
      </c>
      <c r="C4" t="s">
        <v>11</v>
      </c>
      <c r="D4">
        <v>13</v>
      </c>
      <c r="E4" t="s">
        <v>20</v>
      </c>
      <c r="F4" t="s">
        <v>13</v>
      </c>
      <c r="G4">
        <v>1105</v>
      </c>
      <c r="H4">
        <v>30</v>
      </c>
      <c r="I4" t="s">
        <v>14</v>
      </c>
      <c r="J4" t="str">
        <f>_xlfn.XLOOKUP(C4,'product_masterlist(ifs)'!A:A,'product_masterlist(ifs)'!C:C,"N/A",0)</f>
        <v>Surgical</v>
      </c>
      <c r="K4">
        <f>VLOOKUP(C4,'product_masterlist(ifs)'!A:I,7,FALSE)</f>
        <v>40</v>
      </c>
    </row>
    <row r="5" spans="1:16" x14ac:dyDescent="0.35">
      <c r="A5" t="s">
        <v>21</v>
      </c>
      <c r="B5" s="1">
        <v>45937</v>
      </c>
      <c r="C5" t="s">
        <v>11</v>
      </c>
      <c r="D5">
        <v>16</v>
      </c>
      <c r="E5" t="s">
        <v>22</v>
      </c>
      <c r="F5" t="s">
        <v>23</v>
      </c>
      <c r="G5">
        <v>1360</v>
      </c>
      <c r="H5">
        <v>30</v>
      </c>
      <c r="I5" t="s">
        <v>14</v>
      </c>
      <c r="J5" t="str">
        <f>_xlfn.XLOOKUP(C5,'product_masterlist(ifs)'!A:A,'product_masterlist(ifs)'!C:C,"N/A",0)</f>
        <v>Surgical</v>
      </c>
      <c r="K5">
        <f>VLOOKUP(C5,'product_masterlist(ifs)'!A:I,7,FALSE)</f>
        <v>40</v>
      </c>
      <c r="N5" s="2" t="s">
        <v>8</v>
      </c>
      <c r="O5" s="2" t="s">
        <v>1729</v>
      </c>
    </row>
    <row r="6" spans="1:16" x14ac:dyDescent="0.35">
      <c r="A6" t="s">
        <v>24</v>
      </c>
      <c r="B6" t="s">
        <v>25</v>
      </c>
      <c r="C6" t="s">
        <v>26</v>
      </c>
      <c r="D6">
        <v>7</v>
      </c>
      <c r="E6" t="s">
        <v>22</v>
      </c>
      <c r="F6" t="s">
        <v>13</v>
      </c>
      <c r="G6" t="s">
        <v>27</v>
      </c>
      <c r="H6">
        <v>14</v>
      </c>
      <c r="I6" t="s">
        <v>28</v>
      </c>
      <c r="J6" t="str">
        <f>_xlfn.XLOOKUP(C6,'product_masterlist(ifs)'!A:A,'product_masterlist(ifs)'!C:C,"N/A",0)</f>
        <v>Contact Lenses</v>
      </c>
      <c r="K6">
        <f>VLOOKUP(C6,'product_masterlist(ifs)'!A:I,7,FALSE)</f>
        <v>450</v>
      </c>
      <c r="N6" s="2" t="s">
        <v>34</v>
      </c>
      <c r="O6" s="2">
        <f>COUNTIF(I:I,I8)</f>
        <v>192</v>
      </c>
    </row>
    <row r="7" spans="1:16" x14ac:dyDescent="0.35">
      <c r="A7" t="s">
        <v>29</v>
      </c>
      <c r="B7" t="s">
        <v>30</v>
      </c>
      <c r="C7" t="s">
        <v>11</v>
      </c>
      <c r="D7">
        <v>24</v>
      </c>
      <c r="E7" t="s">
        <v>20</v>
      </c>
      <c r="F7" t="s">
        <v>31</v>
      </c>
      <c r="G7">
        <v>2040</v>
      </c>
      <c r="H7">
        <v>30</v>
      </c>
      <c r="I7" t="s">
        <v>14</v>
      </c>
      <c r="J7" t="str">
        <f>_xlfn.XLOOKUP(C7,'product_masterlist(ifs)'!A:A,'product_masterlist(ifs)'!C:C,"N/A",0)</f>
        <v>Surgical</v>
      </c>
      <c r="K7">
        <f>VLOOKUP(C7,'product_masterlist(ifs)'!A:I,7,FALSE)</f>
        <v>40</v>
      </c>
    </row>
    <row r="8" spans="1:16" x14ac:dyDescent="0.35">
      <c r="A8" t="s">
        <v>32</v>
      </c>
      <c r="B8" s="1">
        <v>45999</v>
      </c>
      <c r="C8" t="s">
        <v>33</v>
      </c>
      <c r="D8">
        <v>10</v>
      </c>
      <c r="E8" t="s">
        <v>12</v>
      </c>
      <c r="F8" t="s">
        <v>18</v>
      </c>
      <c r="G8">
        <v>1500</v>
      </c>
      <c r="H8">
        <v>45</v>
      </c>
      <c r="I8" t="s">
        <v>34</v>
      </c>
      <c r="J8" t="str">
        <f>_xlfn.XLOOKUP(C8,'product_masterlist(ifs)'!A:A,'product_masterlist(ifs)'!C:C,"N/A",0)</f>
        <v>Surgical</v>
      </c>
      <c r="K8">
        <f>VLOOKUP(C8,'product_masterlist(ifs)'!A:I,7,FALSE)</f>
        <v>15</v>
      </c>
    </row>
    <row r="9" spans="1:16" x14ac:dyDescent="0.35">
      <c r="A9" t="s">
        <v>35</v>
      </c>
      <c r="B9" t="s">
        <v>36</v>
      </c>
      <c r="C9" t="s">
        <v>26</v>
      </c>
      <c r="D9">
        <v>8</v>
      </c>
      <c r="E9" t="s">
        <v>37</v>
      </c>
      <c r="F9" t="s">
        <v>18</v>
      </c>
      <c r="G9">
        <v>100</v>
      </c>
      <c r="H9">
        <v>14</v>
      </c>
      <c r="I9" t="s">
        <v>28</v>
      </c>
      <c r="J9" t="str">
        <f>_xlfn.XLOOKUP(C9,'product_masterlist(ifs)'!A:A,'product_masterlist(ifs)'!C:C,"N/A",0)</f>
        <v>Contact Lenses</v>
      </c>
      <c r="K9">
        <f>VLOOKUP(C9,'product_masterlist(ifs)'!A:I,7,FALSE)</f>
        <v>450</v>
      </c>
    </row>
    <row r="10" spans="1:16" x14ac:dyDescent="0.35">
      <c r="A10" t="s">
        <v>38</v>
      </c>
      <c r="B10" t="s">
        <v>39</v>
      </c>
      <c r="C10" t="s">
        <v>26</v>
      </c>
      <c r="D10">
        <v>3</v>
      </c>
      <c r="E10" t="s">
        <v>37</v>
      </c>
      <c r="F10" t="s">
        <v>13</v>
      </c>
      <c r="G10" t="s">
        <v>40</v>
      </c>
      <c r="H10">
        <v>14</v>
      </c>
      <c r="I10" t="s">
        <v>28</v>
      </c>
      <c r="J10" t="str">
        <f>_xlfn.XLOOKUP(C10,'product_masterlist(ifs)'!A:A,'product_masterlist(ifs)'!C:C,"N/A",0)</f>
        <v>Contact Lenses</v>
      </c>
      <c r="K10">
        <f>VLOOKUP(C10,'product_masterlist(ifs)'!A:I,7,FALSE)</f>
        <v>450</v>
      </c>
    </row>
    <row r="11" spans="1:16" x14ac:dyDescent="0.35">
      <c r="A11" t="s">
        <v>41</v>
      </c>
      <c r="B11" s="1">
        <v>45699</v>
      </c>
      <c r="C11" t="s">
        <v>42</v>
      </c>
      <c r="D11">
        <v>21</v>
      </c>
      <c r="E11" t="s">
        <v>22</v>
      </c>
      <c r="F11" t="s">
        <v>18</v>
      </c>
      <c r="G11">
        <v>525</v>
      </c>
      <c r="H11">
        <v>21</v>
      </c>
      <c r="I11" t="s">
        <v>14</v>
      </c>
      <c r="J11" t="str">
        <f>_xlfn.XLOOKUP(C11,'product_masterlist(ifs)'!A:A,'product_masterlist(ifs)'!C:C,"N/A",0)</f>
        <v>Contact Lenses</v>
      </c>
      <c r="K11">
        <f>VLOOKUP(C11,'product_masterlist(ifs)'!A:I,7,FALSE)</f>
        <v>120</v>
      </c>
      <c r="N11" s="2" t="s">
        <v>8</v>
      </c>
      <c r="O11" s="2" t="s">
        <v>4</v>
      </c>
      <c r="P11" s="2" t="s">
        <v>1729</v>
      </c>
    </row>
    <row r="12" spans="1:16" x14ac:dyDescent="0.35">
      <c r="A12" t="s">
        <v>43</v>
      </c>
      <c r="B12" t="s">
        <v>44</v>
      </c>
      <c r="C12" t="s">
        <v>26</v>
      </c>
      <c r="D12">
        <v>7</v>
      </c>
      <c r="E12" t="s">
        <v>22</v>
      </c>
      <c r="F12" t="s">
        <v>31</v>
      </c>
      <c r="G12" t="s">
        <v>27</v>
      </c>
      <c r="H12">
        <v>14</v>
      </c>
      <c r="I12" t="s">
        <v>28</v>
      </c>
      <c r="J12" t="str">
        <f>_xlfn.XLOOKUP(C12,'product_masterlist(ifs)'!A:A,'product_masterlist(ifs)'!C:C,"N/A",0)</f>
        <v>Contact Lenses</v>
      </c>
      <c r="K12">
        <f>VLOOKUP(C12,'product_masterlist(ifs)'!A:I,7,FALSE)</f>
        <v>450</v>
      </c>
      <c r="N12" s="2" t="s">
        <v>34</v>
      </c>
      <c r="O12" s="2" t="s">
        <v>22</v>
      </c>
      <c r="P12" s="2">
        <f>COUNTIFS(I:I,N12,E:E,O12)</f>
        <v>53</v>
      </c>
    </row>
    <row r="13" spans="1:16" x14ac:dyDescent="0.35">
      <c r="A13" t="s">
        <v>45</v>
      </c>
      <c r="B13" t="s">
        <v>46</v>
      </c>
      <c r="C13" t="s">
        <v>26</v>
      </c>
      <c r="D13">
        <v>11</v>
      </c>
      <c r="E13" t="s">
        <v>12</v>
      </c>
      <c r="F13" t="s">
        <v>13</v>
      </c>
      <c r="G13" t="s">
        <v>47</v>
      </c>
      <c r="H13">
        <v>14</v>
      </c>
      <c r="I13" t="s">
        <v>28</v>
      </c>
      <c r="J13" t="str">
        <f>_xlfn.XLOOKUP(C13,'product_masterlist(ifs)'!A:A,'product_masterlist(ifs)'!C:C,"N/A",0)</f>
        <v>Contact Lenses</v>
      </c>
      <c r="K13">
        <f>VLOOKUP(C13,'product_masterlist(ifs)'!A:I,7,FALSE)</f>
        <v>450</v>
      </c>
    </row>
    <row r="14" spans="1:16" x14ac:dyDescent="0.35">
      <c r="A14" t="s">
        <v>48</v>
      </c>
      <c r="B14" s="1">
        <v>45908</v>
      </c>
      <c r="C14" t="s">
        <v>17</v>
      </c>
      <c r="D14">
        <v>8</v>
      </c>
      <c r="E14" t="s">
        <v>20</v>
      </c>
      <c r="F14" t="s">
        <v>18</v>
      </c>
      <c r="G14">
        <v>360</v>
      </c>
      <c r="H14">
        <v>30</v>
      </c>
      <c r="I14" t="s">
        <v>14</v>
      </c>
      <c r="J14" t="str">
        <f>_xlfn.XLOOKUP(C14,'product_masterlist(ifs)'!A:A,'product_masterlist(ifs)'!C:C,"N/A",0)</f>
        <v>Frames</v>
      </c>
      <c r="K14">
        <f>VLOOKUP(C14,'product_masterlist(ifs)'!A:I,7,FALSE)</f>
        <v>45</v>
      </c>
    </row>
    <row r="15" spans="1:16" x14ac:dyDescent="0.35">
      <c r="A15" t="s">
        <v>49</v>
      </c>
      <c r="B15" s="1">
        <v>46003</v>
      </c>
      <c r="C15" t="s">
        <v>11</v>
      </c>
      <c r="D15">
        <v>25</v>
      </c>
      <c r="E15" t="s">
        <v>37</v>
      </c>
      <c r="F15" t="s">
        <v>18</v>
      </c>
      <c r="G15">
        <v>2125</v>
      </c>
      <c r="H15">
        <v>30</v>
      </c>
      <c r="I15" t="s">
        <v>14</v>
      </c>
      <c r="J15" t="str">
        <f>_xlfn.XLOOKUP(C15,'product_masterlist(ifs)'!A:A,'product_masterlist(ifs)'!C:C,"N/A",0)</f>
        <v>Surgical</v>
      </c>
      <c r="K15">
        <f>VLOOKUP(C15,'product_masterlist(ifs)'!A:I,7,FALSE)</f>
        <v>40</v>
      </c>
    </row>
    <row r="16" spans="1:16" x14ac:dyDescent="0.35">
      <c r="A16" t="s">
        <v>50</v>
      </c>
      <c r="B16" s="1">
        <v>45750</v>
      </c>
      <c r="C16" t="s">
        <v>33</v>
      </c>
      <c r="D16">
        <v>1</v>
      </c>
      <c r="E16" t="s">
        <v>20</v>
      </c>
      <c r="F16" t="s">
        <v>18</v>
      </c>
      <c r="G16">
        <v>150</v>
      </c>
      <c r="H16">
        <v>45</v>
      </c>
      <c r="I16" t="s">
        <v>34</v>
      </c>
      <c r="J16" t="str">
        <f>_xlfn.XLOOKUP(C16,'product_masterlist(ifs)'!A:A,'product_masterlist(ifs)'!C:C,"N/A",0)</f>
        <v>Surgical</v>
      </c>
      <c r="K16">
        <f>VLOOKUP(C16,'product_masterlist(ifs)'!A:I,7,FALSE)</f>
        <v>15</v>
      </c>
    </row>
    <row r="17" spans="1:21" x14ac:dyDescent="0.35">
      <c r="A17" t="s">
        <v>51</v>
      </c>
      <c r="B17" t="s">
        <v>52</v>
      </c>
      <c r="C17" t="s">
        <v>53</v>
      </c>
      <c r="D17">
        <v>19</v>
      </c>
      <c r="E17" t="s">
        <v>12</v>
      </c>
      <c r="F17" t="s">
        <v>13</v>
      </c>
      <c r="G17" t="s">
        <v>54</v>
      </c>
      <c r="H17">
        <v>7</v>
      </c>
      <c r="I17" t="s">
        <v>28</v>
      </c>
      <c r="J17" t="str">
        <f>_xlfn.XLOOKUP(C17,'product_masterlist(ifs)'!A:A,'product_masterlist(ifs)'!C:C,"N/A",0)</f>
        <v>Solutions</v>
      </c>
      <c r="K17">
        <f>VLOOKUP(C17,'product_masterlist(ifs)'!A:I,7,FALSE)</f>
        <v>800</v>
      </c>
    </row>
    <row r="18" spans="1:21" x14ac:dyDescent="0.35">
      <c r="A18" t="s">
        <v>55</v>
      </c>
      <c r="B18" s="1">
        <v>45757</v>
      </c>
      <c r="C18" t="s">
        <v>33</v>
      </c>
      <c r="D18">
        <v>23</v>
      </c>
      <c r="E18" t="s">
        <v>22</v>
      </c>
      <c r="F18" t="s">
        <v>31</v>
      </c>
      <c r="G18">
        <v>3450</v>
      </c>
      <c r="H18">
        <v>45</v>
      </c>
      <c r="I18" t="s">
        <v>34</v>
      </c>
      <c r="J18" t="str">
        <f>_xlfn.XLOOKUP(C18,'product_masterlist(ifs)'!A:A,'product_masterlist(ifs)'!C:C,"N/A",0)</f>
        <v>Surgical</v>
      </c>
      <c r="K18">
        <f>VLOOKUP(C18,'product_masterlist(ifs)'!A:I,7,FALSE)</f>
        <v>15</v>
      </c>
      <c r="N18" s="2" t="s">
        <v>4</v>
      </c>
      <c r="O18" s="2" t="s">
        <v>1729</v>
      </c>
    </row>
    <row r="19" spans="1:21" x14ac:dyDescent="0.35">
      <c r="A19" t="s">
        <v>56</v>
      </c>
      <c r="B19" s="1">
        <v>45845</v>
      </c>
      <c r="C19" t="s">
        <v>17</v>
      </c>
      <c r="D19">
        <v>19</v>
      </c>
      <c r="E19" t="s">
        <v>22</v>
      </c>
      <c r="F19" t="s">
        <v>31</v>
      </c>
      <c r="G19">
        <v>855</v>
      </c>
      <c r="H19">
        <v>30</v>
      </c>
      <c r="I19" t="s">
        <v>14</v>
      </c>
      <c r="J19" t="str">
        <f>_xlfn.XLOOKUP(C19,'product_masterlist(ifs)'!A:A,'product_masterlist(ifs)'!C:C,"N/A",0)</f>
        <v>Frames</v>
      </c>
      <c r="K19">
        <f>VLOOKUP(C19,'product_masterlist(ifs)'!A:I,7,FALSE)</f>
        <v>45</v>
      </c>
      <c r="N19" s="2" t="s">
        <v>22</v>
      </c>
      <c r="O19" s="2">
        <f>COUNTIF(E:E,N19)</f>
        <v>364</v>
      </c>
    </row>
    <row r="20" spans="1:21" x14ac:dyDescent="0.35">
      <c r="A20" t="s">
        <v>57</v>
      </c>
      <c r="B20" t="s">
        <v>58</v>
      </c>
      <c r="C20" t="s">
        <v>17</v>
      </c>
      <c r="D20">
        <v>16</v>
      </c>
      <c r="E20" t="s">
        <v>37</v>
      </c>
      <c r="F20" t="s">
        <v>13</v>
      </c>
      <c r="G20">
        <v>720</v>
      </c>
      <c r="H20">
        <v>30</v>
      </c>
      <c r="I20" t="s">
        <v>14</v>
      </c>
      <c r="J20" t="str">
        <f>_xlfn.XLOOKUP(C20,'product_masterlist(ifs)'!A:A,'product_masterlist(ifs)'!C:C,"N/A",0)</f>
        <v>Frames</v>
      </c>
      <c r="K20">
        <f>VLOOKUP(C20,'product_masterlist(ifs)'!A:I,7,FALSE)</f>
        <v>45</v>
      </c>
    </row>
    <row r="21" spans="1:21" x14ac:dyDescent="0.35">
      <c r="A21" t="s">
        <v>59</v>
      </c>
      <c r="B21" t="s">
        <v>60</v>
      </c>
      <c r="C21" t="s">
        <v>33</v>
      </c>
      <c r="D21">
        <v>6</v>
      </c>
      <c r="E21" t="s">
        <v>37</v>
      </c>
      <c r="F21" t="s">
        <v>31</v>
      </c>
      <c r="G21">
        <v>900</v>
      </c>
      <c r="H21">
        <v>45</v>
      </c>
      <c r="I21" t="s">
        <v>34</v>
      </c>
      <c r="J21" t="str">
        <f>_xlfn.XLOOKUP(C21,'product_masterlist(ifs)'!A:A,'product_masterlist(ifs)'!C:C,"N/A",0)</f>
        <v>Surgical</v>
      </c>
      <c r="K21">
        <f>VLOOKUP(C21,'product_masterlist(ifs)'!A:I,7,FALSE)</f>
        <v>15</v>
      </c>
      <c r="N21" s="2" t="s">
        <v>4</v>
      </c>
      <c r="O21" s="2" t="s">
        <v>8</v>
      </c>
      <c r="P21" s="2" t="s">
        <v>1729</v>
      </c>
    </row>
    <row r="22" spans="1:21" x14ac:dyDescent="0.35">
      <c r="A22" t="s">
        <v>61</v>
      </c>
      <c r="B22" t="s">
        <v>62</v>
      </c>
      <c r="C22" t="s">
        <v>42</v>
      </c>
      <c r="D22">
        <v>12</v>
      </c>
      <c r="E22" t="s">
        <v>37</v>
      </c>
      <c r="F22" t="s">
        <v>23</v>
      </c>
      <c r="G22">
        <v>300</v>
      </c>
      <c r="H22">
        <v>21</v>
      </c>
      <c r="I22" t="s">
        <v>14</v>
      </c>
      <c r="J22" t="str">
        <f>_xlfn.XLOOKUP(C22,'product_masterlist(ifs)'!A:A,'product_masterlist(ifs)'!C:C,"N/A",0)</f>
        <v>Contact Lenses</v>
      </c>
      <c r="K22">
        <f>VLOOKUP(C22,'product_masterlist(ifs)'!A:I,7,FALSE)</f>
        <v>120</v>
      </c>
      <c r="N22" s="2" t="s">
        <v>22</v>
      </c>
      <c r="O22" s="2" t="s">
        <v>34</v>
      </c>
      <c r="P22" s="2">
        <f>COUNTIFS(E:E,N22,I:I,O22)</f>
        <v>53</v>
      </c>
    </row>
    <row r="23" spans="1:21" x14ac:dyDescent="0.35">
      <c r="A23" t="s">
        <v>63</v>
      </c>
      <c r="B23" s="1">
        <v>45940</v>
      </c>
      <c r="C23" t="s">
        <v>17</v>
      </c>
      <c r="D23">
        <v>19</v>
      </c>
      <c r="E23" t="s">
        <v>22</v>
      </c>
      <c r="F23" t="s">
        <v>31</v>
      </c>
      <c r="G23">
        <v>855</v>
      </c>
      <c r="H23">
        <v>30</v>
      </c>
      <c r="I23" t="s">
        <v>14</v>
      </c>
      <c r="J23" t="str">
        <f>_xlfn.XLOOKUP(C23,'product_masterlist(ifs)'!A:A,'product_masterlist(ifs)'!C:C,"N/A",0)</f>
        <v>Frames</v>
      </c>
      <c r="K23">
        <f>VLOOKUP(C23,'product_masterlist(ifs)'!A:I,7,FALSE)</f>
        <v>45</v>
      </c>
    </row>
    <row r="24" spans="1:21" x14ac:dyDescent="0.35">
      <c r="A24" t="s">
        <v>64</v>
      </c>
      <c r="B24" t="s">
        <v>65</v>
      </c>
      <c r="C24" t="s">
        <v>33</v>
      </c>
      <c r="D24">
        <v>2</v>
      </c>
      <c r="E24" t="s">
        <v>20</v>
      </c>
      <c r="F24" t="s">
        <v>13</v>
      </c>
      <c r="G24">
        <v>300</v>
      </c>
      <c r="H24">
        <v>45</v>
      </c>
      <c r="I24" t="s">
        <v>34</v>
      </c>
      <c r="J24" t="str">
        <f>_xlfn.XLOOKUP(C24,'product_masterlist(ifs)'!A:A,'product_masterlist(ifs)'!C:C,"N/A",0)</f>
        <v>Surgical</v>
      </c>
      <c r="K24">
        <f>VLOOKUP(C24,'product_masterlist(ifs)'!A:I,7,FALSE)</f>
        <v>15</v>
      </c>
      <c r="R24" s="4">
        <f>P22/O19</f>
        <v>0.14560439560439561</v>
      </c>
    </row>
    <row r="25" spans="1:21" x14ac:dyDescent="0.35">
      <c r="A25" t="s">
        <v>66</v>
      </c>
      <c r="B25" t="s">
        <v>67</v>
      </c>
      <c r="C25" t="s">
        <v>42</v>
      </c>
      <c r="D25">
        <v>24</v>
      </c>
      <c r="E25" t="s">
        <v>22</v>
      </c>
      <c r="F25" t="s">
        <v>18</v>
      </c>
      <c r="G25">
        <v>600</v>
      </c>
      <c r="H25">
        <v>21</v>
      </c>
      <c r="I25" t="s">
        <v>14</v>
      </c>
      <c r="J25" t="str">
        <f>_xlfn.XLOOKUP(C25,'product_masterlist(ifs)'!A:A,'product_masterlist(ifs)'!C:C,"N/A",0)</f>
        <v>Contact Lenses</v>
      </c>
      <c r="K25">
        <f>VLOOKUP(C25,'product_masterlist(ifs)'!A:I,7,FALSE)</f>
        <v>120</v>
      </c>
    </row>
    <row r="26" spans="1:21" x14ac:dyDescent="0.35">
      <c r="A26" t="s">
        <v>68</v>
      </c>
      <c r="B26" s="1">
        <v>45717</v>
      </c>
      <c r="C26" t="s">
        <v>33</v>
      </c>
      <c r="D26">
        <v>25</v>
      </c>
      <c r="E26" t="s">
        <v>22</v>
      </c>
      <c r="F26" t="s">
        <v>31</v>
      </c>
      <c r="G26">
        <v>3750</v>
      </c>
      <c r="H26">
        <v>45</v>
      </c>
      <c r="I26" t="s">
        <v>34</v>
      </c>
      <c r="J26" t="str">
        <f>_xlfn.XLOOKUP(C26,'product_masterlist(ifs)'!A:A,'product_masterlist(ifs)'!C:C,"N/A",0)</f>
        <v>Surgical</v>
      </c>
      <c r="K26">
        <f>VLOOKUP(C26,'product_masterlist(ifs)'!A:I,7,FALSE)</f>
        <v>15</v>
      </c>
    </row>
    <row r="27" spans="1:21" x14ac:dyDescent="0.35">
      <c r="A27" t="s">
        <v>69</v>
      </c>
      <c r="B27" s="1">
        <v>45787</v>
      </c>
      <c r="C27" t="s">
        <v>26</v>
      </c>
      <c r="D27">
        <v>24</v>
      </c>
      <c r="E27" t="s">
        <v>12</v>
      </c>
      <c r="F27" t="s">
        <v>13</v>
      </c>
      <c r="G27">
        <v>300</v>
      </c>
      <c r="H27">
        <v>14</v>
      </c>
      <c r="I27" t="s">
        <v>28</v>
      </c>
      <c r="J27" t="str">
        <f>_xlfn.XLOOKUP(C27,'product_masterlist(ifs)'!A:A,'product_masterlist(ifs)'!C:C,"N/A",0)</f>
        <v>Contact Lenses</v>
      </c>
      <c r="K27">
        <f>VLOOKUP(C27,'product_masterlist(ifs)'!A:I,7,FALSE)</f>
        <v>450</v>
      </c>
    </row>
    <row r="28" spans="1:21" x14ac:dyDescent="0.35">
      <c r="A28" t="s">
        <v>70</v>
      </c>
      <c r="B28" t="s">
        <v>71</v>
      </c>
      <c r="C28" t="s">
        <v>26</v>
      </c>
      <c r="D28">
        <v>18</v>
      </c>
      <c r="E28" t="s">
        <v>37</v>
      </c>
      <c r="F28" t="s">
        <v>13</v>
      </c>
      <c r="G28">
        <v>225</v>
      </c>
      <c r="H28">
        <v>14</v>
      </c>
      <c r="I28" t="s">
        <v>28</v>
      </c>
      <c r="J28" t="str">
        <f>_xlfn.XLOOKUP(C28,'product_masterlist(ifs)'!A:A,'product_masterlist(ifs)'!C:C,"N/A",0)</f>
        <v>Contact Lenses</v>
      </c>
      <c r="K28">
        <f>VLOOKUP(C28,'product_masterlist(ifs)'!A:I,7,FALSE)</f>
        <v>450</v>
      </c>
    </row>
    <row r="29" spans="1:21" x14ac:dyDescent="0.35">
      <c r="A29" t="s">
        <v>72</v>
      </c>
      <c r="B29" s="1">
        <v>45725</v>
      </c>
      <c r="C29" t="s">
        <v>26</v>
      </c>
      <c r="D29">
        <v>2</v>
      </c>
      <c r="E29" t="s">
        <v>20</v>
      </c>
      <c r="F29" t="s">
        <v>31</v>
      </c>
      <c r="G29">
        <v>25</v>
      </c>
      <c r="H29">
        <v>14</v>
      </c>
      <c r="I29" t="s">
        <v>28</v>
      </c>
      <c r="J29" t="str">
        <f>_xlfn.XLOOKUP(C29,'product_masterlist(ifs)'!A:A,'product_masterlist(ifs)'!C:C,"N/A",0)</f>
        <v>Contact Lenses</v>
      </c>
      <c r="K29">
        <f>VLOOKUP(C29,'product_masterlist(ifs)'!A:I,7,FALSE)</f>
        <v>450</v>
      </c>
    </row>
    <row r="30" spans="1:21" x14ac:dyDescent="0.35">
      <c r="A30" t="s">
        <v>73</v>
      </c>
      <c r="B30" t="s">
        <v>74</v>
      </c>
      <c r="C30" t="s">
        <v>53</v>
      </c>
      <c r="D30">
        <v>9</v>
      </c>
      <c r="E30" t="s">
        <v>37</v>
      </c>
      <c r="F30" t="s">
        <v>13</v>
      </c>
      <c r="G30" t="s">
        <v>75</v>
      </c>
      <c r="H30">
        <v>7</v>
      </c>
      <c r="I30" t="s">
        <v>28</v>
      </c>
      <c r="J30" t="str">
        <f>_xlfn.XLOOKUP(C30,'product_masterlist(ifs)'!A:A,'product_masterlist(ifs)'!C:C,"N/A",0)</f>
        <v>Solutions</v>
      </c>
      <c r="K30">
        <f>VLOOKUP(C30,'product_masterlist(ifs)'!A:I,7,FALSE)</f>
        <v>800</v>
      </c>
      <c r="N30" s="2" t="str" cm="1">
        <f t="array" ref="N30:N34">_xlfn.UNIQUE(I:I)</f>
        <v>Risk_Level</v>
      </c>
      <c r="O30" s="2" t="s">
        <v>1731</v>
      </c>
      <c r="Q30" s="2"/>
      <c r="R30" s="2" t="s">
        <v>20</v>
      </c>
      <c r="S30" s="2" t="s">
        <v>37</v>
      </c>
      <c r="T30" s="2" t="s">
        <v>22</v>
      </c>
      <c r="U30" s="2" t="s">
        <v>12</v>
      </c>
    </row>
    <row r="31" spans="1:21" x14ac:dyDescent="0.35">
      <c r="A31" t="s">
        <v>76</v>
      </c>
      <c r="B31" s="1">
        <v>45911</v>
      </c>
      <c r="C31" t="s">
        <v>11</v>
      </c>
      <c r="D31">
        <v>3</v>
      </c>
      <c r="E31" t="s">
        <v>22</v>
      </c>
      <c r="F31" t="s">
        <v>31</v>
      </c>
      <c r="G31">
        <v>255</v>
      </c>
      <c r="H31">
        <v>30</v>
      </c>
      <c r="I31" t="s">
        <v>14</v>
      </c>
      <c r="J31" t="str">
        <f>_xlfn.XLOOKUP(C31,'product_masterlist(ifs)'!A:A,'product_masterlist(ifs)'!C:C,"N/A",0)</f>
        <v>Surgical</v>
      </c>
      <c r="K31">
        <f>VLOOKUP(C31,'product_masterlist(ifs)'!A:I,7,FALSE)</f>
        <v>40</v>
      </c>
      <c r="N31" s="2" t="str">
        <v>Medium Risk</v>
      </c>
      <c r="O31" s="2">
        <f>COUNTIF(I:I,N31)</f>
        <v>805</v>
      </c>
      <c r="Q31" s="2" t="s">
        <v>14</v>
      </c>
      <c r="R31" s="2">
        <f>COUNTIFS(I:I,"Medium Risk",E:E,R30)</f>
        <v>190</v>
      </c>
      <c r="S31" s="2">
        <f>COUNTIFS(I:I,Q31,E:E,S30)</f>
        <v>209</v>
      </c>
      <c r="T31" s="2">
        <f>COUNTIFS(I:I,Q31,E:E,T30)</f>
        <v>206</v>
      </c>
      <c r="U31" s="2">
        <f>COUNTIFS(I:I,Q31,E:E,U30)</f>
        <v>200</v>
      </c>
    </row>
    <row r="32" spans="1:21" x14ac:dyDescent="0.35">
      <c r="A32" t="s">
        <v>77</v>
      </c>
      <c r="B32" s="1">
        <v>45698</v>
      </c>
      <c r="C32" t="s">
        <v>33</v>
      </c>
      <c r="D32">
        <v>8</v>
      </c>
      <c r="E32" t="s">
        <v>22</v>
      </c>
      <c r="F32" t="s">
        <v>18</v>
      </c>
      <c r="G32">
        <v>1200</v>
      </c>
      <c r="H32">
        <v>45</v>
      </c>
      <c r="I32" t="s">
        <v>34</v>
      </c>
      <c r="J32" t="str">
        <f>_xlfn.XLOOKUP(C32,'product_masterlist(ifs)'!A:A,'product_masterlist(ifs)'!C:C,"N/A",0)</f>
        <v>Surgical</v>
      </c>
      <c r="K32">
        <f>VLOOKUP(C32,'product_masterlist(ifs)'!A:I,7,FALSE)</f>
        <v>15</v>
      </c>
      <c r="N32" s="2" t="str">
        <v>Low Risk</v>
      </c>
      <c r="O32" s="2">
        <f t="shared" ref="O32:O34" si="0">COUNTIF(I:I,N32)</f>
        <v>418</v>
      </c>
      <c r="Q32" s="2" t="s">
        <v>28</v>
      </c>
      <c r="R32" s="2">
        <f>COUNTIFS(I:I,Q32,E:E,R30)</f>
        <v>101</v>
      </c>
      <c r="S32" s="2">
        <f>COUNTIFS(I:I,Q32,E:E,S30)</f>
        <v>111</v>
      </c>
      <c r="T32" s="2">
        <f>COUNTIFS(I:I,Q32,E:E,T30)</f>
        <v>105</v>
      </c>
      <c r="U32" s="2">
        <f>COUNTIFS(I:I,Q32,E:E,U30)</f>
        <v>101</v>
      </c>
    </row>
    <row r="33" spans="1:21" x14ac:dyDescent="0.35">
      <c r="A33" t="s">
        <v>78</v>
      </c>
      <c r="B33" s="1">
        <v>45722</v>
      </c>
      <c r="C33" t="s">
        <v>17</v>
      </c>
      <c r="D33">
        <v>9</v>
      </c>
      <c r="E33" t="s">
        <v>12</v>
      </c>
      <c r="F33" t="s">
        <v>23</v>
      </c>
      <c r="G33">
        <v>405</v>
      </c>
      <c r="H33">
        <v>30</v>
      </c>
      <c r="I33" t="s">
        <v>14</v>
      </c>
      <c r="J33" t="str">
        <f>_xlfn.XLOOKUP(C33,'product_masterlist(ifs)'!A:A,'product_masterlist(ifs)'!C:C,"N/A",0)</f>
        <v>Frames</v>
      </c>
      <c r="K33">
        <f>VLOOKUP(C33,'product_masterlist(ifs)'!A:I,7,FALSE)</f>
        <v>45</v>
      </c>
      <c r="N33" s="2" t="str">
        <v>High Risk</v>
      </c>
      <c r="O33" s="2">
        <f t="shared" si="0"/>
        <v>192</v>
      </c>
      <c r="Q33" s="2" t="s">
        <v>34</v>
      </c>
      <c r="R33" s="2">
        <f>COUNTIFS(I:I,Q33,E:E,R30)</f>
        <v>44</v>
      </c>
      <c r="S33" s="2">
        <f>COUNTIFS(I:I,Q33,E:E,S30)</f>
        <v>63</v>
      </c>
      <c r="T33" s="2">
        <f>COUNTIFS(I:I,Q33,E:E,T30)</f>
        <v>53</v>
      </c>
      <c r="U33" s="2">
        <f>COUNTIFS(I:I,Q33,E:E,U30)</f>
        <v>32</v>
      </c>
    </row>
    <row r="34" spans="1:21" x14ac:dyDescent="0.35">
      <c r="A34" t="s">
        <v>79</v>
      </c>
      <c r="B34" t="s">
        <v>80</v>
      </c>
      <c r="C34" t="s">
        <v>33</v>
      </c>
      <c r="D34">
        <v>18</v>
      </c>
      <c r="E34" t="s">
        <v>37</v>
      </c>
      <c r="F34" t="s">
        <v>23</v>
      </c>
      <c r="G34">
        <v>2700</v>
      </c>
      <c r="H34">
        <v>45</v>
      </c>
      <c r="I34" t="s">
        <v>34</v>
      </c>
      <c r="J34" t="str">
        <f>_xlfn.XLOOKUP(C34,'product_masterlist(ifs)'!A:A,'product_masterlist(ifs)'!C:C,"N/A",0)</f>
        <v>Surgical</v>
      </c>
      <c r="K34">
        <f>VLOOKUP(C34,'product_masterlist(ifs)'!A:I,7,FALSE)</f>
        <v>15</v>
      </c>
      <c r="N34">
        <v>0</v>
      </c>
      <c r="O34">
        <f t="shared" si="0"/>
        <v>0</v>
      </c>
    </row>
    <row r="35" spans="1:21" x14ac:dyDescent="0.35">
      <c r="A35" t="s">
        <v>81</v>
      </c>
      <c r="B35" s="1">
        <v>45966</v>
      </c>
      <c r="C35" t="s">
        <v>42</v>
      </c>
      <c r="D35">
        <v>7</v>
      </c>
      <c r="E35" t="s">
        <v>20</v>
      </c>
      <c r="F35" t="s">
        <v>18</v>
      </c>
      <c r="G35">
        <v>175</v>
      </c>
      <c r="H35">
        <v>21</v>
      </c>
      <c r="I35" t="s">
        <v>14</v>
      </c>
      <c r="J35" t="str">
        <f>_xlfn.XLOOKUP(C35,'product_masterlist(ifs)'!A:A,'product_masterlist(ifs)'!C:C,"N/A",0)</f>
        <v>Contact Lenses</v>
      </c>
      <c r="K35">
        <f>VLOOKUP(C35,'product_masterlist(ifs)'!A:I,7,FALSE)</f>
        <v>120</v>
      </c>
    </row>
    <row r="36" spans="1:21" x14ac:dyDescent="0.35">
      <c r="A36" t="s">
        <v>82</v>
      </c>
      <c r="B36" t="s">
        <v>83</v>
      </c>
      <c r="C36" t="s">
        <v>42</v>
      </c>
      <c r="D36">
        <v>6</v>
      </c>
      <c r="E36" t="s">
        <v>12</v>
      </c>
      <c r="F36" t="s">
        <v>31</v>
      </c>
      <c r="G36">
        <v>150</v>
      </c>
      <c r="H36">
        <v>21</v>
      </c>
      <c r="I36" t="s">
        <v>14</v>
      </c>
      <c r="J36" t="str">
        <f>_xlfn.XLOOKUP(C36,'product_masterlist(ifs)'!A:A,'product_masterlist(ifs)'!C:C,"N/A",0)</f>
        <v>Contact Lenses</v>
      </c>
      <c r="K36">
        <f>VLOOKUP(C36,'product_masterlist(ifs)'!A:I,7,FALSE)</f>
        <v>120</v>
      </c>
    </row>
    <row r="37" spans="1:21" x14ac:dyDescent="0.35">
      <c r="A37" t="s">
        <v>84</v>
      </c>
      <c r="B37" s="1">
        <v>45843</v>
      </c>
      <c r="C37" t="s">
        <v>42</v>
      </c>
      <c r="D37">
        <v>21</v>
      </c>
      <c r="E37" t="s">
        <v>22</v>
      </c>
      <c r="F37" t="s">
        <v>23</v>
      </c>
      <c r="G37">
        <v>525</v>
      </c>
      <c r="H37">
        <v>21</v>
      </c>
      <c r="I37" t="s">
        <v>14</v>
      </c>
      <c r="J37" t="str">
        <f>_xlfn.XLOOKUP(C37,'product_masterlist(ifs)'!A:A,'product_masterlist(ifs)'!C:C,"N/A",0)</f>
        <v>Contact Lenses</v>
      </c>
      <c r="K37">
        <f>VLOOKUP(C37,'product_masterlist(ifs)'!A:I,7,FALSE)</f>
        <v>120</v>
      </c>
    </row>
    <row r="38" spans="1:21" x14ac:dyDescent="0.35">
      <c r="A38" t="s">
        <v>85</v>
      </c>
      <c r="B38" s="1">
        <v>45781</v>
      </c>
      <c r="C38" t="s">
        <v>26</v>
      </c>
      <c r="D38">
        <v>24</v>
      </c>
      <c r="E38" t="s">
        <v>37</v>
      </c>
      <c r="F38" t="s">
        <v>31</v>
      </c>
      <c r="G38">
        <v>300</v>
      </c>
      <c r="H38">
        <v>14</v>
      </c>
      <c r="I38" t="s">
        <v>28</v>
      </c>
      <c r="J38" t="str">
        <f>_xlfn.XLOOKUP(C38,'product_masterlist(ifs)'!A:A,'product_masterlist(ifs)'!C:C,"N/A",0)</f>
        <v>Contact Lenses</v>
      </c>
      <c r="K38">
        <f>VLOOKUP(C38,'product_masterlist(ifs)'!A:I,7,FALSE)</f>
        <v>450</v>
      </c>
      <c r="N38" t="str">
        <f>_xlfn.XLOOKUP(O38,I:I,C:C,,0)</f>
        <v>SURG-L-01</v>
      </c>
      <c r="O38" t="s">
        <v>34</v>
      </c>
      <c r="P38">
        <f>COUNTIFS(C:C,#REF!,I:I,O38)</f>
        <v>0</v>
      </c>
    </row>
    <row r="39" spans="1:21" x14ac:dyDescent="0.35">
      <c r="A39" t="s">
        <v>86</v>
      </c>
      <c r="B39" t="s">
        <v>87</v>
      </c>
      <c r="C39" t="s">
        <v>11</v>
      </c>
      <c r="D39">
        <v>6</v>
      </c>
      <c r="E39" t="s">
        <v>37</v>
      </c>
      <c r="F39" t="s">
        <v>18</v>
      </c>
      <c r="G39">
        <v>510</v>
      </c>
      <c r="H39">
        <v>30</v>
      </c>
      <c r="I39" t="s">
        <v>14</v>
      </c>
      <c r="J39" t="str">
        <f>_xlfn.XLOOKUP(C39,'product_masterlist(ifs)'!A:A,'product_masterlist(ifs)'!C:C,"N/A",0)</f>
        <v>Surgical</v>
      </c>
      <c r="K39">
        <f>VLOOKUP(C39,'product_masterlist(ifs)'!A:I,7,FALSE)</f>
        <v>40</v>
      </c>
    </row>
    <row r="40" spans="1:21" x14ac:dyDescent="0.35">
      <c r="A40" t="s">
        <v>88</v>
      </c>
      <c r="B40" t="s">
        <v>89</v>
      </c>
      <c r="C40" t="s">
        <v>90</v>
      </c>
      <c r="D40">
        <v>9</v>
      </c>
      <c r="E40" t="s">
        <v>20</v>
      </c>
      <c r="F40" t="s">
        <v>31</v>
      </c>
      <c r="G40" t="s">
        <v>91</v>
      </c>
      <c r="H40">
        <v>30</v>
      </c>
      <c r="I40" t="s">
        <v>14</v>
      </c>
      <c r="J40" t="str">
        <f>_xlfn.XLOOKUP(C40,'product_masterlist(ifs)'!A:A,'product_masterlist(ifs)'!C:C,"N/A",0)</f>
        <v>Frames</v>
      </c>
      <c r="K40">
        <f>VLOOKUP(C40,'product_masterlist(ifs)'!A:I,7,FALSE)</f>
        <v>180</v>
      </c>
    </row>
    <row r="41" spans="1:21" x14ac:dyDescent="0.35">
      <c r="A41" t="s">
        <v>92</v>
      </c>
      <c r="B41" s="1">
        <v>45658</v>
      </c>
      <c r="C41" t="s">
        <v>53</v>
      </c>
      <c r="D41">
        <v>15</v>
      </c>
      <c r="E41" t="s">
        <v>20</v>
      </c>
      <c r="F41" t="s">
        <v>13</v>
      </c>
      <c r="G41" t="s">
        <v>93</v>
      </c>
      <c r="H41">
        <v>7</v>
      </c>
      <c r="I41" t="s">
        <v>28</v>
      </c>
      <c r="J41" t="str">
        <f>_xlfn.XLOOKUP(C41,'product_masterlist(ifs)'!A:A,'product_masterlist(ifs)'!C:C,"N/A",0)</f>
        <v>Solutions</v>
      </c>
      <c r="K41">
        <f>VLOOKUP(C41,'product_masterlist(ifs)'!A:I,7,FALSE)</f>
        <v>800</v>
      </c>
    </row>
    <row r="42" spans="1:21" x14ac:dyDescent="0.35">
      <c r="A42" t="s">
        <v>94</v>
      </c>
      <c r="B42" s="1">
        <v>45717</v>
      </c>
      <c r="C42" t="s">
        <v>53</v>
      </c>
      <c r="D42">
        <v>10</v>
      </c>
      <c r="E42" t="s">
        <v>37</v>
      </c>
      <c r="F42" t="s">
        <v>18</v>
      </c>
      <c r="G42" t="s">
        <v>95</v>
      </c>
      <c r="H42">
        <v>7</v>
      </c>
      <c r="I42" t="s">
        <v>28</v>
      </c>
      <c r="J42" t="str">
        <f>_xlfn.XLOOKUP(C42,'product_masterlist(ifs)'!A:A,'product_masterlist(ifs)'!C:C,"N/A",0)</f>
        <v>Solutions</v>
      </c>
      <c r="K42">
        <f>VLOOKUP(C42,'product_masterlist(ifs)'!A:I,7,FALSE)</f>
        <v>800</v>
      </c>
    </row>
    <row r="43" spans="1:21" x14ac:dyDescent="0.35">
      <c r="A43" t="s">
        <v>96</v>
      </c>
      <c r="B43" t="s">
        <v>97</v>
      </c>
      <c r="C43" t="s">
        <v>26</v>
      </c>
      <c r="D43">
        <v>6</v>
      </c>
      <c r="E43" t="s">
        <v>12</v>
      </c>
      <c r="F43" t="s">
        <v>18</v>
      </c>
      <c r="G43">
        <v>75</v>
      </c>
      <c r="H43">
        <v>14</v>
      </c>
      <c r="I43" t="s">
        <v>28</v>
      </c>
      <c r="J43" t="str">
        <f>_xlfn.XLOOKUP(C43,'product_masterlist(ifs)'!A:A,'product_masterlist(ifs)'!C:C,"N/A",0)</f>
        <v>Contact Lenses</v>
      </c>
      <c r="K43">
        <f>VLOOKUP(C43,'product_masterlist(ifs)'!A:I,7,FALSE)</f>
        <v>450</v>
      </c>
      <c r="O43" s="5"/>
    </row>
    <row r="44" spans="1:21" x14ac:dyDescent="0.35">
      <c r="A44" t="s">
        <v>98</v>
      </c>
      <c r="B44" t="s">
        <v>60</v>
      </c>
      <c r="C44" t="s">
        <v>42</v>
      </c>
      <c r="D44">
        <v>22</v>
      </c>
      <c r="E44" t="s">
        <v>22</v>
      </c>
      <c r="F44" t="s">
        <v>13</v>
      </c>
      <c r="G44">
        <v>550</v>
      </c>
      <c r="H44">
        <v>21</v>
      </c>
      <c r="I44" t="s">
        <v>14</v>
      </c>
      <c r="J44" t="str">
        <f>_xlfn.XLOOKUP(C44,'product_masterlist(ifs)'!A:A,'product_masterlist(ifs)'!C:C,"N/A",0)</f>
        <v>Contact Lenses</v>
      </c>
      <c r="K44">
        <f>VLOOKUP(C44,'product_masterlist(ifs)'!A:I,7,FALSE)</f>
        <v>120</v>
      </c>
      <c r="O44" s="5"/>
    </row>
    <row r="45" spans="1:21" x14ac:dyDescent="0.35">
      <c r="A45" t="s">
        <v>99</v>
      </c>
      <c r="B45" t="s">
        <v>100</v>
      </c>
      <c r="C45" t="s">
        <v>26</v>
      </c>
      <c r="D45">
        <v>1</v>
      </c>
      <c r="E45" t="s">
        <v>37</v>
      </c>
      <c r="F45" t="s">
        <v>18</v>
      </c>
      <c r="G45" t="s">
        <v>101</v>
      </c>
      <c r="H45">
        <v>14</v>
      </c>
      <c r="I45" t="s">
        <v>28</v>
      </c>
      <c r="J45" t="str">
        <f>_xlfn.XLOOKUP(C45,'product_masterlist(ifs)'!A:A,'product_masterlist(ifs)'!C:C,"N/A",0)</f>
        <v>Contact Lenses</v>
      </c>
      <c r="K45">
        <f>VLOOKUP(C45,'product_masterlist(ifs)'!A:I,7,FALSE)</f>
        <v>450</v>
      </c>
      <c r="N45" t="str">
        <f>'product_masterlist(ifs)'!J6</f>
        <v>Low Stock</v>
      </c>
      <c r="O45" s="6">
        <f>COUNTIF('product_masterlist(ifs)'!J:J,'product_masterlist(ifs)'!J6)</f>
        <v>2</v>
      </c>
    </row>
    <row r="46" spans="1:21" x14ac:dyDescent="0.35">
      <c r="A46" t="s">
        <v>102</v>
      </c>
      <c r="B46" t="s">
        <v>103</v>
      </c>
      <c r="C46" t="s">
        <v>33</v>
      </c>
      <c r="D46">
        <v>8</v>
      </c>
      <c r="E46" t="s">
        <v>12</v>
      </c>
      <c r="F46" t="s">
        <v>31</v>
      </c>
      <c r="G46">
        <v>1200</v>
      </c>
      <c r="H46">
        <v>45</v>
      </c>
      <c r="I46" t="s">
        <v>34</v>
      </c>
      <c r="J46" t="str">
        <f>_xlfn.XLOOKUP(C46,'product_masterlist(ifs)'!A:A,'product_masterlist(ifs)'!C:C,"N/A",0)</f>
        <v>Surgical</v>
      </c>
      <c r="K46">
        <f>VLOOKUP(C46,'product_masterlist(ifs)'!A:I,7,FALSE)</f>
        <v>15</v>
      </c>
      <c r="O46" t="s">
        <v>53</v>
      </c>
    </row>
    <row r="47" spans="1:21" x14ac:dyDescent="0.35">
      <c r="A47" t="s">
        <v>104</v>
      </c>
      <c r="B47" t="s">
        <v>105</v>
      </c>
      <c r="C47" t="s">
        <v>42</v>
      </c>
      <c r="D47">
        <v>12</v>
      </c>
      <c r="E47" t="s">
        <v>22</v>
      </c>
      <c r="F47" t="s">
        <v>31</v>
      </c>
      <c r="G47">
        <v>300</v>
      </c>
      <c r="H47">
        <v>21</v>
      </c>
      <c r="I47" t="s">
        <v>14</v>
      </c>
      <c r="J47" t="str">
        <f>_xlfn.XLOOKUP(C47,'product_masterlist(ifs)'!A:A,'product_masterlist(ifs)'!C:C,"N/A",0)</f>
        <v>Contact Lenses</v>
      </c>
      <c r="K47">
        <f>VLOOKUP(C47,'product_masterlist(ifs)'!A:I,7,FALSE)</f>
        <v>120</v>
      </c>
      <c r="O47" t="s">
        <v>11</v>
      </c>
    </row>
    <row r="48" spans="1:21" x14ac:dyDescent="0.35">
      <c r="A48" t="s">
        <v>106</v>
      </c>
      <c r="B48" s="1">
        <v>45789</v>
      </c>
      <c r="C48" t="s">
        <v>33</v>
      </c>
      <c r="D48">
        <v>18</v>
      </c>
      <c r="E48" t="s">
        <v>37</v>
      </c>
      <c r="F48" t="s">
        <v>23</v>
      </c>
      <c r="G48">
        <v>2700</v>
      </c>
      <c r="H48">
        <v>45</v>
      </c>
      <c r="I48" t="s">
        <v>34</v>
      </c>
      <c r="J48" t="str">
        <f>_xlfn.XLOOKUP(C48,'product_masterlist(ifs)'!A:A,'product_masterlist(ifs)'!C:C,"N/A",0)</f>
        <v>Surgical</v>
      </c>
      <c r="K48">
        <f>VLOOKUP(C48,'product_masterlist(ifs)'!A:I,7,FALSE)</f>
        <v>15</v>
      </c>
    </row>
    <row r="49" spans="1:11" x14ac:dyDescent="0.35">
      <c r="A49" t="s">
        <v>107</v>
      </c>
      <c r="B49" t="s">
        <v>108</v>
      </c>
      <c r="C49" t="s">
        <v>90</v>
      </c>
      <c r="D49">
        <v>1</v>
      </c>
      <c r="E49" t="s">
        <v>22</v>
      </c>
      <c r="F49" t="s">
        <v>23</v>
      </c>
      <c r="G49" t="s">
        <v>109</v>
      </c>
      <c r="H49">
        <v>30</v>
      </c>
      <c r="I49" t="s">
        <v>14</v>
      </c>
      <c r="J49" t="str">
        <f>_xlfn.XLOOKUP(C49,'product_masterlist(ifs)'!A:A,'product_masterlist(ifs)'!C:C,"N/A",0)</f>
        <v>Frames</v>
      </c>
      <c r="K49">
        <f>VLOOKUP(C49,'product_masterlist(ifs)'!A:I,7,FALSE)</f>
        <v>180</v>
      </c>
    </row>
    <row r="50" spans="1:11" x14ac:dyDescent="0.35">
      <c r="A50" t="s">
        <v>110</v>
      </c>
      <c r="B50" t="s">
        <v>111</v>
      </c>
      <c r="C50" t="s">
        <v>17</v>
      </c>
      <c r="D50">
        <v>5</v>
      </c>
      <c r="E50" t="s">
        <v>20</v>
      </c>
      <c r="F50" t="s">
        <v>31</v>
      </c>
      <c r="G50">
        <v>225</v>
      </c>
      <c r="H50">
        <v>30</v>
      </c>
      <c r="I50" t="s">
        <v>14</v>
      </c>
      <c r="J50" t="str">
        <f>_xlfn.XLOOKUP(C50,'product_masterlist(ifs)'!A:A,'product_masterlist(ifs)'!C:C,"N/A",0)</f>
        <v>Frames</v>
      </c>
      <c r="K50">
        <f>VLOOKUP(C50,'product_masterlist(ifs)'!A:I,7,FALSE)</f>
        <v>45</v>
      </c>
    </row>
    <row r="51" spans="1:11" x14ac:dyDescent="0.35">
      <c r="A51" t="s">
        <v>112</v>
      </c>
      <c r="B51" s="1">
        <v>45725</v>
      </c>
      <c r="C51" t="s">
        <v>11</v>
      </c>
      <c r="D51">
        <v>24</v>
      </c>
      <c r="E51" t="s">
        <v>20</v>
      </c>
      <c r="F51" t="s">
        <v>31</v>
      </c>
      <c r="G51">
        <v>2040</v>
      </c>
      <c r="H51">
        <v>30</v>
      </c>
      <c r="I51" t="s">
        <v>14</v>
      </c>
      <c r="J51" t="str">
        <f>_xlfn.XLOOKUP(C51,'product_masterlist(ifs)'!A:A,'product_masterlist(ifs)'!C:C,"N/A",0)</f>
        <v>Surgical</v>
      </c>
      <c r="K51">
        <f>VLOOKUP(C51,'product_masterlist(ifs)'!A:I,7,FALSE)</f>
        <v>40</v>
      </c>
    </row>
    <row r="52" spans="1:11" x14ac:dyDescent="0.35">
      <c r="A52" t="s">
        <v>113</v>
      </c>
      <c r="B52" s="1">
        <v>45870</v>
      </c>
      <c r="C52" t="s">
        <v>17</v>
      </c>
      <c r="D52">
        <v>12</v>
      </c>
      <c r="E52" t="s">
        <v>20</v>
      </c>
      <c r="F52" t="s">
        <v>13</v>
      </c>
      <c r="G52">
        <v>540</v>
      </c>
      <c r="H52">
        <v>30</v>
      </c>
      <c r="I52" t="s">
        <v>14</v>
      </c>
      <c r="J52" t="str">
        <f>_xlfn.XLOOKUP(C52,'product_masterlist(ifs)'!A:A,'product_masterlist(ifs)'!C:C,"N/A",0)</f>
        <v>Frames</v>
      </c>
      <c r="K52">
        <f>VLOOKUP(C52,'product_masterlist(ifs)'!A:I,7,FALSE)</f>
        <v>45</v>
      </c>
    </row>
    <row r="53" spans="1:11" x14ac:dyDescent="0.35">
      <c r="A53" t="s">
        <v>114</v>
      </c>
      <c r="B53" t="s">
        <v>115</v>
      </c>
      <c r="C53" t="s">
        <v>11</v>
      </c>
      <c r="D53">
        <v>23</v>
      </c>
      <c r="E53" t="s">
        <v>12</v>
      </c>
      <c r="F53" t="s">
        <v>23</v>
      </c>
      <c r="G53">
        <v>1955</v>
      </c>
      <c r="H53">
        <v>30</v>
      </c>
      <c r="I53" t="s">
        <v>14</v>
      </c>
      <c r="J53" t="str">
        <f>_xlfn.XLOOKUP(C53,'product_masterlist(ifs)'!A:A,'product_masterlist(ifs)'!C:C,"N/A",0)</f>
        <v>Surgical</v>
      </c>
      <c r="K53">
        <f>VLOOKUP(C53,'product_masterlist(ifs)'!A:I,7,FALSE)</f>
        <v>40</v>
      </c>
    </row>
    <row r="54" spans="1:11" x14ac:dyDescent="0.35">
      <c r="A54" t="s">
        <v>116</v>
      </c>
      <c r="B54" t="s">
        <v>117</v>
      </c>
      <c r="C54" t="s">
        <v>33</v>
      </c>
      <c r="D54">
        <v>4</v>
      </c>
      <c r="E54" t="s">
        <v>12</v>
      </c>
      <c r="F54" t="s">
        <v>23</v>
      </c>
      <c r="G54">
        <v>600</v>
      </c>
      <c r="H54">
        <v>45</v>
      </c>
      <c r="I54" t="s">
        <v>34</v>
      </c>
      <c r="J54" t="str">
        <f>_xlfn.XLOOKUP(C54,'product_masterlist(ifs)'!A:A,'product_masterlist(ifs)'!C:C,"N/A",0)</f>
        <v>Surgical</v>
      </c>
      <c r="K54">
        <f>VLOOKUP(C54,'product_masterlist(ifs)'!A:I,7,FALSE)</f>
        <v>15</v>
      </c>
    </row>
    <row r="55" spans="1:11" x14ac:dyDescent="0.35">
      <c r="A55" t="s">
        <v>118</v>
      </c>
      <c r="B55" t="s">
        <v>119</v>
      </c>
      <c r="C55" t="s">
        <v>90</v>
      </c>
      <c r="D55">
        <v>21</v>
      </c>
      <c r="E55" t="s">
        <v>12</v>
      </c>
      <c r="F55" t="s">
        <v>31</v>
      </c>
      <c r="G55" t="s">
        <v>120</v>
      </c>
      <c r="H55">
        <v>30</v>
      </c>
      <c r="I55" t="s">
        <v>14</v>
      </c>
      <c r="J55" t="str">
        <f>_xlfn.XLOOKUP(C55,'product_masterlist(ifs)'!A:A,'product_masterlist(ifs)'!C:C,"N/A",0)</f>
        <v>Frames</v>
      </c>
      <c r="K55">
        <f>VLOOKUP(C55,'product_masterlist(ifs)'!A:I,7,FALSE)</f>
        <v>180</v>
      </c>
    </row>
    <row r="56" spans="1:11" x14ac:dyDescent="0.35">
      <c r="A56" t="s">
        <v>121</v>
      </c>
      <c r="B56" t="s">
        <v>122</v>
      </c>
      <c r="C56" t="s">
        <v>90</v>
      </c>
      <c r="D56">
        <v>23</v>
      </c>
      <c r="E56" t="s">
        <v>12</v>
      </c>
      <c r="F56" t="s">
        <v>23</v>
      </c>
      <c r="G56" t="s">
        <v>123</v>
      </c>
      <c r="H56">
        <v>30</v>
      </c>
      <c r="I56" t="s">
        <v>14</v>
      </c>
      <c r="J56" t="str">
        <f>_xlfn.XLOOKUP(C56,'product_masterlist(ifs)'!A:A,'product_masterlist(ifs)'!C:C,"N/A",0)</f>
        <v>Frames</v>
      </c>
      <c r="K56">
        <f>VLOOKUP(C56,'product_masterlist(ifs)'!A:I,7,FALSE)</f>
        <v>180</v>
      </c>
    </row>
    <row r="57" spans="1:11" x14ac:dyDescent="0.35">
      <c r="A57" t="s">
        <v>124</v>
      </c>
      <c r="B57" t="s">
        <v>125</v>
      </c>
      <c r="C57" t="s">
        <v>26</v>
      </c>
      <c r="D57">
        <v>16</v>
      </c>
      <c r="E57" t="s">
        <v>20</v>
      </c>
      <c r="F57" t="s">
        <v>18</v>
      </c>
      <c r="G57">
        <v>200</v>
      </c>
      <c r="H57">
        <v>14</v>
      </c>
      <c r="I57" t="s">
        <v>28</v>
      </c>
      <c r="J57" t="str">
        <f>_xlfn.XLOOKUP(C57,'product_masterlist(ifs)'!A:A,'product_masterlist(ifs)'!C:C,"N/A",0)</f>
        <v>Contact Lenses</v>
      </c>
      <c r="K57">
        <f>VLOOKUP(C57,'product_masterlist(ifs)'!A:I,7,FALSE)</f>
        <v>450</v>
      </c>
    </row>
    <row r="58" spans="1:11" x14ac:dyDescent="0.35">
      <c r="A58" t="s">
        <v>126</v>
      </c>
      <c r="B58" t="s">
        <v>127</v>
      </c>
      <c r="C58" t="s">
        <v>33</v>
      </c>
      <c r="D58">
        <v>16</v>
      </c>
      <c r="E58" t="s">
        <v>20</v>
      </c>
      <c r="F58" t="s">
        <v>13</v>
      </c>
      <c r="G58">
        <v>2400</v>
      </c>
      <c r="H58">
        <v>45</v>
      </c>
      <c r="I58" t="s">
        <v>34</v>
      </c>
      <c r="J58" t="str">
        <f>_xlfn.XLOOKUP(C58,'product_masterlist(ifs)'!A:A,'product_masterlist(ifs)'!C:C,"N/A",0)</f>
        <v>Surgical</v>
      </c>
      <c r="K58">
        <f>VLOOKUP(C58,'product_masterlist(ifs)'!A:I,7,FALSE)</f>
        <v>15</v>
      </c>
    </row>
    <row r="59" spans="1:11" x14ac:dyDescent="0.35">
      <c r="A59" t="s">
        <v>128</v>
      </c>
      <c r="B59" t="s">
        <v>129</v>
      </c>
      <c r="C59" t="s">
        <v>90</v>
      </c>
      <c r="D59">
        <v>1</v>
      </c>
      <c r="E59" t="s">
        <v>37</v>
      </c>
      <c r="F59" t="s">
        <v>13</v>
      </c>
      <c r="G59" t="s">
        <v>109</v>
      </c>
      <c r="H59">
        <v>30</v>
      </c>
      <c r="I59" t="s">
        <v>14</v>
      </c>
      <c r="J59" t="str">
        <f>_xlfn.XLOOKUP(C59,'product_masterlist(ifs)'!A:A,'product_masterlist(ifs)'!C:C,"N/A",0)</f>
        <v>Frames</v>
      </c>
      <c r="K59">
        <f>VLOOKUP(C59,'product_masterlist(ifs)'!A:I,7,FALSE)</f>
        <v>180</v>
      </c>
    </row>
    <row r="60" spans="1:11" x14ac:dyDescent="0.35">
      <c r="A60" t="s">
        <v>130</v>
      </c>
      <c r="B60" t="s">
        <v>131</v>
      </c>
      <c r="C60" t="s">
        <v>42</v>
      </c>
      <c r="D60">
        <v>16</v>
      </c>
      <c r="E60" t="s">
        <v>12</v>
      </c>
      <c r="F60" t="s">
        <v>31</v>
      </c>
      <c r="G60">
        <v>400</v>
      </c>
      <c r="H60">
        <v>21</v>
      </c>
      <c r="I60" t="s">
        <v>14</v>
      </c>
      <c r="J60" t="str">
        <f>_xlfn.XLOOKUP(C60,'product_masterlist(ifs)'!A:A,'product_masterlist(ifs)'!C:C,"N/A",0)</f>
        <v>Contact Lenses</v>
      </c>
      <c r="K60">
        <f>VLOOKUP(C60,'product_masterlist(ifs)'!A:I,7,FALSE)</f>
        <v>120</v>
      </c>
    </row>
    <row r="61" spans="1:11" x14ac:dyDescent="0.35">
      <c r="A61" t="s">
        <v>132</v>
      </c>
      <c r="B61" s="1">
        <v>45871</v>
      </c>
      <c r="C61" t="s">
        <v>11</v>
      </c>
      <c r="D61">
        <v>15</v>
      </c>
      <c r="E61" t="s">
        <v>37</v>
      </c>
      <c r="F61" t="s">
        <v>31</v>
      </c>
      <c r="G61">
        <v>1275</v>
      </c>
      <c r="H61">
        <v>30</v>
      </c>
      <c r="I61" t="s">
        <v>14</v>
      </c>
      <c r="J61" t="str">
        <f>_xlfn.XLOOKUP(C61,'product_masterlist(ifs)'!A:A,'product_masterlist(ifs)'!C:C,"N/A",0)</f>
        <v>Surgical</v>
      </c>
      <c r="K61">
        <f>VLOOKUP(C61,'product_masterlist(ifs)'!A:I,7,FALSE)</f>
        <v>40</v>
      </c>
    </row>
    <row r="62" spans="1:11" x14ac:dyDescent="0.35">
      <c r="A62" t="s">
        <v>133</v>
      </c>
      <c r="B62" s="1">
        <v>45788</v>
      </c>
      <c r="C62" t="s">
        <v>90</v>
      </c>
      <c r="D62">
        <v>2</v>
      </c>
      <c r="E62" t="s">
        <v>22</v>
      </c>
      <c r="F62" t="s">
        <v>31</v>
      </c>
      <c r="G62">
        <v>97</v>
      </c>
      <c r="H62">
        <v>30</v>
      </c>
      <c r="I62" t="s">
        <v>14</v>
      </c>
      <c r="J62" t="str">
        <f>_xlfn.XLOOKUP(C62,'product_masterlist(ifs)'!A:A,'product_masterlist(ifs)'!C:C,"N/A",0)</f>
        <v>Frames</v>
      </c>
      <c r="K62">
        <f>VLOOKUP(C62,'product_masterlist(ifs)'!A:I,7,FALSE)</f>
        <v>180</v>
      </c>
    </row>
    <row r="63" spans="1:11" x14ac:dyDescent="0.35">
      <c r="A63" t="s">
        <v>134</v>
      </c>
      <c r="B63" t="s">
        <v>135</v>
      </c>
      <c r="C63" t="s">
        <v>33</v>
      </c>
      <c r="D63">
        <v>21</v>
      </c>
      <c r="E63" t="s">
        <v>12</v>
      </c>
      <c r="F63" t="s">
        <v>23</v>
      </c>
      <c r="G63">
        <v>3150</v>
      </c>
      <c r="H63">
        <v>45</v>
      </c>
      <c r="I63" t="s">
        <v>34</v>
      </c>
      <c r="J63" t="str">
        <f>_xlfn.XLOOKUP(C63,'product_masterlist(ifs)'!A:A,'product_masterlist(ifs)'!C:C,"N/A",0)</f>
        <v>Surgical</v>
      </c>
      <c r="K63">
        <f>VLOOKUP(C63,'product_masterlist(ifs)'!A:I,7,FALSE)</f>
        <v>15</v>
      </c>
    </row>
    <row r="64" spans="1:11" x14ac:dyDescent="0.35">
      <c r="A64" t="s">
        <v>136</v>
      </c>
      <c r="B64" s="1">
        <v>45812</v>
      </c>
      <c r="C64" t="s">
        <v>90</v>
      </c>
      <c r="D64">
        <v>20</v>
      </c>
      <c r="E64" t="s">
        <v>12</v>
      </c>
      <c r="F64" t="s">
        <v>13</v>
      </c>
      <c r="G64">
        <v>970</v>
      </c>
      <c r="H64">
        <v>30</v>
      </c>
      <c r="I64" t="s">
        <v>14</v>
      </c>
      <c r="J64" t="str">
        <f>_xlfn.XLOOKUP(C64,'product_masterlist(ifs)'!A:A,'product_masterlist(ifs)'!C:C,"N/A",0)</f>
        <v>Frames</v>
      </c>
      <c r="K64">
        <f>VLOOKUP(C64,'product_masterlist(ifs)'!A:I,7,FALSE)</f>
        <v>180</v>
      </c>
    </row>
    <row r="65" spans="1:11" x14ac:dyDescent="0.35">
      <c r="A65" t="s">
        <v>137</v>
      </c>
      <c r="B65" t="s">
        <v>138</v>
      </c>
      <c r="C65" t="s">
        <v>33</v>
      </c>
      <c r="D65">
        <v>17</v>
      </c>
      <c r="E65" t="s">
        <v>12</v>
      </c>
      <c r="F65" t="s">
        <v>23</v>
      </c>
      <c r="G65">
        <v>2550</v>
      </c>
      <c r="H65">
        <v>45</v>
      </c>
      <c r="I65" t="s">
        <v>34</v>
      </c>
      <c r="J65" t="str">
        <f>_xlfn.XLOOKUP(C65,'product_masterlist(ifs)'!A:A,'product_masterlist(ifs)'!C:C,"N/A",0)</f>
        <v>Surgical</v>
      </c>
      <c r="K65">
        <f>VLOOKUP(C65,'product_masterlist(ifs)'!A:I,7,FALSE)</f>
        <v>15</v>
      </c>
    </row>
    <row r="66" spans="1:11" x14ac:dyDescent="0.35">
      <c r="A66" t="s">
        <v>139</v>
      </c>
      <c r="B66" s="1">
        <v>45748</v>
      </c>
      <c r="C66" t="s">
        <v>42</v>
      </c>
      <c r="D66">
        <v>3</v>
      </c>
      <c r="E66" t="s">
        <v>20</v>
      </c>
      <c r="F66" t="s">
        <v>18</v>
      </c>
      <c r="G66">
        <v>75</v>
      </c>
      <c r="H66">
        <v>21</v>
      </c>
      <c r="I66" t="s">
        <v>14</v>
      </c>
      <c r="J66" t="str">
        <f>_xlfn.XLOOKUP(C66,'product_masterlist(ifs)'!A:A,'product_masterlist(ifs)'!C:C,"N/A",0)</f>
        <v>Contact Lenses</v>
      </c>
      <c r="K66">
        <f>VLOOKUP(C66,'product_masterlist(ifs)'!A:I,7,FALSE)</f>
        <v>120</v>
      </c>
    </row>
    <row r="67" spans="1:11" x14ac:dyDescent="0.35">
      <c r="A67" t="s">
        <v>140</v>
      </c>
      <c r="B67" t="s">
        <v>141</v>
      </c>
      <c r="C67" t="s">
        <v>53</v>
      </c>
      <c r="D67">
        <v>9</v>
      </c>
      <c r="E67" t="s">
        <v>37</v>
      </c>
      <c r="F67" t="s">
        <v>18</v>
      </c>
      <c r="G67" t="s">
        <v>75</v>
      </c>
      <c r="H67">
        <v>7</v>
      </c>
      <c r="I67" t="s">
        <v>28</v>
      </c>
      <c r="J67" t="str">
        <f>_xlfn.XLOOKUP(C67,'product_masterlist(ifs)'!A:A,'product_masterlist(ifs)'!C:C,"N/A",0)</f>
        <v>Solutions</v>
      </c>
      <c r="K67">
        <f>VLOOKUP(C67,'product_masterlist(ifs)'!A:I,7,FALSE)</f>
        <v>800</v>
      </c>
    </row>
    <row r="68" spans="1:11" x14ac:dyDescent="0.35">
      <c r="A68" t="s">
        <v>142</v>
      </c>
      <c r="B68" s="1">
        <v>45787</v>
      </c>
      <c r="C68" t="s">
        <v>53</v>
      </c>
      <c r="D68">
        <v>10</v>
      </c>
      <c r="E68" t="s">
        <v>22</v>
      </c>
      <c r="F68" t="s">
        <v>23</v>
      </c>
      <c r="G68" t="s">
        <v>95</v>
      </c>
      <c r="H68">
        <v>7</v>
      </c>
      <c r="I68" t="s">
        <v>28</v>
      </c>
      <c r="J68" t="str">
        <f>_xlfn.XLOOKUP(C68,'product_masterlist(ifs)'!A:A,'product_masterlist(ifs)'!C:C,"N/A",0)</f>
        <v>Solutions</v>
      </c>
      <c r="K68">
        <f>VLOOKUP(C68,'product_masterlist(ifs)'!A:I,7,FALSE)</f>
        <v>800</v>
      </c>
    </row>
    <row r="69" spans="1:11" x14ac:dyDescent="0.35">
      <c r="A69" t="s">
        <v>143</v>
      </c>
      <c r="B69" t="s">
        <v>144</v>
      </c>
      <c r="C69" t="s">
        <v>90</v>
      </c>
      <c r="D69">
        <v>18</v>
      </c>
      <c r="E69" t="s">
        <v>37</v>
      </c>
      <c r="F69" t="s">
        <v>31</v>
      </c>
      <c r="G69">
        <v>873</v>
      </c>
      <c r="H69">
        <v>30</v>
      </c>
      <c r="I69" t="s">
        <v>14</v>
      </c>
      <c r="J69" t="str">
        <f>_xlfn.XLOOKUP(C69,'product_masterlist(ifs)'!A:A,'product_masterlist(ifs)'!C:C,"N/A",0)</f>
        <v>Frames</v>
      </c>
      <c r="K69">
        <f>VLOOKUP(C69,'product_masterlist(ifs)'!A:I,7,FALSE)</f>
        <v>180</v>
      </c>
    </row>
    <row r="70" spans="1:11" x14ac:dyDescent="0.35">
      <c r="A70" t="s">
        <v>145</v>
      </c>
      <c r="B70" t="s">
        <v>146</v>
      </c>
      <c r="C70" t="s">
        <v>17</v>
      </c>
      <c r="D70">
        <v>22</v>
      </c>
      <c r="E70" t="s">
        <v>12</v>
      </c>
      <c r="F70" t="s">
        <v>13</v>
      </c>
      <c r="G70">
        <v>990</v>
      </c>
      <c r="H70">
        <v>30</v>
      </c>
      <c r="I70" t="s">
        <v>14</v>
      </c>
      <c r="J70" t="str">
        <f>_xlfn.XLOOKUP(C70,'product_masterlist(ifs)'!A:A,'product_masterlist(ifs)'!C:C,"N/A",0)</f>
        <v>Frames</v>
      </c>
      <c r="K70">
        <f>VLOOKUP(C70,'product_masterlist(ifs)'!A:I,7,FALSE)</f>
        <v>45</v>
      </c>
    </row>
    <row r="71" spans="1:11" x14ac:dyDescent="0.35">
      <c r="A71" t="s">
        <v>147</v>
      </c>
      <c r="B71" s="1">
        <v>45848</v>
      </c>
      <c r="C71" t="s">
        <v>33</v>
      </c>
      <c r="D71">
        <v>20</v>
      </c>
      <c r="E71" t="s">
        <v>20</v>
      </c>
      <c r="F71" t="s">
        <v>31</v>
      </c>
      <c r="G71">
        <v>3000</v>
      </c>
      <c r="H71">
        <v>45</v>
      </c>
      <c r="I71" t="s">
        <v>34</v>
      </c>
      <c r="J71" t="str">
        <f>_xlfn.XLOOKUP(C71,'product_masterlist(ifs)'!A:A,'product_masterlist(ifs)'!C:C,"N/A",0)</f>
        <v>Surgical</v>
      </c>
      <c r="K71">
        <f>VLOOKUP(C71,'product_masterlist(ifs)'!A:I,7,FALSE)</f>
        <v>15</v>
      </c>
    </row>
    <row r="72" spans="1:11" x14ac:dyDescent="0.35">
      <c r="A72" t="s">
        <v>148</v>
      </c>
      <c r="B72" t="s">
        <v>149</v>
      </c>
      <c r="C72" t="s">
        <v>33</v>
      </c>
      <c r="D72">
        <v>25</v>
      </c>
      <c r="E72" t="s">
        <v>37</v>
      </c>
      <c r="F72" t="s">
        <v>31</v>
      </c>
      <c r="G72">
        <v>3750</v>
      </c>
      <c r="H72">
        <v>45</v>
      </c>
      <c r="I72" t="s">
        <v>34</v>
      </c>
      <c r="J72" t="str">
        <f>_xlfn.XLOOKUP(C72,'product_masterlist(ifs)'!A:A,'product_masterlist(ifs)'!C:C,"N/A",0)</f>
        <v>Surgical</v>
      </c>
      <c r="K72">
        <f>VLOOKUP(C72,'product_masterlist(ifs)'!A:I,7,FALSE)</f>
        <v>15</v>
      </c>
    </row>
    <row r="73" spans="1:11" x14ac:dyDescent="0.35">
      <c r="A73" t="s">
        <v>150</v>
      </c>
      <c r="B73" t="s">
        <v>151</v>
      </c>
      <c r="C73" t="s">
        <v>26</v>
      </c>
      <c r="D73">
        <v>17</v>
      </c>
      <c r="E73" t="s">
        <v>12</v>
      </c>
      <c r="F73" t="s">
        <v>18</v>
      </c>
      <c r="G73" t="s">
        <v>152</v>
      </c>
      <c r="H73">
        <v>14</v>
      </c>
      <c r="I73" t="s">
        <v>28</v>
      </c>
      <c r="J73" t="str">
        <f>_xlfn.XLOOKUP(C73,'product_masterlist(ifs)'!A:A,'product_masterlist(ifs)'!C:C,"N/A",0)</f>
        <v>Contact Lenses</v>
      </c>
      <c r="K73">
        <f>VLOOKUP(C73,'product_masterlist(ifs)'!A:I,7,FALSE)</f>
        <v>450</v>
      </c>
    </row>
    <row r="74" spans="1:11" x14ac:dyDescent="0.35">
      <c r="A74" t="s">
        <v>153</v>
      </c>
      <c r="B74" t="s">
        <v>39</v>
      </c>
      <c r="C74" t="s">
        <v>33</v>
      </c>
      <c r="D74">
        <v>12</v>
      </c>
      <c r="E74" t="s">
        <v>22</v>
      </c>
      <c r="F74" t="s">
        <v>13</v>
      </c>
      <c r="G74">
        <v>1800</v>
      </c>
      <c r="H74">
        <v>45</v>
      </c>
      <c r="I74" t="s">
        <v>34</v>
      </c>
      <c r="J74" t="str">
        <f>_xlfn.XLOOKUP(C74,'product_masterlist(ifs)'!A:A,'product_masterlist(ifs)'!C:C,"N/A",0)</f>
        <v>Surgical</v>
      </c>
      <c r="K74">
        <f>VLOOKUP(C74,'product_masterlist(ifs)'!A:I,7,FALSE)</f>
        <v>15</v>
      </c>
    </row>
    <row r="75" spans="1:11" x14ac:dyDescent="0.35">
      <c r="A75" t="s">
        <v>154</v>
      </c>
      <c r="B75" s="1">
        <v>45788</v>
      </c>
      <c r="C75" t="s">
        <v>26</v>
      </c>
      <c r="D75">
        <v>5</v>
      </c>
      <c r="E75" t="s">
        <v>37</v>
      </c>
      <c r="F75" t="s">
        <v>31</v>
      </c>
      <c r="G75" t="s">
        <v>155</v>
      </c>
      <c r="H75">
        <v>14</v>
      </c>
      <c r="I75" t="s">
        <v>28</v>
      </c>
      <c r="J75" t="str">
        <f>_xlfn.XLOOKUP(C75,'product_masterlist(ifs)'!A:A,'product_masterlist(ifs)'!C:C,"N/A",0)</f>
        <v>Contact Lenses</v>
      </c>
      <c r="K75">
        <f>VLOOKUP(C75,'product_masterlist(ifs)'!A:I,7,FALSE)</f>
        <v>450</v>
      </c>
    </row>
    <row r="76" spans="1:11" x14ac:dyDescent="0.35">
      <c r="A76" t="s">
        <v>156</v>
      </c>
      <c r="B76" s="1">
        <v>45967</v>
      </c>
      <c r="C76" t="s">
        <v>17</v>
      </c>
      <c r="D76">
        <v>11</v>
      </c>
      <c r="E76" t="s">
        <v>20</v>
      </c>
      <c r="F76" t="s">
        <v>18</v>
      </c>
      <c r="G76">
        <v>495</v>
      </c>
      <c r="H76">
        <v>30</v>
      </c>
      <c r="I76" t="s">
        <v>14</v>
      </c>
      <c r="J76" t="str">
        <f>_xlfn.XLOOKUP(C76,'product_masterlist(ifs)'!A:A,'product_masterlist(ifs)'!C:C,"N/A",0)</f>
        <v>Frames</v>
      </c>
      <c r="K76">
        <f>VLOOKUP(C76,'product_masterlist(ifs)'!A:I,7,FALSE)</f>
        <v>45</v>
      </c>
    </row>
    <row r="77" spans="1:11" x14ac:dyDescent="0.35">
      <c r="A77" t="s">
        <v>157</v>
      </c>
      <c r="B77" s="1">
        <v>45880</v>
      </c>
      <c r="C77" t="s">
        <v>17</v>
      </c>
      <c r="D77">
        <v>17</v>
      </c>
      <c r="E77" t="s">
        <v>12</v>
      </c>
      <c r="F77" t="s">
        <v>13</v>
      </c>
      <c r="G77">
        <v>765</v>
      </c>
      <c r="H77">
        <v>30</v>
      </c>
      <c r="I77" t="s">
        <v>14</v>
      </c>
      <c r="J77" t="str">
        <f>_xlfn.XLOOKUP(C77,'product_masterlist(ifs)'!A:A,'product_masterlist(ifs)'!C:C,"N/A",0)</f>
        <v>Frames</v>
      </c>
      <c r="K77">
        <f>VLOOKUP(C77,'product_masterlist(ifs)'!A:I,7,FALSE)</f>
        <v>45</v>
      </c>
    </row>
    <row r="78" spans="1:11" x14ac:dyDescent="0.35">
      <c r="A78" t="s">
        <v>158</v>
      </c>
      <c r="B78" t="s">
        <v>159</v>
      </c>
      <c r="C78" t="s">
        <v>33</v>
      </c>
      <c r="D78">
        <v>20</v>
      </c>
      <c r="E78" t="s">
        <v>37</v>
      </c>
      <c r="F78" t="s">
        <v>23</v>
      </c>
      <c r="G78">
        <v>3000</v>
      </c>
      <c r="H78">
        <v>45</v>
      </c>
      <c r="I78" t="s">
        <v>34</v>
      </c>
      <c r="J78" t="str">
        <f>_xlfn.XLOOKUP(C78,'product_masterlist(ifs)'!A:A,'product_masterlist(ifs)'!C:C,"N/A",0)</f>
        <v>Surgical</v>
      </c>
      <c r="K78">
        <f>VLOOKUP(C78,'product_masterlist(ifs)'!A:I,7,FALSE)</f>
        <v>15</v>
      </c>
    </row>
    <row r="79" spans="1:11" x14ac:dyDescent="0.35">
      <c r="A79" t="s">
        <v>160</v>
      </c>
      <c r="B79" t="s">
        <v>161</v>
      </c>
      <c r="C79" t="s">
        <v>26</v>
      </c>
      <c r="D79">
        <v>23</v>
      </c>
      <c r="E79" t="s">
        <v>12</v>
      </c>
      <c r="F79" t="s">
        <v>23</v>
      </c>
      <c r="G79" t="s">
        <v>162</v>
      </c>
      <c r="H79">
        <v>14</v>
      </c>
      <c r="I79" t="s">
        <v>28</v>
      </c>
      <c r="J79" t="str">
        <f>_xlfn.XLOOKUP(C79,'product_masterlist(ifs)'!A:A,'product_masterlist(ifs)'!C:C,"N/A",0)</f>
        <v>Contact Lenses</v>
      </c>
      <c r="K79">
        <f>VLOOKUP(C79,'product_masterlist(ifs)'!A:I,7,FALSE)</f>
        <v>450</v>
      </c>
    </row>
    <row r="80" spans="1:11" x14ac:dyDescent="0.35">
      <c r="A80" t="s">
        <v>163</v>
      </c>
      <c r="B80" s="1">
        <v>45934</v>
      </c>
      <c r="C80" t="s">
        <v>33</v>
      </c>
      <c r="D80">
        <v>2</v>
      </c>
      <c r="E80" t="s">
        <v>20</v>
      </c>
      <c r="F80" t="s">
        <v>23</v>
      </c>
      <c r="G80">
        <v>300</v>
      </c>
      <c r="H80">
        <v>45</v>
      </c>
      <c r="I80" t="s">
        <v>34</v>
      </c>
      <c r="J80" t="str">
        <f>_xlfn.XLOOKUP(C80,'product_masterlist(ifs)'!A:A,'product_masterlist(ifs)'!C:C,"N/A",0)</f>
        <v>Surgical</v>
      </c>
      <c r="K80">
        <f>VLOOKUP(C80,'product_masterlist(ifs)'!A:I,7,FALSE)</f>
        <v>15</v>
      </c>
    </row>
    <row r="81" spans="1:11" x14ac:dyDescent="0.35">
      <c r="A81" t="s">
        <v>164</v>
      </c>
      <c r="B81" t="s">
        <v>165</v>
      </c>
      <c r="C81" t="s">
        <v>17</v>
      </c>
      <c r="D81">
        <v>17</v>
      </c>
      <c r="E81" t="s">
        <v>22</v>
      </c>
      <c r="F81" t="s">
        <v>13</v>
      </c>
      <c r="G81">
        <v>765</v>
      </c>
      <c r="H81">
        <v>30</v>
      </c>
      <c r="I81" t="s">
        <v>14</v>
      </c>
      <c r="J81" t="str">
        <f>_xlfn.XLOOKUP(C81,'product_masterlist(ifs)'!A:A,'product_masterlist(ifs)'!C:C,"N/A",0)</f>
        <v>Frames</v>
      </c>
      <c r="K81">
        <f>VLOOKUP(C81,'product_masterlist(ifs)'!A:I,7,FALSE)</f>
        <v>45</v>
      </c>
    </row>
    <row r="82" spans="1:11" x14ac:dyDescent="0.35">
      <c r="A82" t="s">
        <v>166</v>
      </c>
      <c r="B82" s="1">
        <v>45817</v>
      </c>
      <c r="C82" t="s">
        <v>11</v>
      </c>
      <c r="D82">
        <v>1</v>
      </c>
      <c r="E82" t="s">
        <v>22</v>
      </c>
      <c r="F82" t="s">
        <v>23</v>
      </c>
      <c r="G82">
        <v>85</v>
      </c>
      <c r="H82">
        <v>30</v>
      </c>
      <c r="I82" t="s">
        <v>14</v>
      </c>
      <c r="J82" t="str">
        <f>_xlfn.XLOOKUP(C82,'product_masterlist(ifs)'!A:A,'product_masterlist(ifs)'!C:C,"N/A",0)</f>
        <v>Surgical</v>
      </c>
      <c r="K82">
        <f>VLOOKUP(C82,'product_masterlist(ifs)'!A:I,7,FALSE)</f>
        <v>40</v>
      </c>
    </row>
    <row r="83" spans="1:11" x14ac:dyDescent="0.35">
      <c r="A83" t="s">
        <v>167</v>
      </c>
      <c r="B83" t="s">
        <v>168</v>
      </c>
      <c r="C83" t="s">
        <v>17</v>
      </c>
      <c r="D83">
        <v>10</v>
      </c>
      <c r="E83" t="s">
        <v>37</v>
      </c>
      <c r="F83" t="s">
        <v>18</v>
      </c>
      <c r="G83">
        <v>450</v>
      </c>
      <c r="H83">
        <v>30</v>
      </c>
      <c r="I83" t="s">
        <v>14</v>
      </c>
      <c r="J83" t="str">
        <f>_xlfn.XLOOKUP(C83,'product_masterlist(ifs)'!A:A,'product_masterlist(ifs)'!C:C,"N/A",0)</f>
        <v>Frames</v>
      </c>
      <c r="K83">
        <f>VLOOKUP(C83,'product_masterlist(ifs)'!A:I,7,FALSE)</f>
        <v>45</v>
      </c>
    </row>
    <row r="84" spans="1:11" x14ac:dyDescent="0.35">
      <c r="A84" t="s">
        <v>169</v>
      </c>
      <c r="B84" s="1">
        <v>45876</v>
      </c>
      <c r="C84" t="s">
        <v>26</v>
      </c>
      <c r="D84">
        <v>9</v>
      </c>
      <c r="E84" t="s">
        <v>22</v>
      </c>
      <c r="F84" t="s">
        <v>23</v>
      </c>
      <c r="G84" t="s">
        <v>170</v>
      </c>
      <c r="H84">
        <v>14</v>
      </c>
      <c r="I84" t="s">
        <v>28</v>
      </c>
      <c r="J84" t="str">
        <f>_xlfn.XLOOKUP(C84,'product_masterlist(ifs)'!A:A,'product_masterlist(ifs)'!C:C,"N/A",0)</f>
        <v>Contact Lenses</v>
      </c>
      <c r="K84">
        <f>VLOOKUP(C84,'product_masterlist(ifs)'!A:I,7,FALSE)</f>
        <v>450</v>
      </c>
    </row>
    <row r="85" spans="1:11" x14ac:dyDescent="0.35">
      <c r="A85" t="s">
        <v>171</v>
      </c>
      <c r="B85" s="1">
        <v>45696</v>
      </c>
      <c r="C85" t="s">
        <v>53</v>
      </c>
      <c r="D85">
        <v>20</v>
      </c>
      <c r="E85" t="s">
        <v>37</v>
      </c>
      <c r="F85" t="s">
        <v>13</v>
      </c>
      <c r="G85">
        <v>85</v>
      </c>
      <c r="H85">
        <v>7</v>
      </c>
      <c r="I85" t="s">
        <v>28</v>
      </c>
      <c r="J85" t="str">
        <f>_xlfn.XLOOKUP(C85,'product_masterlist(ifs)'!A:A,'product_masterlist(ifs)'!C:C,"N/A",0)</f>
        <v>Solutions</v>
      </c>
      <c r="K85">
        <f>VLOOKUP(C85,'product_masterlist(ifs)'!A:I,7,FALSE)</f>
        <v>800</v>
      </c>
    </row>
    <row r="86" spans="1:11" x14ac:dyDescent="0.35">
      <c r="A86" t="s">
        <v>172</v>
      </c>
      <c r="B86" t="s">
        <v>173</v>
      </c>
      <c r="C86" t="s">
        <v>90</v>
      </c>
      <c r="D86">
        <v>16</v>
      </c>
      <c r="E86" t="s">
        <v>37</v>
      </c>
      <c r="F86" t="s">
        <v>13</v>
      </c>
      <c r="G86">
        <v>776</v>
      </c>
      <c r="H86">
        <v>30</v>
      </c>
      <c r="I86" t="s">
        <v>14</v>
      </c>
      <c r="J86" t="str">
        <f>_xlfn.XLOOKUP(C86,'product_masterlist(ifs)'!A:A,'product_masterlist(ifs)'!C:C,"N/A",0)</f>
        <v>Frames</v>
      </c>
      <c r="K86">
        <f>VLOOKUP(C86,'product_masterlist(ifs)'!A:I,7,FALSE)</f>
        <v>180</v>
      </c>
    </row>
    <row r="87" spans="1:11" x14ac:dyDescent="0.35">
      <c r="A87" t="s">
        <v>174</v>
      </c>
      <c r="B87" t="s">
        <v>175</v>
      </c>
      <c r="C87" t="s">
        <v>53</v>
      </c>
      <c r="D87">
        <v>22</v>
      </c>
      <c r="E87" t="s">
        <v>22</v>
      </c>
      <c r="F87" t="s">
        <v>13</v>
      </c>
      <c r="G87" t="s">
        <v>176</v>
      </c>
      <c r="H87">
        <v>7</v>
      </c>
      <c r="I87" t="s">
        <v>28</v>
      </c>
      <c r="J87" t="str">
        <f>_xlfn.XLOOKUP(C87,'product_masterlist(ifs)'!A:A,'product_masterlist(ifs)'!C:C,"N/A",0)</f>
        <v>Solutions</v>
      </c>
      <c r="K87">
        <f>VLOOKUP(C87,'product_masterlist(ifs)'!A:I,7,FALSE)</f>
        <v>800</v>
      </c>
    </row>
    <row r="88" spans="1:11" x14ac:dyDescent="0.35">
      <c r="A88" t="s">
        <v>177</v>
      </c>
      <c r="B88" s="1">
        <v>45690</v>
      </c>
      <c r="C88" t="s">
        <v>42</v>
      </c>
      <c r="D88">
        <v>13</v>
      </c>
      <c r="E88" t="s">
        <v>37</v>
      </c>
      <c r="F88" t="s">
        <v>18</v>
      </c>
      <c r="G88">
        <v>325</v>
      </c>
      <c r="H88">
        <v>21</v>
      </c>
      <c r="I88" t="s">
        <v>14</v>
      </c>
      <c r="J88" t="str">
        <f>_xlfn.XLOOKUP(C88,'product_masterlist(ifs)'!A:A,'product_masterlist(ifs)'!C:C,"N/A",0)</f>
        <v>Contact Lenses</v>
      </c>
      <c r="K88">
        <f>VLOOKUP(C88,'product_masterlist(ifs)'!A:I,7,FALSE)</f>
        <v>120</v>
      </c>
    </row>
    <row r="89" spans="1:11" x14ac:dyDescent="0.35">
      <c r="A89" t="s">
        <v>178</v>
      </c>
      <c r="B89" s="1">
        <v>45970</v>
      </c>
      <c r="C89" t="s">
        <v>90</v>
      </c>
      <c r="D89">
        <v>18</v>
      </c>
      <c r="E89" t="s">
        <v>37</v>
      </c>
      <c r="F89" t="s">
        <v>13</v>
      </c>
      <c r="G89">
        <v>873</v>
      </c>
      <c r="H89">
        <v>30</v>
      </c>
      <c r="I89" t="s">
        <v>14</v>
      </c>
      <c r="J89" t="str">
        <f>_xlfn.XLOOKUP(C89,'product_masterlist(ifs)'!A:A,'product_masterlist(ifs)'!C:C,"N/A",0)</f>
        <v>Frames</v>
      </c>
      <c r="K89">
        <f>VLOOKUP(C89,'product_masterlist(ifs)'!A:I,7,FALSE)</f>
        <v>180</v>
      </c>
    </row>
    <row r="90" spans="1:11" x14ac:dyDescent="0.35">
      <c r="A90" t="s">
        <v>179</v>
      </c>
      <c r="B90" t="s">
        <v>180</v>
      </c>
      <c r="C90" t="s">
        <v>90</v>
      </c>
      <c r="D90">
        <v>7</v>
      </c>
      <c r="E90" t="s">
        <v>12</v>
      </c>
      <c r="F90" t="s">
        <v>13</v>
      </c>
      <c r="G90" t="s">
        <v>181</v>
      </c>
      <c r="H90">
        <v>30</v>
      </c>
      <c r="I90" t="s">
        <v>14</v>
      </c>
      <c r="J90" t="str">
        <f>_xlfn.XLOOKUP(C90,'product_masterlist(ifs)'!A:A,'product_masterlist(ifs)'!C:C,"N/A",0)</f>
        <v>Frames</v>
      </c>
      <c r="K90">
        <f>VLOOKUP(C90,'product_masterlist(ifs)'!A:I,7,FALSE)</f>
        <v>180</v>
      </c>
    </row>
    <row r="91" spans="1:11" x14ac:dyDescent="0.35">
      <c r="A91" t="s">
        <v>182</v>
      </c>
      <c r="B91" t="s">
        <v>183</v>
      </c>
      <c r="C91" t="s">
        <v>17</v>
      </c>
      <c r="D91">
        <v>1</v>
      </c>
      <c r="E91" t="s">
        <v>20</v>
      </c>
      <c r="F91" t="s">
        <v>23</v>
      </c>
      <c r="G91">
        <v>45</v>
      </c>
      <c r="H91">
        <v>30</v>
      </c>
      <c r="I91" t="s">
        <v>14</v>
      </c>
      <c r="J91" t="str">
        <f>_xlfn.XLOOKUP(C91,'product_masterlist(ifs)'!A:A,'product_masterlist(ifs)'!C:C,"N/A",0)</f>
        <v>Frames</v>
      </c>
      <c r="K91">
        <f>VLOOKUP(C91,'product_masterlist(ifs)'!A:I,7,FALSE)</f>
        <v>45</v>
      </c>
    </row>
    <row r="92" spans="1:11" x14ac:dyDescent="0.35">
      <c r="A92" t="s">
        <v>184</v>
      </c>
      <c r="B92" t="s">
        <v>108</v>
      </c>
      <c r="C92" t="s">
        <v>53</v>
      </c>
      <c r="D92">
        <v>10</v>
      </c>
      <c r="E92" t="s">
        <v>12</v>
      </c>
      <c r="F92" t="s">
        <v>23</v>
      </c>
      <c r="G92" t="s">
        <v>95</v>
      </c>
      <c r="H92">
        <v>7</v>
      </c>
      <c r="I92" t="s">
        <v>28</v>
      </c>
      <c r="J92" t="str">
        <f>_xlfn.XLOOKUP(C92,'product_masterlist(ifs)'!A:A,'product_masterlist(ifs)'!C:C,"N/A",0)</f>
        <v>Solutions</v>
      </c>
      <c r="K92">
        <f>VLOOKUP(C92,'product_masterlist(ifs)'!A:I,7,FALSE)</f>
        <v>800</v>
      </c>
    </row>
    <row r="93" spans="1:11" x14ac:dyDescent="0.35">
      <c r="A93" t="s">
        <v>185</v>
      </c>
      <c r="B93" t="s">
        <v>186</v>
      </c>
      <c r="C93" t="s">
        <v>42</v>
      </c>
      <c r="D93">
        <v>10</v>
      </c>
      <c r="E93" t="s">
        <v>22</v>
      </c>
      <c r="F93" t="s">
        <v>31</v>
      </c>
      <c r="G93">
        <v>250</v>
      </c>
      <c r="H93">
        <v>21</v>
      </c>
      <c r="I93" t="s">
        <v>14</v>
      </c>
      <c r="J93" t="str">
        <f>_xlfn.XLOOKUP(C93,'product_masterlist(ifs)'!A:A,'product_masterlist(ifs)'!C:C,"N/A",0)</f>
        <v>Contact Lenses</v>
      </c>
      <c r="K93">
        <f>VLOOKUP(C93,'product_masterlist(ifs)'!A:I,7,FALSE)</f>
        <v>120</v>
      </c>
    </row>
    <row r="94" spans="1:11" x14ac:dyDescent="0.35">
      <c r="A94" t="s">
        <v>187</v>
      </c>
      <c r="B94" s="1">
        <v>45697</v>
      </c>
      <c r="C94" t="s">
        <v>53</v>
      </c>
      <c r="D94">
        <v>13</v>
      </c>
      <c r="E94" t="s">
        <v>20</v>
      </c>
      <c r="F94" t="s">
        <v>13</v>
      </c>
      <c r="G94" t="s">
        <v>188</v>
      </c>
      <c r="H94">
        <v>7</v>
      </c>
      <c r="I94" t="s">
        <v>28</v>
      </c>
      <c r="J94" t="str">
        <f>_xlfn.XLOOKUP(C94,'product_masterlist(ifs)'!A:A,'product_masterlist(ifs)'!C:C,"N/A",0)</f>
        <v>Solutions</v>
      </c>
      <c r="K94">
        <f>VLOOKUP(C94,'product_masterlist(ifs)'!A:I,7,FALSE)</f>
        <v>800</v>
      </c>
    </row>
    <row r="95" spans="1:11" x14ac:dyDescent="0.35">
      <c r="A95" t="s">
        <v>189</v>
      </c>
      <c r="B95" s="1">
        <v>45782</v>
      </c>
      <c r="C95" t="s">
        <v>11</v>
      </c>
      <c r="D95">
        <v>2</v>
      </c>
      <c r="E95" t="s">
        <v>22</v>
      </c>
      <c r="F95" t="s">
        <v>18</v>
      </c>
      <c r="G95">
        <v>170</v>
      </c>
      <c r="H95">
        <v>30</v>
      </c>
      <c r="I95" t="s">
        <v>14</v>
      </c>
      <c r="J95" t="str">
        <f>_xlfn.XLOOKUP(C95,'product_masterlist(ifs)'!A:A,'product_masterlist(ifs)'!C:C,"N/A",0)</f>
        <v>Surgical</v>
      </c>
      <c r="K95">
        <f>VLOOKUP(C95,'product_masterlist(ifs)'!A:I,7,FALSE)</f>
        <v>40</v>
      </c>
    </row>
    <row r="96" spans="1:11" x14ac:dyDescent="0.35">
      <c r="A96" t="s">
        <v>190</v>
      </c>
      <c r="B96" s="1">
        <v>45662</v>
      </c>
      <c r="C96" t="s">
        <v>26</v>
      </c>
      <c r="D96">
        <v>4</v>
      </c>
      <c r="E96" t="s">
        <v>37</v>
      </c>
      <c r="F96" t="s">
        <v>18</v>
      </c>
      <c r="G96">
        <v>50</v>
      </c>
      <c r="H96">
        <v>14</v>
      </c>
      <c r="I96" t="s">
        <v>28</v>
      </c>
      <c r="J96" t="str">
        <f>_xlfn.XLOOKUP(C96,'product_masterlist(ifs)'!A:A,'product_masterlist(ifs)'!C:C,"N/A",0)</f>
        <v>Contact Lenses</v>
      </c>
      <c r="K96">
        <f>VLOOKUP(C96,'product_masterlist(ifs)'!A:I,7,FALSE)</f>
        <v>450</v>
      </c>
    </row>
    <row r="97" spans="1:11" x14ac:dyDescent="0.35">
      <c r="A97" t="s">
        <v>191</v>
      </c>
      <c r="B97" t="s">
        <v>192</v>
      </c>
      <c r="C97" t="s">
        <v>33</v>
      </c>
      <c r="D97">
        <v>17</v>
      </c>
      <c r="E97" t="s">
        <v>37</v>
      </c>
      <c r="F97" t="s">
        <v>23</v>
      </c>
      <c r="G97">
        <v>2550</v>
      </c>
      <c r="H97">
        <v>45</v>
      </c>
      <c r="I97" t="s">
        <v>34</v>
      </c>
      <c r="J97" t="str">
        <f>_xlfn.XLOOKUP(C97,'product_masterlist(ifs)'!A:A,'product_masterlist(ifs)'!C:C,"N/A",0)</f>
        <v>Surgical</v>
      </c>
      <c r="K97">
        <f>VLOOKUP(C97,'product_masterlist(ifs)'!A:I,7,FALSE)</f>
        <v>15</v>
      </c>
    </row>
    <row r="98" spans="1:11" x14ac:dyDescent="0.35">
      <c r="A98" t="s">
        <v>193</v>
      </c>
      <c r="B98" t="s">
        <v>194</v>
      </c>
      <c r="C98" t="s">
        <v>53</v>
      </c>
      <c r="D98">
        <v>19</v>
      </c>
      <c r="E98" t="s">
        <v>22</v>
      </c>
      <c r="F98" t="s">
        <v>23</v>
      </c>
      <c r="G98" t="s">
        <v>54</v>
      </c>
      <c r="H98">
        <v>7</v>
      </c>
      <c r="I98" t="s">
        <v>28</v>
      </c>
      <c r="J98" t="str">
        <f>_xlfn.XLOOKUP(C98,'product_masterlist(ifs)'!A:A,'product_masterlist(ifs)'!C:C,"N/A",0)</f>
        <v>Solutions</v>
      </c>
      <c r="K98">
        <f>VLOOKUP(C98,'product_masterlist(ifs)'!A:I,7,FALSE)</f>
        <v>800</v>
      </c>
    </row>
    <row r="99" spans="1:11" x14ac:dyDescent="0.35">
      <c r="A99" t="s">
        <v>195</v>
      </c>
      <c r="B99" t="s">
        <v>196</v>
      </c>
      <c r="C99" t="s">
        <v>53</v>
      </c>
      <c r="D99">
        <v>21</v>
      </c>
      <c r="E99" t="s">
        <v>12</v>
      </c>
      <c r="F99" t="s">
        <v>31</v>
      </c>
      <c r="G99" t="s">
        <v>197</v>
      </c>
      <c r="H99">
        <v>7</v>
      </c>
      <c r="I99" t="s">
        <v>28</v>
      </c>
      <c r="J99" t="str">
        <f>_xlfn.XLOOKUP(C99,'product_masterlist(ifs)'!A:A,'product_masterlist(ifs)'!C:C,"N/A",0)</f>
        <v>Solutions</v>
      </c>
      <c r="K99">
        <f>VLOOKUP(C99,'product_masterlist(ifs)'!A:I,7,FALSE)</f>
        <v>800</v>
      </c>
    </row>
    <row r="100" spans="1:11" x14ac:dyDescent="0.35">
      <c r="A100" t="s">
        <v>198</v>
      </c>
      <c r="B100" t="s">
        <v>199</v>
      </c>
      <c r="C100" t="s">
        <v>42</v>
      </c>
      <c r="D100">
        <v>13</v>
      </c>
      <c r="E100" t="s">
        <v>12</v>
      </c>
      <c r="F100" t="s">
        <v>23</v>
      </c>
      <c r="G100">
        <v>325</v>
      </c>
      <c r="H100">
        <v>21</v>
      </c>
      <c r="I100" t="s">
        <v>14</v>
      </c>
      <c r="J100" t="str">
        <f>_xlfn.XLOOKUP(C100,'product_masterlist(ifs)'!A:A,'product_masterlist(ifs)'!C:C,"N/A",0)</f>
        <v>Contact Lenses</v>
      </c>
      <c r="K100">
        <f>VLOOKUP(C100,'product_masterlist(ifs)'!A:I,7,FALSE)</f>
        <v>120</v>
      </c>
    </row>
    <row r="101" spans="1:11" x14ac:dyDescent="0.35">
      <c r="A101" t="s">
        <v>200</v>
      </c>
      <c r="B101" t="s">
        <v>87</v>
      </c>
      <c r="C101" t="s">
        <v>11</v>
      </c>
      <c r="D101">
        <v>16</v>
      </c>
      <c r="E101" t="s">
        <v>22</v>
      </c>
      <c r="F101" t="s">
        <v>23</v>
      </c>
      <c r="G101">
        <v>1360</v>
      </c>
      <c r="H101">
        <v>30</v>
      </c>
      <c r="I101" t="s">
        <v>14</v>
      </c>
      <c r="J101" t="str">
        <f>_xlfn.XLOOKUP(C101,'product_masterlist(ifs)'!A:A,'product_masterlist(ifs)'!C:C,"N/A",0)</f>
        <v>Surgical</v>
      </c>
      <c r="K101">
        <f>VLOOKUP(C101,'product_masterlist(ifs)'!A:I,7,FALSE)</f>
        <v>40</v>
      </c>
    </row>
    <row r="102" spans="1:11" x14ac:dyDescent="0.35">
      <c r="A102" t="s">
        <v>201</v>
      </c>
      <c r="B102" s="1">
        <v>45876</v>
      </c>
      <c r="C102" t="s">
        <v>42</v>
      </c>
      <c r="D102">
        <v>18</v>
      </c>
      <c r="E102" t="s">
        <v>20</v>
      </c>
      <c r="F102" t="s">
        <v>23</v>
      </c>
      <c r="G102">
        <v>450</v>
      </c>
      <c r="H102">
        <v>21</v>
      </c>
      <c r="I102" t="s">
        <v>14</v>
      </c>
      <c r="J102" t="str">
        <f>_xlfn.XLOOKUP(C102,'product_masterlist(ifs)'!A:A,'product_masterlist(ifs)'!C:C,"N/A",0)</f>
        <v>Contact Lenses</v>
      </c>
      <c r="K102">
        <f>VLOOKUP(C102,'product_masterlist(ifs)'!A:I,7,FALSE)</f>
        <v>120</v>
      </c>
    </row>
    <row r="103" spans="1:11" x14ac:dyDescent="0.35">
      <c r="A103" t="s">
        <v>202</v>
      </c>
      <c r="B103" t="s">
        <v>203</v>
      </c>
      <c r="C103" t="s">
        <v>42</v>
      </c>
      <c r="D103">
        <v>5</v>
      </c>
      <c r="E103" t="s">
        <v>37</v>
      </c>
      <c r="F103" t="s">
        <v>23</v>
      </c>
      <c r="G103">
        <v>125</v>
      </c>
      <c r="H103">
        <v>21</v>
      </c>
      <c r="I103" t="s">
        <v>14</v>
      </c>
      <c r="J103" t="str">
        <f>_xlfn.XLOOKUP(C103,'product_masterlist(ifs)'!A:A,'product_masterlist(ifs)'!C:C,"N/A",0)</f>
        <v>Contact Lenses</v>
      </c>
      <c r="K103">
        <f>VLOOKUP(C103,'product_masterlist(ifs)'!A:I,7,FALSE)</f>
        <v>120</v>
      </c>
    </row>
    <row r="104" spans="1:11" x14ac:dyDescent="0.35">
      <c r="A104" t="s">
        <v>204</v>
      </c>
      <c r="B104" t="s">
        <v>205</v>
      </c>
      <c r="C104" t="s">
        <v>11</v>
      </c>
      <c r="D104">
        <v>25</v>
      </c>
      <c r="E104" t="s">
        <v>20</v>
      </c>
      <c r="F104" t="s">
        <v>18</v>
      </c>
      <c r="G104">
        <v>2125</v>
      </c>
      <c r="H104">
        <v>30</v>
      </c>
      <c r="I104" t="s">
        <v>14</v>
      </c>
      <c r="J104" t="str">
        <f>_xlfn.XLOOKUP(C104,'product_masterlist(ifs)'!A:A,'product_masterlist(ifs)'!C:C,"N/A",0)</f>
        <v>Surgical</v>
      </c>
      <c r="K104">
        <f>VLOOKUP(C104,'product_masterlist(ifs)'!A:I,7,FALSE)</f>
        <v>40</v>
      </c>
    </row>
    <row r="105" spans="1:11" x14ac:dyDescent="0.35">
      <c r="A105" t="s">
        <v>206</v>
      </c>
      <c r="B105" s="1">
        <v>45753</v>
      </c>
      <c r="C105" t="s">
        <v>17</v>
      </c>
      <c r="D105">
        <v>13</v>
      </c>
      <c r="E105" t="s">
        <v>20</v>
      </c>
      <c r="F105" t="s">
        <v>23</v>
      </c>
      <c r="G105">
        <v>585</v>
      </c>
      <c r="H105">
        <v>30</v>
      </c>
      <c r="I105" t="s">
        <v>14</v>
      </c>
      <c r="J105" t="str">
        <f>_xlfn.XLOOKUP(C105,'product_masterlist(ifs)'!A:A,'product_masterlist(ifs)'!C:C,"N/A",0)</f>
        <v>Frames</v>
      </c>
      <c r="K105">
        <f>VLOOKUP(C105,'product_masterlist(ifs)'!A:I,7,FALSE)</f>
        <v>45</v>
      </c>
    </row>
    <row r="106" spans="1:11" x14ac:dyDescent="0.35">
      <c r="A106" t="s">
        <v>207</v>
      </c>
      <c r="B106" t="s">
        <v>208</v>
      </c>
      <c r="C106" t="s">
        <v>26</v>
      </c>
      <c r="D106">
        <v>10</v>
      </c>
      <c r="E106" t="s">
        <v>12</v>
      </c>
      <c r="F106" t="s">
        <v>31</v>
      </c>
      <c r="G106">
        <v>125</v>
      </c>
      <c r="H106">
        <v>14</v>
      </c>
      <c r="I106" t="s">
        <v>28</v>
      </c>
      <c r="J106" t="str">
        <f>_xlfn.XLOOKUP(C106,'product_masterlist(ifs)'!A:A,'product_masterlist(ifs)'!C:C,"N/A",0)</f>
        <v>Contact Lenses</v>
      </c>
      <c r="K106">
        <f>VLOOKUP(C106,'product_masterlist(ifs)'!A:I,7,FALSE)</f>
        <v>450</v>
      </c>
    </row>
    <row r="107" spans="1:11" x14ac:dyDescent="0.35">
      <c r="A107" t="s">
        <v>209</v>
      </c>
      <c r="B107" t="s">
        <v>210</v>
      </c>
      <c r="C107" t="s">
        <v>17</v>
      </c>
      <c r="D107">
        <v>18</v>
      </c>
      <c r="E107" t="s">
        <v>20</v>
      </c>
      <c r="F107" t="s">
        <v>31</v>
      </c>
      <c r="G107">
        <v>810</v>
      </c>
      <c r="H107">
        <v>30</v>
      </c>
      <c r="I107" t="s">
        <v>14</v>
      </c>
      <c r="J107" t="str">
        <f>_xlfn.XLOOKUP(C107,'product_masterlist(ifs)'!A:A,'product_masterlist(ifs)'!C:C,"N/A",0)</f>
        <v>Frames</v>
      </c>
      <c r="K107">
        <f>VLOOKUP(C107,'product_masterlist(ifs)'!A:I,7,FALSE)</f>
        <v>45</v>
      </c>
    </row>
    <row r="108" spans="1:11" x14ac:dyDescent="0.35">
      <c r="A108" t="s">
        <v>211</v>
      </c>
      <c r="B108" t="s">
        <v>212</v>
      </c>
      <c r="C108" t="s">
        <v>42</v>
      </c>
      <c r="D108">
        <v>3</v>
      </c>
      <c r="E108" t="s">
        <v>22</v>
      </c>
      <c r="F108" t="s">
        <v>18</v>
      </c>
      <c r="G108">
        <v>75</v>
      </c>
      <c r="H108">
        <v>21</v>
      </c>
      <c r="I108" t="s">
        <v>14</v>
      </c>
      <c r="J108" t="str">
        <f>_xlfn.XLOOKUP(C108,'product_masterlist(ifs)'!A:A,'product_masterlist(ifs)'!C:C,"N/A",0)</f>
        <v>Contact Lenses</v>
      </c>
      <c r="K108">
        <f>VLOOKUP(C108,'product_masterlist(ifs)'!A:I,7,FALSE)</f>
        <v>120</v>
      </c>
    </row>
    <row r="109" spans="1:11" x14ac:dyDescent="0.35">
      <c r="A109" t="s">
        <v>213</v>
      </c>
      <c r="B109" t="s">
        <v>214</v>
      </c>
      <c r="C109" t="s">
        <v>53</v>
      </c>
      <c r="D109">
        <v>24</v>
      </c>
      <c r="E109" t="s">
        <v>20</v>
      </c>
      <c r="F109" t="s">
        <v>23</v>
      </c>
      <c r="G109">
        <v>102</v>
      </c>
      <c r="H109">
        <v>7</v>
      </c>
      <c r="I109" t="s">
        <v>28</v>
      </c>
      <c r="J109" t="str">
        <f>_xlfn.XLOOKUP(C109,'product_masterlist(ifs)'!A:A,'product_masterlist(ifs)'!C:C,"N/A",0)</f>
        <v>Solutions</v>
      </c>
      <c r="K109">
        <f>VLOOKUP(C109,'product_masterlist(ifs)'!A:I,7,FALSE)</f>
        <v>800</v>
      </c>
    </row>
    <row r="110" spans="1:11" x14ac:dyDescent="0.35">
      <c r="A110" t="s">
        <v>215</v>
      </c>
      <c r="B110" s="1">
        <v>45749</v>
      </c>
      <c r="C110" t="s">
        <v>42</v>
      </c>
      <c r="D110">
        <v>8</v>
      </c>
      <c r="E110" t="s">
        <v>12</v>
      </c>
      <c r="F110" t="s">
        <v>31</v>
      </c>
      <c r="G110">
        <v>200</v>
      </c>
      <c r="H110">
        <v>21</v>
      </c>
      <c r="I110" t="s">
        <v>14</v>
      </c>
      <c r="J110" t="str">
        <f>_xlfn.XLOOKUP(C110,'product_masterlist(ifs)'!A:A,'product_masterlist(ifs)'!C:C,"N/A",0)</f>
        <v>Contact Lenses</v>
      </c>
      <c r="K110">
        <f>VLOOKUP(C110,'product_masterlist(ifs)'!A:I,7,FALSE)</f>
        <v>120</v>
      </c>
    </row>
    <row r="111" spans="1:11" x14ac:dyDescent="0.35">
      <c r="A111" t="s">
        <v>216</v>
      </c>
      <c r="B111" t="s">
        <v>217</v>
      </c>
      <c r="C111" t="s">
        <v>42</v>
      </c>
      <c r="D111">
        <v>4</v>
      </c>
      <c r="E111" t="s">
        <v>12</v>
      </c>
      <c r="F111" t="s">
        <v>23</v>
      </c>
      <c r="G111">
        <v>100</v>
      </c>
      <c r="H111">
        <v>21</v>
      </c>
      <c r="I111" t="s">
        <v>14</v>
      </c>
      <c r="J111" t="str">
        <f>_xlfn.XLOOKUP(C111,'product_masterlist(ifs)'!A:A,'product_masterlist(ifs)'!C:C,"N/A",0)</f>
        <v>Contact Lenses</v>
      </c>
      <c r="K111">
        <f>VLOOKUP(C111,'product_masterlist(ifs)'!A:I,7,FALSE)</f>
        <v>120</v>
      </c>
    </row>
    <row r="112" spans="1:11" x14ac:dyDescent="0.35">
      <c r="A112" t="s">
        <v>218</v>
      </c>
      <c r="B112" t="s">
        <v>103</v>
      </c>
      <c r="C112" t="s">
        <v>11</v>
      </c>
      <c r="D112">
        <v>7</v>
      </c>
      <c r="E112" t="s">
        <v>37</v>
      </c>
      <c r="F112" t="s">
        <v>13</v>
      </c>
      <c r="G112">
        <v>595</v>
      </c>
      <c r="H112">
        <v>30</v>
      </c>
      <c r="I112" t="s">
        <v>14</v>
      </c>
      <c r="J112" t="str">
        <f>_xlfn.XLOOKUP(C112,'product_masterlist(ifs)'!A:A,'product_masterlist(ifs)'!C:C,"N/A",0)</f>
        <v>Surgical</v>
      </c>
      <c r="K112">
        <f>VLOOKUP(C112,'product_masterlist(ifs)'!A:I,7,FALSE)</f>
        <v>40</v>
      </c>
    </row>
    <row r="113" spans="1:11" x14ac:dyDescent="0.35">
      <c r="A113" t="s">
        <v>219</v>
      </c>
      <c r="B113" s="1">
        <v>45910</v>
      </c>
      <c r="C113" t="s">
        <v>26</v>
      </c>
      <c r="D113">
        <v>16</v>
      </c>
      <c r="E113" t="s">
        <v>12</v>
      </c>
      <c r="F113" t="s">
        <v>18</v>
      </c>
      <c r="G113">
        <v>200</v>
      </c>
      <c r="H113">
        <v>14</v>
      </c>
      <c r="I113" t="s">
        <v>28</v>
      </c>
      <c r="J113" t="str">
        <f>_xlfn.XLOOKUP(C113,'product_masterlist(ifs)'!A:A,'product_masterlist(ifs)'!C:C,"N/A",0)</f>
        <v>Contact Lenses</v>
      </c>
      <c r="K113">
        <f>VLOOKUP(C113,'product_masterlist(ifs)'!A:I,7,FALSE)</f>
        <v>450</v>
      </c>
    </row>
    <row r="114" spans="1:11" x14ac:dyDescent="0.35">
      <c r="A114" t="s">
        <v>220</v>
      </c>
      <c r="B114" t="s">
        <v>221</v>
      </c>
      <c r="C114" t="s">
        <v>17</v>
      </c>
      <c r="D114">
        <v>14</v>
      </c>
      <c r="E114" t="s">
        <v>12</v>
      </c>
      <c r="F114" t="s">
        <v>18</v>
      </c>
      <c r="G114">
        <v>630</v>
      </c>
      <c r="H114">
        <v>30</v>
      </c>
      <c r="I114" t="s">
        <v>14</v>
      </c>
      <c r="J114" t="str">
        <f>_xlfn.XLOOKUP(C114,'product_masterlist(ifs)'!A:A,'product_masterlist(ifs)'!C:C,"N/A",0)</f>
        <v>Frames</v>
      </c>
      <c r="K114">
        <f>VLOOKUP(C114,'product_masterlist(ifs)'!A:I,7,FALSE)</f>
        <v>45</v>
      </c>
    </row>
    <row r="115" spans="1:11" x14ac:dyDescent="0.35">
      <c r="A115" t="s">
        <v>222</v>
      </c>
      <c r="B115" t="s">
        <v>39</v>
      </c>
      <c r="C115" t="s">
        <v>17</v>
      </c>
      <c r="D115">
        <v>18</v>
      </c>
      <c r="E115" t="s">
        <v>20</v>
      </c>
      <c r="F115" t="s">
        <v>18</v>
      </c>
      <c r="G115">
        <v>810</v>
      </c>
      <c r="H115">
        <v>30</v>
      </c>
      <c r="I115" t="s">
        <v>14</v>
      </c>
      <c r="J115" t="str">
        <f>_xlfn.XLOOKUP(C115,'product_masterlist(ifs)'!A:A,'product_masterlist(ifs)'!C:C,"N/A",0)</f>
        <v>Frames</v>
      </c>
      <c r="K115">
        <f>VLOOKUP(C115,'product_masterlist(ifs)'!A:I,7,FALSE)</f>
        <v>45</v>
      </c>
    </row>
    <row r="116" spans="1:11" x14ac:dyDescent="0.35">
      <c r="A116" t="s">
        <v>223</v>
      </c>
      <c r="B116" t="s">
        <v>224</v>
      </c>
      <c r="C116" t="s">
        <v>11</v>
      </c>
      <c r="D116">
        <v>21</v>
      </c>
      <c r="E116" t="s">
        <v>12</v>
      </c>
      <c r="F116" t="s">
        <v>13</v>
      </c>
      <c r="G116">
        <v>1785</v>
      </c>
      <c r="H116">
        <v>30</v>
      </c>
      <c r="I116" t="s">
        <v>14</v>
      </c>
      <c r="J116" t="str">
        <f>_xlfn.XLOOKUP(C116,'product_masterlist(ifs)'!A:A,'product_masterlist(ifs)'!C:C,"N/A",0)</f>
        <v>Surgical</v>
      </c>
      <c r="K116">
        <f>VLOOKUP(C116,'product_masterlist(ifs)'!A:I,7,FALSE)</f>
        <v>40</v>
      </c>
    </row>
    <row r="117" spans="1:11" x14ac:dyDescent="0.35">
      <c r="A117" t="s">
        <v>225</v>
      </c>
      <c r="B117" s="1">
        <v>45786</v>
      </c>
      <c r="C117" t="s">
        <v>17</v>
      </c>
      <c r="D117">
        <v>25</v>
      </c>
      <c r="E117" t="s">
        <v>37</v>
      </c>
      <c r="F117" t="s">
        <v>31</v>
      </c>
      <c r="G117">
        <v>1125</v>
      </c>
      <c r="H117">
        <v>30</v>
      </c>
      <c r="I117" t="s">
        <v>14</v>
      </c>
      <c r="J117" t="str">
        <f>_xlfn.XLOOKUP(C117,'product_masterlist(ifs)'!A:A,'product_masterlist(ifs)'!C:C,"N/A",0)</f>
        <v>Frames</v>
      </c>
      <c r="K117">
        <f>VLOOKUP(C117,'product_masterlist(ifs)'!A:I,7,FALSE)</f>
        <v>45</v>
      </c>
    </row>
    <row r="118" spans="1:11" x14ac:dyDescent="0.35">
      <c r="A118" t="s">
        <v>226</v>
      </c>
      <c r="B118" t="s">
        <v>227</v>
      </c>
      <c r="C118" t="s">
        <v>53</v>
      </c>
      <c r="D118">
        <v>14</v>
      </c>
      <c r="E118" t="s">
        <v>20</v>
      </c>
      <c r="F118" t="s">
        <v>23</v>
      </c>
      <c r="G118" t="s">
        <v>228</v>
      </c>
      <c r="H118">
        <v>7</v>
      </c>
      <c r="I118" t="s">
        <v>28</v>
      </c>
      <c r="J118" t="str">
        <f>_xlfn.XLOOKUP(C118,'product_masterlist(ifs)'!A:A,'product_masterlist(ifs)'!C:C,"N/A",0)</f>
        <v>Solutions</v>
      </c>
      <c r="K118">
        <f>VLOOKUP(C118,'product_masterlist(ifs)'!A:I,7,FALSE)</f>
        <v>800</v>
      </c>
    </row>
    <row r="119" spans="1:11" x14ac:dyDescent="0.35">
      <c r="A119" t="s">
        <v>229</v>
      </c>
      <c r="B119" s="1">
        <v>45719</v>
      </c>
      <c r="C119" t="s">
        <v>17</v>
      </c>
      <c r="D119">
        <v>15</v>
      </c>
      <c r="E119" t="s">
        <v>37</v>
      </c>
      <c r="F119" t="s">
        <v>31</v>
      </c>
      <c r="G119">
        <v>675</v>
      </c>
      <c r="H119">
        <v>30</v>
      </c>
      <c r="I119" t="s">
        <v>14</v>
      </c>
      <c r="J119" t="str">
        <f>_xlfn.XLOOKUP(C119,'product_masterlist(ifs)'!A:A,'product_masterlist(ifs)'!C:C,"N/A",0)</f>
        <v>Frames</v>
      </c>
      <c r="K119">
        <f>VLOOKUP(C119,'product_masterlist(ifs)'!A:I,7,FALSE)</f>
        <v>45</v>
      </c>
    </row>
    <row r="120" spans="1:11" x14ac:dyDescent="0.35">
      <c r="A120" t="s">
        <v>230</v>
      </c>
      <c r="B120" t="s">
        <v>231</v>
      </c>
      <c r="C120" t="s">
        <v>90</v>
      </c>
      <c r="D120">
        <v>14</v>
      </c>
      <c r="E120" t="s">
        <v>22</v>
      </c>
      <c r="F120" t="s">
        <v>23</v>
      </c>
      <c r="G120">
        <v>679</v>
      </c>
      <c r="H120">
        <v>30</v>
      </c>
      <c r="I120" t="s">
        <v>14</v>
      </c>
      <c r="J120" t="str">
        <f>_xlfn.XLOOKUP(C120,'product_masterlist(ifs)'!A:A,'product_masterlist(ifs)'!C:C,"N/A",0)</f>
        <v>Frames</v>
      </c>
      <c r="K120">
        <f>VLOOKUP(C120,'product_masterlist(ifs)'!A:I,7,FALSE)</f>
        <v>180</v>
      </c>
    </row>
    <row r="121" spans="1:11" x14ac:dyDescent="0.35">
      <c r="A121" t="s">
        <v>232</v>
      </c>
      <c r="B121" t="s">
        <v>233</v>
      </c>
      <c r="C121" t="s">
        <v>42</v>
      </c>
      <c r="D121">
        <v>6</v>
      </c>
      <c r="E121" t="s">
        <v>22</v>
      </c>
      <c r="F121" t="s">
        <v>18</v>
      </c>
      <c r="G121">
        <v>150</v>
      </c>
      <c r="H121">
        <v>21</v>
      </c>
      <c r="I121" t="s">
        <v>14</v>
      </c>
      <c r="J121" t="str">
        <f>_xlfn.XLOOKUP(C121,'product_masterlist(ifs)'!A:A,'product_masterlist(ifs)'!C:C,"N/A",0)</f>
        <v>Contact Lenses</v>
      </c>
      <c r="K121">
        <f>VLOOKUP(C121,'product_masterlist(ifs)'!A:I,7,FALSE)</f>
        <v>120</v>
      </c>
    </row>
    <row r="122" spans="1:11" x14ac:dyDescent="0.35">
      <c r="A122" t="s">
        <v>234</v>
      </c>
      <c r="B122" t="s">
        <v>235</v>
      </c>
      <c r="C122" t="s">
        <v>42</v>
      </c>
      <c r="D122">
        <v>7</v>
      </c>
      <c r="E122" t="s">
        <v>37</v>
      </c>
      <c r="F122" t="s">
        <v>18</v>
      </c>
      <c r="G122">
        <v>175</v>
      </c>
      <c r="H122">
        <v>21</v>
      </c>
      <c r="I122" t="s">
        <v>14</v>
      </c>
      <c r="J122" t="str">
        <f>_xlfn.XLOOKUP(C122,'product_masterlist(ifs)'!A:A,'product_masterlist(ifs)'!C:C,"N/A",0)</f>
        <v>Contact Lenses</v>
      </c>
      <c r="K122">
        <f>VLOOKUP(C122,'product_masterlist(ifs)'!A:I,7,FALSE)</f>
        <v>120</v>
      </c>
    </row>
    <row r="123" spans="1:11" x14ac:dyDescent="0.35">
      <c r="A123" t="s">
        <v>236</v>
      </c>
      <c r="B123" t="s">
        <v>237</v>
      </c>
      <c r="C123" t="s">
        <v>90</v>
      </c>
      <c r="D123">
        <v>11</v>
      </c>
      <c r="E123" t="s">
        <v>12</v>
      </c>
      <c r="F123" t="s">
        <v>18</v>
      </c>
      <c r="G123" t="s">
        <v>238</v>
      </c>
      <c r="H123">
        <v>30</v>
      </c>
      <c r="I123" t="s">
        <v>14</v>
      </c>
      <c r="J123" t="str">
        <f>_xlfn.XLOOKUP(C123,'product_masterlist(ifs)'!A:A,'product_masterlist(ifs)'!C:C,"N/A",0)</f>
        <v>Frames</v>
      </c>
      <c r="K123">
        <f>VLOOKUP(C123,'product_masterlist(ifs)'!A:I,7,FALSE)</f>
        <v>180</v>
      </c>
    </row>
    <row r="124" spans="1:11" x14ac:dyDescent="0.35">
      <c r="A124" t="s">
        <v>239</v>
      </c>
      <c r="B124" s="1">
        <v>45787</v>
      </c>
      <c r="C124" t="s">
        <v>53</v>
      </c>
      <c r="D124">
        <v>11</v>
      </c>
      <c r="E124" t="s">
        <v>37</v>
      </c>
      <c r="F124" t="s">
        <v>31</v>
      </c>
      <c r="G124" t="s">
        <v>240</v>
      </c>
      <c r="H124">
        <v>7</v>
      </c>
      <c r="I124" t="s">
        <v>28</v>
      </c>
      <c r="J124" t="str">
        <f>_xlfn.XLOOKUP(C124,'product_masterlist(ifs)'!A:A,'product_masterlist(ifs)'!C:C,"N/A",0)</f>
        <v>Solutions</v>
      </c>
      <c r="K124">
        <f>VLOOKUP(C124,'product_masterlist(ifs)'!A:I,7,FALSE)</f>
        <v>800</v>
      </c>
    </row>
    <row r="125" spans="1:11" x14ac:dyDescent="0.35">
      <c r="A125" t="s">
        <v>241</v>
      </c>
      <c r="B125" t="s">
        <v>242</v>
      </c>
      <c r="C125" t="s">
        <v>33</v>
      </c>
      <c r="D125">
        <v>19</v>
      </c>
      <c r="E125" t="s">
        <v>37</v>
      </c>
      <c r="F125" t="s">
        <v>18</v>
      </c>
      <c r="G125">
        <v>2850</v>
      </c>
      <c r="H125">
        <v>45</v>
      </c>
      <c r="I125" t="s">
        <v>34</v>
      </c>
      <c r="J125" t="str">
        <f>_xlfn.XLOOKUP(C125,'product_masterlist(ifs)'!A:A,'product_masterlist(ifs)'!C:C,"N/A",0)</f>
        <v>Surgical</v>
      </c>
      <c r="K125">
        <f>VLOOKUP(C125,'product_masterlist(ifs)'!A:I,7,FALSE)</f>
        <v>15</v>
      </c>
    </row>
    <row r="126" spans="1:11" x14ac:dyDescent="0.35">
      <c r="A126" t="s">
        <v>243</v>
      </c>
      <c r="B126" s="1">
        <v>45728</v>
      </c>
      <c r="C126" t="s">
        <v>17</v>
      </c>
      <c r="D126">
        <v>12</v>
      </c>
      <c r="E126" t="s">
        <v>20</v>
      </c>
      <c r="F126" t="s">
        <v>13</v>
      </c>
      <c r="G126">
        <v>540</v>
      </c>
      <c r="H126">
        <v>30</v>
      </c>
      <c r="I126" t="s">
        <v>14</v>
      </c>
      <c r="J126" t="str">
        <f>_xlfn.XLOOKUP(C126,'product_masterlist(ifs)'!A:A,'product_masterlist(ifs)'!C:C,"N/A",0)</f>
        <v>Frames</v>
      </c>
      <c r="K126">
        <f>VLOOKUP(C126,'product_masterlist(ifs)'!A:I,7,FALSE)</f>
        <v>45</v>
      </c>
    </row>
    <row r="127" spans="1:11" x14ac:dyDescent="0.35">
      <c r="A127" t="s">
        <v>244</v>
      </c>
      <c r="B127" t="s">
        <v>138</v>
      </c>
      <c r="C127" t="s">
        <v>33</v>
      </c>
      <c r="D127">
        <v>7</v>
      </c>
      <c r="E127" t="s">
        <v>37</v>
      </c>
      <c r="F127" t="s">
        <v>23</v>
      </c>
      <c r="G127">
        <v>1050</v>
      </c>
      <c r="H127">
        <v>45</v>
      </c>
      <c r="I127" t="s">
        <v>34</v>
      </c>
      <c r="J127" t="str">
        <f>_xlfn.XLOOKUP(C127,'product_masterlist(ifs)'!A:A,'product_masterlist(ifs)'!C:C,"N/A",0)</f>
        <v>Surgical</v>
      </c>
      <c r="K127">
        <f>VLOOKUP(C127,'product_masterlist(ifs)'!A:I,7,FALSE)</f>
        <v>15</v>
      </c>
    </row>
    <row r="128" spans="1:11" x14ac:dyDescent="0.35">
      <c r="A128" t="s">
        <v>245</v>
      </c>
      <c r="B128" t="s">
        <v>246</v>
      </c>
      <c r="C128" t="s">
        <v>17</v>
      </c>
      <c r="D128">
        <v>21</v>
      </c>
      <c r="E128" t="s">
        <v>22</v>
      </c>
      <c r="F128" t="s">
        <v>13</v>
      </c>
      <c r="G128">
        <v>945</v>
      </c>
      <c r="H128">
        <v>30</v>
      </c>
      <c r="I128" t="s">
        <v>14</v>
      </c>
      <c r="J128" t="str">
        <f>_xlfn.XLOOKUP(C128,'product_masterlist(ifs)'!A:A,'product_masterlist(ifs)'!C:C,"N/A",0)</f>
        <v>Frames</v>
      </c>
      <c r="K128">
        <f>VLOOKUP(C128,'product_masterlist(ifs)'!A:I,7,FALSE)</f>
        <v>45</v>
      </c>
    </row>
    <row r="129" spans="1:11" x14ac:dyDescent="0.35">
      <c r="A129" t="s">
        <v>247</v>
      </c>
      <c r="B129" t="s">
        <v>248</v>
      </c>
      <c r="C129" t="s">
        <v>26</v>
      </c>
      <c r="D129">
        <v>9</v>
      </c>
      <c r="E129" t="s">
        <v>12</v>
      </c>
      <c r="F129" t="s">
        <v>23</v>
      </c>
      <c r="G129" t="s">
        <v>170</v>
      </c>
      <c r="H129">
        <v>14</v>
      </c>
      <c r="I129" t="s">
        <v>28</v>
      </c>
      <c r="J129" t="str">
        <f>_xlfn.XLOOKUP(C129,'product_masterlist(ifs)'!A:A,'product_masterlist(ifs)'!C:C,"N/A",0)</f>
        <v>Contact Lenses</v>
      </c>
      <c r="K129">
        <f>VLOOKUP(C129,'product_masterlist(ifs)'!A:I,7,FALSE)</f>
        <v>450</v>
      </c>
    </row>
    <row r="130" spans="1:11" x14ac:dyDescent="0.35">
      <c r="A130" t="s">
        <v>249</v>
      </c>
      <c r="B130" s="1">
        <v>45933</v>
      </c>
      <c r="C130" t="s">
        <v>90</v>
      </c>
      <c r="D130">
        <v>15</v>
      </c>
      <c r="E130" t="s">
        <v>12</v>
      </c>
      <c r="F130" t="s">
        <v>31</v>
      </c>
      <c r="G130" t="s">
        <v>250</v>
      </c>
      <c r="H130">
        <v>30</v>
      </c>
      <c r="I130" t="s">
        <v>14</v>
      </c>
      <c r="J130" t="str">
        <f>_xlfn.XLOOKUP(C130,'product_masterlist(ifs)'!A:A,'product_masterlist(ifs)'!C:C,"N/A",0)</f>
        <v>Frames</v>
      </c>
      <c r="K130">
        <f>VLOOKUP(C130,'product_masterlist(ifs)'!A:I,7,FALSE)</f>
        <v>180</v>
      </c>
    </row>
    <row r="131" spans="1:11" x14ac:dyDescent="0.35">
      <c r="A131" t="s">
        <v>251</v>
      </c>
      <c r="B131" t="s">
        <v>10</v>
      </c>
      <c r="C131" t="s">
        <v>11</v>
      </c>
      <c r="D131">
        <v>2</v>
      </c>
      <c r="E131" t="s">
        <v>37</v>
      </c>
      <c r="F131" t="s">
        <v>13</v>
      </c>
      <c r="G131">
        <v>170</v>
      </c>
      <c r="H131">
        <v>30</v>
      </c>
      <c r="I131" t="s">
        <v>14</v>
      </c>
      <c r="J131" t="str">
        <f>_xlfn.XLOOKUP(C131,'product_masterlist(ifs)'!A:A,'product_masterlist(ifs)'!C:C,"N/A",0)</f>
        <v>Surgical</v>
      </c>
      <c r="K131">
        <f>VLOOKUP(C131,'product_masterlist(ifs)'!A:I,7,FALSE)</f>
        <v>40</v>
      </c>
    </row>
    <row r="132" spans="1:11" x14ac:dyDescent="0.35">
      <c r="A132" t="s">
        <v>252</v>
      </c>
      <c r="B132" t="s">
        <v>125</v>
      </c>
      <c r="C132" t="s">
        <v>33</v>
      </c>
      <c r="D132">
        <v>20</v>
      </c>
      <c r="E132" t="s">
        <v>37</v>
      </c>
      <c r="F132" t="s">
        <v>23</v>
      </c>
      <c r="G132">
        <v>3000</v>
      </c>
      <c r="H132">
        <v>45</v>
      </c>
      <c r="I132" t="s">
        <v>34</v>
      </c>
      <c r="J132" t="str">
        <f>_xlfn.XLOOKUP(C132,'product_masterlist(ifs)'!A:A,'product_masterlist(ifs)'!C:C,"N/A",0)</f>
        <v>Surgical</v>
      </c>
      <c r="K132">
        <f>VLOOKUP(C132,'product_masterlist(ifs)'!A:I,7,FALSE)</f>
        <v>15</v>
      </c>
    </row>
    <row r="133" spans="1:11" x14ac:dyDescent="0.35">
      <c r="A133" t="s">
        <v>253</v>
      </c>
      <c r="B133" s="1">
        <v>45963</v>
      </c>
      <c r="C133" t="s">
        <v>33</v>
      </c>
      <c r="D133">
        <v>14</v>
      </c>
      <c r="E133" t="s">
        <v>37</v>
      </c>
      <c r="F133" t="s">
        <v>31</v>
      </c>
      <c r="G133">
        <v>2100</v>
      </c>
      <c r="H133">
        <v>45</v>
      </c>
      <c r="I133" t="s">
        <v>34</v>
      </c>
      <c r="J133" t="str">
        <f>_xlfn.XLOOKUP(C133,'product_masterlist(ifs)'!A:A,'product_masterlist(ifs)'!C:C,"N/A",0)</f>
        <v>Surgical</v>
      </c>
      <c r="K133">
        <f>VLOOKUP(C133,'product_masterlist(ifs)'!A:I,7,FALSE)</f>
        <v>15</v>
      </c>
    </row>
    <row r="134" spans="1:11" x14ac:dyDescent="0.35">
      <c r="A134" t="s">
        <v>254</v>
      </c>
      <c r="B134" t="s">
        <v>255</v>
      </c>
      <c r="C134" t="s">
        <v>42</v>
      </c>
      <c r="D134">
        <v>1</v>
      </c>
      <c r="E134" t="s">
        <v>20</v>
      </c>
      <c r="F134" t="s">
        <v>31</v>
      </c>
      <c r="G134">
        <v>25</v>
      </c>
      <c r="H134">
        <v>21</v>
      </c>
      <c r="I134" t="s">
        <v>14</v>
      </c>
      <c r="J134" t="str">
        <f>_xlfn.XLOOKUP(C134,'product_masterlist(ifs)'!A:A,'product_masterlist(ifs)'!C:C,"N/A",0)</f>
        <v>Contact Lenses</v>
      </c>
      <c r="K134">
        <f>VLOOKUP(C134,'product_masterlist(ifs)'!A:I,7,FALSE)</f>
        <v>120</v>
      </c>
    </row>
    <row r="135" spans="1:11" x14ac:dyDescent="0.35">
      <c r="A135" t="s">
        <v>256</v>
      </c>
      <c r="B135" t="s">
        <v>36</v>
      </c>
      <c r="C135" t="s">
        <v>26</v>
      </c>
      <c r="D135">
        <v>3</v>
      </c>
      <c r="E135" t="s">
        <v>37</v>
      </c>
      <c r="F135" t="s">
        <v>18</v>
      </c>
      <c r="G135" t="s">
        <v>40</v>
      </c>
      <c r="H135">
        <v>14</v>
      </c>
      <c r="I135" t="s">
        <v>28</v>
      </c>
      <c r="J135" t="str">
        <f>_xlfn.XLOOKUP(C135,'product_masterlist(ifs)'!A:A,'product_masterlist(ifs)'!C:C,"N/A",0)</f>
        <v>Contact Lenses</v>
      </c>
      <c r="K135">
        <f>VLOOKUP(C135,'product_masterlist(ifs)'!A:I,7,FALSE)</f>
        <v>450</v>
      </c>
    </row>
    <row r="136" spans="1:11" x14ac:dyDescent="0.35">
      <c r="A136" t="s">
        <v>257</v>
      </c>
      <c r="B136" t="s">
        <v>258</v>
      </c>
      <c r="C136" t="s">
        <v>33</v>
      </c>
      <c r="D136">
        <v>13</v>
      </c>
      <c r="E136" t="s">
        <v>22</v>
      </c>
      <c r="F136" t="s">
        <v>13</v>
      </c>
      <c r="G136">
        <v>1950</v>
      </c>
      <c r="H136">
        <v>45</v>
      </c>
      <c r="I136" t="s">
        <v>34</v>
      </c>
      <c r="J136" t="str">
        <f>_xlfn.XLOOKUP(C136,'product_masterlist(ifs)'!A:A,'product_masterlist(ifs)'!C:C,"N/A",0)</f>
        <v>Surgical</v>
      </c>
      <c r="K136">
        <f>VLOOKUP(C136,'product_masterlist(ifs)'!A:I,7,FALSE)</f>
        <v>15</v>
      </c>
    </row>
    <row r="137" spans="1:11" x14ac:dyDescent="0.35">
      <c r="A137" t="s">
        <v>259</v>
      </c>
      <c r="B137" t="s">
        <v>260</v>
      </c>
      <c r="C137" t="s">
        <v>17</v>
      </c>
      <c r="D137">
        <v>22</v>
      </c>
      <c r="E137" t="s">
        <v>12</v>
      </c>
      <c r="F137" t="s">
        <v>31</v>
      </c>
      <c r="G137">
        <v>990</v>
      </c>
      <c r="H137">
        <v>30</v>
      </c>
      <c r="I137" t="s">
        <v>14</v>
      </c>
      <c r="J137" t="str">
        <f>_xlfn.XLOOKUP(C137,'product_masterlist(ifs)'!A:A,'product_masterlist(ifs)'!C:C,"N/A",0)</f>
        <v>Frames</v>
      </c>
      <c r="K137">
        <f>VLOOKUP(C137,'product_masterlist(ifs)'!A:I,7,FALSE)</f>
        <v>45</v>
      </c>
    </row>
    <row r="138" spans="1:11" x14ac:dyDescent="0.35">
      <c r="A138" t="s">
        <v>261</v>
      </c>
      <c r="B138" s="1">
        <v>45658</v>
      </c>
      <c r="C138" t="s">
        <v>90</v>
      </c>
      <c r="D138">
        <v>13</v>
      </c>
      <c r="E138" t="s">
        <v>20</v>
      </c>
      <c r="F138" t="s">
        <v>13</v>
      </c>
      <c r="G138" t="s">
        <v>262</v>
      </c>
      <c r="H138">
        <v>30</v>
      </c>
      <c r="I138" t="s">
        <v>14</v>
      </c>
      <c r="J138" t="str">
        <f>_xlfn.XLOOKUP(C138,'product_masterlist(ifs)'!A:A,'product_masterlist(ifs)'!C:C,"N/A",0)</f>
        <v>Frames</v>
      </c>
      <c r="K138">
        <f>VLOOKUP(C138,'product_masterlist(ifs)'!A:I,7,FALSE)</f>
        <v>180</v>
      </c>
    </row>
    <row r="139" spans="1:11" x14ac:dyDescent="0.35">
      <c r="A139" t="s">
        <v>263</v>
      </c>
      <c r="B139" s="1">
        <v>45996</v>
      </c>
      <c r="C139" t="s">
        <v>42</v>
      </c>
      <c r="D139">
        <v>4</v>
      </c>
      <c r="E139" t="s">
        <v>37</v>
      </c>
      <c r="F139" t="s">
        <v>23</v>
      </c>
      <c r="G139">
        <v>100</v>
      </c>
      <c r="H139">
        <v>21</v>
      </c>
      <c r="I139" t="s">
        <v>14</v>
      </c>
      <c r="J139" t="str">
        <f>_xlfn.XLOOKUP(C139,'product_masterlist(ifs)'!A:A,'product_masterlist(ifs)'!C:C,"N/A",0)</f>
        <v>Contact Lenses</v>
      </c>
      <c r="K139">
        <f>VLOOKUP(C139,'product_masterlist(ifs)'!A:I,7,FALSE)</f>
        <v>120</v>
      </c>
    </row>
    <row r="140" spans="1:11" x14ac:dyDescent="0.35">
      <c r="A140" t="s">
        <v>264</v>
      </c>
      <c r="B140" s="1">
        <v>45782</v>
      </c>
      <c r="C140" t="s">
        <v>17</v>
      </c>
      <c r="D140">
        <v>16</v>
      </c>
      <c r="E140" t="s">
        <v>12</v>
      </c>
      <c r="F140" t="s">
        <v>31</v>
      </c>
      <c r="G140">
        <v>720</v>
      </c>
      <c r="H140">
        <v>30</v>
      </c>
      <c r="I140" t="s">
        <v>14</v>
      </c>
      <c r="J140" t="str">
        <f>_xlfn.XLOOKUP(C140,'product_masterlist(ifs)'!A:A,'product_masterlist(ifs)'!C:C,"N/A",0)</f>
        <v>Frames</v>
      </c>
      <c r="K140">
        <f>VLOOKUP(C140,'product_masterlist(ifs)'!A:I,7,FALSE)</f>
        <v>45</v>
      </c>
    </row>
    <row r="141" spans="1:11" x14ac:dyDescent="0.35">
      <c r="A141" t="s">
        <v>265</v>
      </c>
      <c r="B141" s="1">
        <v>45784</v>
      </c>
      <c r="C141" t="s">
        <v>11</v>
      </c>
      <c r="D141">
        <v>2</v>
      </c>
      <c r="E141" t="s">
        <v>12</v>
      </c>
      <c r="F141" t="s">
        <v>31</v>
      </c>
      <c r="G141">
        <v>170</v>
      </c>
      <c r="H141">
        <v>30</v>
      </c>
      <c r="I141" t="s">
        <v>14</v>
      </c>
      <c r="J141" t="str">
        <f>_xlfn.XLOOKUP(C141,'product_masterlist(ifs)'!A:A,'product_masterlist(ifs)'!C:C,"N/A",0)</f>
        <v>Surgical</v>
      </c>
      <c r="K141">
        <f>VLOOKUP(C141,'product_masterlist(ifs)'!A:I,7,FALSE)</f>
        <v>40</v>
      </c>
    </row>
    <row r="142" spans="1:11" x14ac:dyDescent="0.35">
      <c r="A142" t="s">
        <v>266</v>
      </c>
      <c r="B142" s="1">
        <v>45754</v>
      </c>
      <c r="C142" t="s">
        <v>17</v>
      </c>
      <c r="D142">
        <v>21</v>
      </c>
      <c r="E142" t="s">
        <v>22</v>
      </c>
      <c r="F142" t="s">
        <v>23</v>
      </c>
      <c r="G142">
        <v>945</v>
      </c>
      <c r="H142">
        <v>30</v>
      </c>
      <c r="I142" t="s">
        <v>14</v>
      </c>
      <c r="J142" t="str">
        <f>_xlfn.XLOOKUP(C142,'product_masterlist(ifs)'!A:A,'product_masterlist(ifs)'!C:C,"N/A",0)</f>
        <v>Frames</v>
      </c>
      <c r="K142">
        <f>VLOOKUP(C142,'product_masterlist(ifs)'!A:I,7,FALSE)</f>
        <v>45</v>
      </c>
    </row>
    <row r="143" spans="1:11" x14ac:dyDescent="0.35">
      <c r="A143" t="s">
        <v>267</v>
      </c>
      <c r="B143" t="s">
        <v>217</v>
      </c>
      <c r="C143" t="s">
        <v>26</v>
      </c>
      <c r="D143">
        <v>2</v>
      </c>
      <c r="E143" t="s">
        <v>37</v>
      </c>
      <c r="F143" t="s">
        <v>13</v>
      </c>
      <c r="G143">
        <v>25</v>
      </c>
      <c r="H143">
        <v>14</v>
      </c>
      <c r="I143" t="s">
        <v>28</v>
      </c>
      <c r="J143" t="str">
        <f>_xlfn.XLOOKUP(C143,'product_masterlist(ifs)'!A:A,'product_masterlist(ifs)'!C:C,"N/A",0)</f>
        <v>Contact Lenses</v>
      </c>
      <c r="K143">
        <f>VLOOKUP(C143,'product_masterlist(ifs)'!A:I,7,FALSE)</f>
        <v>450</v>
      </c>
    </row>
    <row r="144" spans="1:11" x14ac:dyDescent="0.35">
      <c r="A144" t="s">
        <v>268</v>
      </c>
      <c r="B144" s="1">
        <v>45818</v>
      </c>
      <c r="C144" t="s">
        <v>42</v>
      </c>
      <c r="D144">
        <v>16</v>
      </c>
      <c r="E144" t="s">
        <v>22</v>
      </c>
      <c r="F144" t="s">
        <v>23</v>
      </c>
      <c r="G144">
        <v>400</v>
      </c>
      <c r="H144">
        <v>21</v>
      </c>
      <c r="I144" t="s">
        <v>14</v>
      </c>
      <c r="J144" t="str">
        <f>_xlfn.XLOOKUP(C144,'product_masterlist(ifs)'!A:A,'product_masterlist(ifs)'!C:C,"N/A",0)</f>
        <v>Contact Lenses</v>
      </c>
      <c r="K144">
        <f>VLOOKUP(C144,'product_masterlist(ifs)'!A:I,7,FALSE)</f>
        <v>120</v>
      </c>
    </row>
    <row r="145" spans="1:11" x14ac:dyDescent="0.35">
      <c r="A145" t="s">
        <v>269</v>
      </c>
      <c r="B145" t="s">
        <v>246</v>
      </c>
      <c r="C145" t="s">
        <v>33</v>
      </c>
      <c r="D145">
        <v>3</v>
      </c>
      <c r="E145" t="s">
        <v>22</v>
      </c>
      <c r="F145" t="s">
        <v>23</v>
      </c>
      <c r="G145">
        <v>450</v>
      </c>
      <c r="H145">
        <v>45</v>
      </c>
      <c r="I145" t="s">
        <v>34</v>
      </c>
      <c r="J145" t="str">
        <f>_xlfn.XLOOKUP(C145,'product_masterlist(ifs)'!A:A,'product_masterlist(ifs)'!C:C,"N/A",0)</f>
        <v>Surgical</v>
      </c>
      <c r="K145">
        <f>VLOOKUP(C145,'product_masterlist(ifs)'!A:I,7,FALSE)</f>
        <v>15</v>
      </c>
    </row>
    <row r="146" spans="1:11" x14ac:dyDescent="0.35">
      <c r="A146" t="s">
        <v>270</v>
      </c>
      <c r="B146" t="s">
        <v>271</v>
      </c>
      <c r="C146" t="s">
        <v>42</v>
      </c>
      <c r="D146">
        <v>2</v>
      </c>
      <c r="E146" t="s">
        <v>12</v>
      </c>
      <c r="F146" t="s">
        <v>31</v>
      </c>
      <c r="G146">
        <v>50</v>
      </c>
      <c r="H146">
        <v>21</v>
      </c>
      <c r="I146" t="s">
        <v>14</v>
      </c>
      <c r="J146" t="str">
        <f>_xlfn.XLOOKUP(C146,'product_masterlist(ifs)'!A:A,'product_masterlist(ifs)'!C:C,"N/A",0)</f>
        <v>Contact Lenses</v>
      </c>
      <c r="K146">
        <f>VLOOKUP(C146,'product_masterlist(ifs)'!A:I,7,FALSE)</f>
        <v>120</v>
      </c>
    </row>
    <row r="147" spans="1:11" x14ac:dyDescent="0.35">
      <c r="A147" t="s">
        <v>272</v>
      </c>
      <c r="B147" s="1">
        <v>45907</v>
      </c>
      <c r="C147" t="s">
        <v>17</v>
      </c>
      <c r="D147">
        <v>13</v>
      </c>
      <c r="E147" t="s">
        <v>22</v>
      </c>
      <c r="F147" t="s">
        <v>31</v>
      </c>
      <c r="G147">
        <v>585</v>
      </c>
      <c r="H147">
        <v>30</v>
      </c>
      <c r="I147" t="s">
        <v>14</v>
      </c>
      <c r="J147" t="str">
        <f>_xlfn.XLOOKUP(C147,'product_masterlist(ifs)'!A:A,'product_masterlist(ifs)'!C:C,"N/A",0)</f>
        <v>Frames</v>
      </c>
      <c r="K147">
        <f>VLOOKUP(C147,'product_masterlist(ifs)'!A:I,7,FALSE)</f>
        <v>45</v>
      </c>
    </row>
    <row r="148" spans="1:11" x14ac:dyDescent="0.35">
      <c r="A148" t="s">
        <v>273</v>
      </c>
      <c r="B148" s="1">
        <v>45879</v>
      </c>
      <c r="C148" t="s">
        <v>33</v>
      </c>
      <c r="D148">
        <v>25</v>
      </c>
      <c r="E148" t="s">
        <v>37</v>
      </c>
      <c r="F148" t="s">
        <v>23</v>
      </c>
      <c r="G148">
        <v>3750</v>
      </c>
      <c r="H148">
        <v>45</v>
      </c>
      <c r="I148" t="s">
        <v>34</v>
      </c>
      <c r="J148" t="str">
        <f>_xlfn.XLOOKUP(C148,'product_masterlist(ifs)'!A:A,'product_masterlist(ifs)'!C:C,"N/A",0)</f>
        <v>Surgical</v>
      </c>
      <c r="K148">
        <f>VLOOKUP(C148,'product_masterlist(ifs)'!A:I,7,FALSE)</f>
        <v>15</v>
      </c>
    </row>
    <row r="149" spans="1:11" x14ac:dyDescent="0.35">
      <c r="A149" t="s">
        <v>274</v>
      </c>
      <c r="B149" s="1">
        <v>45998</v>
      </c>
      <c r="C149" t="s">
        <v>33</v>
      </c>
      <c r="D149">
        <v>24</v>
      </c>
      <c r="E149" t="s">
        <v>37</v>
      </c>
      <c r="F149" t="s">
        <v>18</v>
      </c>
      <c r="G149">
        <v>3600</v>
      </c>
      <c r="H149">
        <v>45</v>
      </c>
      <c r="I149" t="s">
        <v>34</v>
      </c>
      <c r="J149" t="str">
        <f>_xlfn.XLOOKUP(C149,'product_masterlist(ifs)'!A:A,'product_masterlist(ifs)'!C:C,"N/A",0)</f>
        <v>Surgical</v>
      </c>
      <c r="K149">
        <f>VLOOKUP(C149,'product_masterlist(ifs)'!A:I,7,FALSE)</f>
        <v>15</v>
      </c>
    </row>
    <row r="150" spans="1:11" x14ac:dyDescent="0.35">
      <c r="A150" t="s">
        <v>275</v>
      </c>
      <c r="B150" s="1">
        <v>45967</v>
      </c>
      <c r="C150" t="s">
        <v>90</v>
      </c>
      <c r="D150">
        <v>18</v>
      </c>
      <c r="E150" t="s">
        <v>12</v>
      </c>
      <c r="F150" t="s">
        <v>23</v>
      </c>
      <c r="G150">
        <v>873</v>
      </c>
      <c r="H150">
        <v>30</v>
      </c>
      <c r="I150" t="s">
        <v>14</v>
      </c>
      <c r="J150" t="str">
        <f>_xlfn.XLOOKUP(C150,'product_masterlist(ifs)'!A:A,'product_masterlist(ifs)'!C:C,"N/A",0)</f>
        <v>Frames</v>
      </c>
      <c r="K150">
        <f>VLOOKUP(C150,'product_masterlist(ifs)'!A:I,7,FALSE)</f>
        <v>180</v>
      </c>
    </row>
    <row r="151" spans="1:11" x14ac:dyDescent="0.35">
      <c r="A151" t="s">
        <v>276</v>
      </c>
      <c r="B151" t="s">
        <v>277</v>
      </c>
      <c r="C151" t="s">
        <v>53</v>
      </c>
      <c r="D151">
        <v>3</v>
      </c>
      <c r="E151" t="s">
        <v>22</v>
      </c>
      <c r="F151" t="s">
        <v>31</v>
      </c>
      <c r="G151" t="s">
        <v>278</v>
      </c>
      <c r="H151">
        <v>7</v>
      </c>
      <c r="I151" t="s">
        <v>28</v>
      </c>
      <c r="J151" t="str">
        <f>_xlfn.XLOOKUP(C151,'product_masterlist(ifs)'!A:A,'product_masterlist(ifs)'!C:C,"N/A",0)</f>
        <v>Solutions</v>
      </c>
      <c r="K151">
        <f>VLOOKUP(C151,'product_masterlist(ifs)'!A:I,7,FALSE)</f>
        <v>800</v>
      </c>
    </row>
    <row r="152" spans="1:11" x14ac:dyDescent="0.35">
      <c r="A152" t="s">
        <v>279</v>
      </c>
      <c r="B152" t="s">
        <v>208</v>
      </c>
      <c r="C152" t="s">
        <v>33</v>
      </c>
      <c r="D152">
        <v>4</v>
      </c>
      <c r="E152" t="s">
        <v>12</v>
      </c>
      <c r="F152" t="s">
        <v>23</v>
      </c>
      <c r="G152">
        <v>600</v>
      </c>
      <c r="H152">
        <v>45</v>
      </c>
      <c r="I152" t="s">
        <v>34</v>
      </c>
      <c r="J152" t="str">
        <f>_xlfn.XLOOKUP(C152,'product_masterlist(ifs)'!A:A,'product_masterlist(ifs)'!C:C,"N/A",0)</f>
        <v>Surgical</v>
      </c>
      <c r="K152">
        <f>VLOOKUP(C152,'product_masterlist(ifs)'!A:I,7,FALSE)</f>
        <v>15</v>
      </c>
    </row>
    <row r="153" spans="1:11" x14ac:dyDescent="0.35">
      <c r="A153" t="s">
        <v>280</v>
      </c>
      <c r="B153" t="s">
        <v>281</v>
      </c>
      <c r="C153" t="s">
        <v>53</v>
      </c>
      <c r="D153">
        <v>12</v>
      </c>
      <c r="E153" t="s">
        <v>20</v>
      </c>
      <c r="F153" t="s">
        <v>31</v>
      </c>
      <c r="G153">
        <v>51</v>
      </c>
      <c r="H153">
        <v>7</v>
      </c>
      <c r="I153" t="s">
        <v>28</v>
      </c>
      <c r="J153" t="str">
        <f>_xlfn.XLOOKUP(C153,'product_masterlist(ifs)'!A:A,'product_masterlist(ifs)'!C:C,"N/A",0)</f>
        <v>Solutions</v>
      </c>
      <c r="K153">
        <f>VLOOKUP(C153,'product_masterlist(ifs)'!A:I,7,FALSE)</f>
        <v>800</v>
      </c>
    </row>
    <row r="154" spans="1:11" x14ac:dyDescent="0.35">
      <c r="A154" t="s">
        <v>282</v>
      </c>
      <c r="B154" t="s">
        <v>212</v>
      </c>
      <c r="C154" t="s">
        <v>26</v>
      </c>
      <c r="D154">
        <v>16</v>
      </c>
      <c r="E154" t="s">
        <v>37</v>
      </c>
      <c r="F154" t="s">
        <v>23</v>
      </c>
      <c r="G154">
        <v>200</v>
      </c>
      <c r="H154">
        <v>14</v>
      </c>
      <c r="I154" t="s">
        <v>28</v>
      </c>
      <c r="J154" t="str">
        <f>_xlfn.XLOOKUP(C154,'product_masterlist(ifs)'!A:A,'product_masterlist(ifs)'!C:C,"N/A",0)</f>
        <v>Contact Lenses</v>
      </c>
      <c r="K154">
        <f>VLOOKUP(C154,'product_masterlist(ifs)'!A:I,7,FALSE)</f>
        <v>450</v>
      </c>
    </row>
    <row r="155" spans="1:11" x14ac:dyDescent="0.35">
      <c r="A155" t="s">
        <v>283</v>
      </c>
      <c r="B155" t="s">
        <v>210</v>
      </c>
      <c r="C155" t="s">
        <v>53</v>
      </c>
      <c r="D155">
        <v>4</v>
      </c>
      <c r="E155" t="s">
        <v>12</v>
      </c>
      <c r="F155" t="s">
        <v>13</v>
      </c>
      <c r="G155">
        <v>17</v>
      </c>
      <c r="H155">
        <v>7</v>
      </c>
      <c r="I155" t="s">
        <v>28</v>
      </c>
      <c r="J155" t="str">
        <f>_xlfn.XLOOKUP(C155,'product_masterlist(ifs)'!A:A,'product_masterlist(ifs)'!C:C,"N/A",0)</f>
        <v>Solutions</v>
      </c>
      <c r="K155">
        <f>VLOOKUP(C155,'product_masterlist(ifs)'!A:I,7,FALSE)</f>
        <v>800</v>
      </c>
    </row>
    <row r="156" spans="1:11" x14ac:dyDescent="0.35">
      <c r="A156" t="s">
        <v>284</v>
      </c>
      <c r="B156" s="1">
        <v>45967</v>
      </c>
      <c r="C156" t="s">
        <v>26</v>
      </c>
      <c r="D156">
        <v>25</v>
      </c>
      <c r="E156" t="s">
        <v>20</v>
      </c>
      <c r="F156" t="s">
        <v>23</v>
      </c>
      <c r="G156" t="s">
        <v>285</v>
      </c>
      <c r="H156">
        <v>14</v>
      </c>
      <c r="I156" t="s">
        <v>28</v>
      </c>
      <c r="J156" t="str">
        <f>_xlfn.XLOOKUP(C156,'product_masterlist(ifs)'!A:A,'product_masterlist(ifs)'!C:C,"N/A",0)</f>
        <v>Contact Lenses</v>
      </c>
      <c r="K156">
        <f>VLOOKUP(C156,'product_masterlist(ifs)'!A:I,7,FALSE)</f>
        <v>450</v>
      </c>
    </row>
    <row r="157" spans="1:11" x14ac:dyDescent="0.35">
      <c r="A157" t="s">
        <v>286</v>
      </c>
      <c r="B157" s="1">
        <v>45973</v>
      </c>
      <c r="C157" t="s">
        <v>11</v>
      </c>
      <c r="D157">
        <v>19</v>
      </c>
      <c r="E157" t="s">
        <v>37</v>
      </c>
      <c r="F157" t="s">
        <v>31</v>
      </c>
      <c r="G157">
        <v>1615</v>
      </c>
      <c r="H157">
        <v>30</v>
      </c>
      <c r="I157" t="s">
        <v>14</v>
      </c>
      <c r="J157" t="str">
        <f>_xlfn.XLOOKUP(C157,'product_masterlist(ifs)'!A:A,'product_masterlist(ifs)'!C:C,"N/A",0)</f>
        <v>Surgical</v>
      </c>
      <c r="K157">
        <f>VLOOKUP(C157,'product_masterlist(ifs)'!A:I,7,FALSE)</f>
        <v>40</v>
      </c>
    </row>
    <row r="158" spans="1:11" x14ac:dyDescent="0.35">
      <c r="A158" t="s">
        <v>287</v>
      </c>
      <c r="B158" s="1">
        <v>45901</v>
      </c>
      <c r="C158" t="s">
        <v>11</v>
      </c>
      <c r="D158">
        <v>22</v>
      </c>
      <c r="E158" t="s">
        <v>20</v>
      </c>
      <c r="F158" t="s">
        <v>23</v>
      </c>
      <c r="G158">
        <v>1870</v>
      </c>
      <c r="H158">
        <v>30</v>
      </c>
      <c r="I158" t="s">
        <v>14</v>
      </c>
      <c r="J158" t="str">
        <f>_xlfn.XLOOKUP(C158,'product_masterlist(ifs)'!A:A,'product_masterlist(ifs)'!C:C,"N/A",0)</f>
        <v>Surgical</v>
      </c>
      <c r="K158">
        <f>VLOOKUP(C158,'product_masterlist(ifs)'!A:I,7,FALSE)</f>
        <v>40</v>
      </c>
    </row>
    <row r="159" spans="1:11" x14ac:dyDescent="0.35">
      <c r="A159" t="s">
        <v>288</v>
      </c>
      <c r="B159" t="s">
        <v>289</v>
      </c>
      <c r="C159" t="s">
        <v>90</v>
      </c>
      <c r="D159">
        <v>9</v>
      </c>
      <c r="E159" t="s">
        <v>20</v>
      </c>
      <c r="F159" t="s">
        <v>18</v>
      </c>
      <c r="G159" t="s">
        <v>91</v>
      </c>
      <c r="H159">
        <v>30</v>
      </c>
      <c r="I159" t="s">
        <v>14</v>
      </c>
      <c r="J159" t="str">
        <f>_xlfn.XLOOKUP(C159,'product_masterlist(ifs)'!A:A,'product_masterlist(ifs)'!C:C,"N/A",0)</f>
        <v>Frames</v>
      </c>
      <c r="K159">
        <f>VLOOKUP(C159,'product_masterlist(ifs)'!A:I,7,FALSE)</f>
        <v>180</v>
      </c>
    </row>
    <row r="160" spans="1:11" x14ac:dyDescent="0.35">
      <c r="A160" t="s">
        <v>290</v>
      </c>
      <c r="B160" t="s">
        <v>183</v>
      </c>
      <c r="C160" t="s">
        <v>53</v>
      </c>
      <c r="D160">
        <v>2</v>
      </c>
      <c r="E160" t="s">
        <v>20</v>
      </c>
      <c r="F160" t="s">
        <v>18</v>
      </c>
      <c r="G160" t="s">
        <v>291</v>
      </c>
      <c r="H160">
        <v>7</v>
      </c>
      <c r="I160" t="s">
        <v>28</v>
      </c>
      <c r="J160" t="str">
        <f>_xlfn.XLOOKUP(C160,'product_masterlist(ifs)'!A:A,'product_masterlist(ifs)'!C:C,"N/A",0)</f>
        <v>Solutions</v>
      </c>
      <c r="K160">
        <f>VLOOKUP(C160,'product_masterlist(ifs)'!A:I,7,FALSE)</f>
        <v>800</v>
      </c>
    </row>
    <row r="161" spans="1:11" x14ac:dyDescent="0.35">
      <c r="A161" t="s">
        <v>292</v>
      </c>
      <c r="B161" t="s">
        <v>293</v>
      </c>
      <c r="C161" t="s">
        <v>53</v>
      </c>
      <c r="D161">
        <v>11</v>
      </c>
      <c r="E161" t="s">
        <v>20</v>
      </c>
      <c r="F161" t="s">
        <v>13</v>
      </c>
      <c r="G161" t="s">
        <v>240</v>
      </c>
      <c r="H161">
        <v>7</v>
      </c>
      <c r="I161" t="s">
        <v>28</v>
      </c>
      <c r="J161" t="str">
        <f>_xlfn.XLOOKUP(C161,'product_masterlist(ifs)'!A:A,'product_masterlist(ifs)'!C:C,"N/A",0)</f>
        <v>Solutions</v>
      </c>
      <c r="K161">
        <f>VLOOKUP(C161,'product_masterlist(ifs)'!A:I,7,FALSE)</f>
        <v>800</v>
      </c>
    </row>
    <row r="162" spans="1:11" x14ac:dyDescent="0.35">
      <c r="A162" t="s">
        <v>294</v>
      </c>
      <c r="B162" t="s">
        <v>80</v>
      </c>
      <c r="C162" t="s">
        <v>11</v>
      </c>
      <c r="D162">
        <v>17</v>
      </c>
      <c r="E162" t="s">
        <v>22</v>
      </c>
      <c r="F162" t="s">
        <v>18</v>
      </c>
      <c r="G162">
        <v>1445</v>
      </c>
      <c r="H162">
        <v>30</v>
      </c>
      <c r="I162" t="s">
        <v>14</v>
      </c>
      <c r="J162" t="str">
        <f>_xlfn.XLOOKUP(C162,'product_masterlist(ifs)'!A:A,'product_masterlist(ifs)'!C:C,"N/A",0)</f>
        <v>Surgical</v>
      </c>
      <c r="K162">
        <f>VLOOKUP(C162,'product_masterlist(ifs)'!A:I,7,FALSE)</f>
        <v>40</v>
      </c>
    </row>
    <row r="163" spans="1:11" x14ac:dyDescent="0.35">
      <c r="A163" t="s">
        <v>295</v>
      </c>
      <c r="B163" t="s">
        <v>296</v>
      </c>
      <c r="C163" t="s">
        <v>90</v>
      </c>
      <c r="D163">
        <v>12</v>
      </c>
      <c r="E163" t="s">
        <v>37</v>
      </c>
      <c r="F163" t="s">
        <v>13</v>
      </c>
      <c r="G163">
        <v>582</v>
      </c>
      <c r="H163">
        <v>30</v>
      </c>
      <c r="I163" t="s">
        <v>14</v>
      </c>
      <c r="J163" t="str">
        <f>_xlfn.XLOOKUP(C163,'product_masterlist(ifs)'!A:A,'product_masterlist(ifs)'!C:C,"N/A",0)</f>
        <v>Frames</v>
      </c>
      <c r="K163">
        <f>VLOOKUP(C163,'product_masterlist(ifs)'!A:I,7,FALSE)</f>
        <v>180</v>
      </c>
    </row>
    <row r="164" spans="1:11" x14ac:dyDescent="0.35">
      <c r="A164" t="s">
        <v>297</v>
      </c>
      <c r="B164" t="s">
        <v>298</v>
      </c>
      <c r="C164" t="s">
        <v>42</v>
      </c>
      <c r="D164">
        <v>17</v>
      </c>
      <c r="E164" t="s">
        <v>12</v>
      </c>
      <c r="F164" t="s">
        <v>13</v>
      </c>
      <c r="G164">
        <v>425</v>
      </c>
      <c r="H164">
        <v>21</v>
      </c>
      <c r="I164" t="s">
        <v>14</v>
      </c>
      <c r="J164" t="str">
        <f>_xlfn.XLOOKUP(C164,'product_masterlist(ifs)'!A:A,'product_masterlist(ifs)'!C:C,"N/A",0)</f>
        <v>Contact Lenses</v>
      </c>
      <c r="K164">
        <f>VLOOKUP(C164,'product_masterlist(ifs)'!A:I,7,FALSE)</f>
        <v>120</v>
      </c>
    </row>
    <row r="165" spans="1:11" x14ac:dyDescent="0.35">
      <c r="A165" t="s">
        <v>299</v>
      </c>
      <c r="B165" t="s">
        <v>300</v>
      </c>
      <c r="C165" t="s">
        <v>90</v>
      </c>
      <c r="D165">
        <v>13</v>
      </c>
      <c r="E165" t="s">
        <v>37</v>
      </c>
      <c r="F165" t="s">
        <v>23</v>
      </c>
      <c r="G165" t="s">
        <v>262</v>
      </c>
      <c r="H165">
        <v>30</v>
      </c>
      <c r="I165" t="s">
        <v>14</v>
      </c>
      <c r="J165" t="str">
        <f>_xlfn.XLOOKUP(C165,'product_masterlist(ifs)'!A:A,'product_masterlist(ifs)'!C:C,"N/A",0)</f>
        <v>Frames</v>
      </c>
      <c r="K165">
        <f>VLOOKUP(C165,'product_masterlist(ifs)'!A:I,7,FALSE)</f>
        <v>180</v>
      </c>
    </row>
    <row r="166" spans="1:11" x14ac:dyDescent="0.35">
      <c r="A166" t="s">
        <v>301</v>
      </c>
      <c r="B166" t="s">
        <v>302</v>
      </c>
      <c r="C166" t="s">
        <v>11</v>
      </c>
      <c r="D166">
        <v>22</v>
      </c>
      <c r="E166" t="s">
        <v>20</v>
      </c>
      <c r="F166" t="s">
        <v>18</v>
      </c>
      <c r="G166">
        <v>1870</v>
      </c>
      <c r="H166">
        <v>30</v>
      </c>
      <c r="I166" t="s">
        <v>14</v>
      </c>
      <c r="J166" t="str">
        <f>_xlfn.XLOOKUP(C166,'product_masterlist(ifs)'!A:A,'product_masterlist(ifs)'!C:C,"N/A",0)</f>
        <v>Surgical</v>
      </c>
      <c r="K166">
        <f>VLOOKUP(C166,'product_masterlist(ifs)'!A:I,7,FALSE)</f>
        <v>40</v>
      </c>
    </row>
    <row r="167" spans="1:11" x14ac:dyDescent="0.35">
      <c r="A167" t="s">
        <v>303</v>
      </c>
      <c r="B167" t="s">
        <v>298</v>
      </c>
      <c r="C167" t="s">
        <v>53</v>
      </c>
      <c r="D167">
        <v>25</v>
      </c>
      <c r="E167" t="s">
        <v>20</v>
      </c>
      <c r="F167" t="s">
        <v>31</v>
      </c>
      <c r="G167" t="s">
        <v>304</v>
      </c>
      <c r="H167">
        <v>7</v>
      </c>
      <c r="I167" t="s">
        <v>28</v>
      </c>
      <c r="J167" t="str">
        <f>_xlfn.XLOOKUP(C167,'product_masterlist(ifs)'!A:A,'product_masterlist(ifs)'!C:C,"N/A",0)</f>
        <v>Solutions</v>
      </c>
      <c r="K167">
        <f>VLOOKUP(C167,'product_masterlist(ifs)'!A:I,7,FALSE)</f>
        <v>800</v>
      </c>
    </row>
    <row r="168" spans="1:11" x14ac:dyDescent="0.35">
      <c r="A168" t="s">
        <v>305</v>
      </c>
      <c r="B168" s="1">
        <v>45880</v>
      </c>
      <c r="C168" t="s">
        <v>53</v>
      </c>
      <c r="D168">
        <v>8</v>
      </c>
      <c r="E168" t="s">
        <v>20</v>
      </c>
      <c r="F168" t="s">
        <v>23</v>
      </c>
      <c r="G168">
        <v>34</v>
      </c>
      <c r="H168">
        <v>7</v>
      </c>
      <c r="I168" t="s">
        <v>28</v>
      </c>
      <c r="J168" t="str">
        <f>_xlfn.XLOOKUP(C168,'product_masterlist(ifs)'!A:A,'product_masterlist(ifs)'!C:C,"N/A",0)</f>
        <v>Solutions</v>
      </c>
      <c r="K168">
        <f>VLOOKUP(C168,'product_masterlist(ifs)'!A:I,7,FALSE)</f>
        <v>800</v>
      </c>
    </row>
    <row r="169" spans="1:11" x14ac:dyDescent="0.35">
      <c r="A169" t="s">
        <v>306</v>
      </c>
      <c r="B169" t="s">
        <v>52</v>
      </c>
      <c r="C169" t="s">
        <v>42</v>
      </c>
      <c r="D169">
        <v>11</v>
      </c>
      <c r="E169" t="s">
        <v>22</v>
      </c>
      <c r="F169" t="s">
        <v>13</v>
      </c>
      <c r="G169">
        <v>275</v>
      </c>
      <c r="H169">
        <v>21</v>
      </c>
      <c r="I169" t="s">
        <v>14</v>
      </c>
      <c r="J169" t="str">
        <f>_xlfn.XLOOKUP(C169,'product_masterlist(ifs)'!A:A,'product_masterlist(ifs)'!C:C,"N/A",0)</f>
        <v>Contact Lenses</v>
      </c>
      <c r="K169">
        <f>VLOOKUP(C169,'product_masterlist(ifs)'!A:I,7,FALSE)</f>
        <v>120</v>
      </c>
    </row>
    <row r="170" spans="1:11" x14ac:dyDescent="0.35">
      <c r="A170" t="s">
        <v>307</v>
      </c>
      <c r="B170" s="1">
        <v>45937</v>
      </c>
      <c r="C170" t="s">
        <v>90</v>
      </c>
      <c r="D170">
        <v>25</v>
      </c>
      <c r="E170" t="s">
        <v>22</v>
      </c>
      <c r="F170" t="s">
        <v>23</v>
      </c>
      <c r="G170" t="s">
        <v>308</v>
      </c>
      <c r="H170">
        <v>30</v>
      </c>
      <c r="I170" t="s">
        <v>14</v>
      </c>
      <c r="J170" t="str">
        <f>_xlfn.XLOOKUP(C170,'product_masterlist(ifs)'!A:A,'product_masterlist(ifs)'!C:C,"N/A",0)</f>
        <v>Frames</v>
      </c>
      <c r="K170">
        <f>VLOOKUP(C170,'product_masterlist(ifs)'!A:I,7,FALSE)</f>
        <v>180</v>
      </c>
    </row>
    <row r="171" spans="1:11" x14ac:dyDescent="0.35">
      <c r="A171" t="s">
        <v>309</v>
      </c>
      <c r="B171" t="s">
        <v>310</v>
      </c>
      <c r="C171" t="s">
        <v>53</v>
      </c>
      <c r="D171">
        <v>8</v>
      </c>
      <c r="E171" t="s">
        <v>20</v>
      </c>
      <c r="F171" t="s">
        <v>13</v>
      </c>
      <c r="G171">
        <v>34</v>
      </c>
      <c r="H171">
        <v>7</v>
      </c>
      <c r="I171" t="s">
        <v>28</v>
      </c>
      <c r="J171" t="str">
        <f>_xlfn.XLOOKUP(C171,'product_masterlist(ifs)'!A:A,'product_masterlist(ifs)'!C:C,"N/A",0)</f>
        <v>Solutions</v>
      </c>
      <c r="K171">
        <f>VLOOKUP(C171,'product_masterlist(ifs)'!A:I,7,FALSE)</f>
        <v>800</v>
      </c>
    </row>
    <row r="172" spans="1:11" x14ac:dyDescent="0.35">
      <c r="A172" t="s">
        <v>311</v>
      </c>
      <c r="B172" t="s">
        <v>312</v>
      </c>
      <c r="C172" t="s">
        <v>33</v>
      </c>
      <c r="D172">
        <v>22</v>
      </c>
      <c r="E172" t="s">
        <v>22</v>
      </c>
      <c r="F172" t="s">
        <v>23</v>
      </c>
      <c r="G172">
        <v>3300</v>
      </c>
      <c r="H172">
        <v>45</v>
      </c>
      <c r="I172" t="s">
        <v>34</v>
      </c>
      <c r="J172" t="str">
        <f>_xlfn.XLOOKUP(C172,'product_masterlist(ifs)'!A:A,'product_masterlist(ifs)'!C:C,"N/A",0)</f>
        <v>Surgical</v>
      </c>
      <c r="K172">
        <f>VLOOKUP(C172,'product_masterlist(ifs)'!A:I,7,FALSE)</f>
        <v>15</v>
      </c>
    </row>
    <row r="173" spans="1:11" x14ac:dyDescent="0.35">
      <c r="A173" t="s">
        <v>313</v>
      </c>
      <c r="B173" s="1">
        <v>45813</v>
      </c>
      <c r="C173" t="s">
        <v>11</v>
      </c>
      <c r="D173">
        <v>16</v>
      </c>
      <c r="E173" t="s">
        <v>20</v>
      </c>
      <c r="F173" t="s">
        <v>31</v>
      </c>
      <c r="G173">
        <v>1360</v>
      </c>
      <c r="H173">
        <v>30</v>
      </c>
      <c r="I173" t="s">
        <v>14</v>
      </c>
      <c r="J173" t="str">
        <f>_xlfn.XLOOKUP(C173,'product_masterlist(ifs)'!A:A,'product_masterlist(ifs)'!C:C,"N/A",0)</f>
        <v>Surgical</v>
      </c>
      <c r="K173">
        <f>VLOOKUP(C173,'product_masterlist(ifs)'!A:I,7,FALSE)</f>
        <v>40</v>
      </c>
    </row>
    <row r="174" spans="1:11" x14ac:dyDescent="0.35">
      <c r="A174" t="s">
        <v>314</v>
      </c>
      <c r="B174" t="s">
        <v>315</v>
      </c>
      <c r="C174" t="s">
        <v>33</v>
      </c>
      <c r="D174">
        <v>20</v>
      </c>
      <c r="E174" t="s">
        <v>20</v>
      </c>
      <c r="F174" t="s">
        <v>18</v>
      </c>
      <c r="G174">
        <v>3000</v>
      </c>
      <c r="H174">
        <v>45</v>
      </c>
      <c r="I174" t="s">
        <v>34</v>
      </c>
      <c r="J174" t="str">
        <f>_xlfn.XLOOKUP(C174,'product_masterlist(ifs)'!A:A,'product_masterlist(ifs)'!C:C,"N/A",0)</f>
        <v>Surgical</v>
      </c>
      <c r="K174">
        <f>VLOOKUP(C174,'product_masterlist(ifs)'!A:I,7,FALSE)</f>
        <v>15</v>
      </c>
    </row>
    <row r="175" spans="1:11" x14ac:dyDescent="0.35">
      <c r="A175" t="s">
        <v>316</v>
      </c>
      <c r="B175" t="s">
        <v>317</v>
      </c>
      <c r="C175" t="s">
        <v>26</v>
      </c>
      <c r="D175">
        <v>11</v>
      </c>
      <c r="E175" t="s">
        <v>22</v>
      </c>
      <c r="F175" t="s">
        <v>23</v>
      </c>
      <c r="G175" t="s">
        <v>47</v>
      </c>
      <c r="H175">
        <v>14</v>
      </c>
      <c r="I175" t="s">
        <v>28</v>
      </c>
      <c r="J175" t="str">
        <f>_xlfn.XLOOKUP(C175,'product_masterlist(ifs)'!A:A,'product_masterlist(ifs)'!C:C,"N/A",0)</f>
        <v>Contact Lenses</v>
      </c>
      <c r="K175">
        <f>VLOOKUP(C175,'product_masterlist(ifs)'!A:I,7,FALSE)</f>
        <v>450</v>
      </c>
    </row>
    <row r="176" spans="1:11" x14ac:dyDescent="0.35">
      <c r="A176" t="s">
        <v>318</v>
      </c>
      <c r="B176" t="s">
        <v>319</v>
      </c>
      <c r="C176" t="s">
        <v>53</v>
      </c>
      <c r="D176">
        <v>7</v>
      </c>
      <c r="E176" t="s">
        <v>12</v>
      </c>
      <c r="F176" t="s">
        <v>13</v>
      </c>
      <c r="G176" t="s">
        <v>320</v>
      </c>
      <c r="H176">
        <v>7</v>
      </c>
      <c r="I176" t="s">
        <v>28</v>
      </c>
      <c r="J176" t="str">
        <f>_xlfn.XLOOKUP(C176,'product_masterlist(ifs)'!A:A,'product_masterlist(ifs)'!C:C,"N/A",0)</f>
        <v>Solutions</v>
      </c>
      <c r="K176">
        <f>VLOOKUP(C176,'product_masterlist(ifs)'!A:I,7,FALSE)</f>
        <v>800</v>
      </c>
    </row>
    <row r="177" spans="1:11" x14ac:dyDescent="0.35">
      <c r="A177" t="s">
        <v>321</v>
      </c>
      <c r="B177" s="1">
        <v>45693</v>
      </c>
      <c r="C177" t="s">
        <v>42</v>
      </c>
      <c r="D177">
        <v>25</v>
      </c>
      <c r="E177" t="s">
        <v>20</v>
      </c>
      <c r="F177" t="s">
        <v>13</v>
      </c>
      <c r="G177">
        <v>625</v>
      </c>
      <c r="H177">
        <v>21</v>
      </c>
      <c r="I177" t="s">
        <v>14</v>
      </c>
      <c r="J177" t="str">
        <f>_xlfn.XLOOKUP(C177,'product_masterlist(ifs)'!A:A,'product_masterlist(ifs)'!C:C,"N/A",0)</f>
        <v>Contact Lenses</v>
      </c>
      <c r="K177">
        <f>VLOOKUP(C177,'product_masterlist(ifs)'!A:I,7,FALSE)</f>
        <v>120</v>
      </c>
    </row>
    <row r="178" spans="1:11" x14ac:dyDescent="0.35">
      <c r="A178" t="s">
        <v>322</v>
      </c>
      <c r="B178" t="s">
        <v>323</v>
      </c>
      <c r="C178" t="s">
        <v>53</v>
      </c>
      <c r="D178">
        <v>13</v>
      </c>
      <c r="E178" t="s">
        <v>12</v>
      </c>
      <c r="F178" t="s">
        <v>18</v>
      </c>
      <c r="G178" t="s">
        <v>188</v>
      </c>
      <c r="H178">
        <v>7</v>
      </c>
      <c r="I178" t="s">
        <v>28</v>
      </c>
      <c r="J178" t="str">
        <f>_xlfn.XLOOKUP(C178,'product_masterlist(ifs)'!A:A,'product_masterlist(ifs)'!C:C,"N/A",0)</f>
        <v>Solutions</v>
      </c>
      <c r="K178">
        <f>VLOOKUP(C178,'product_masterlist(ifs)'!A:I,7,FALSE)</f>
        <v>800</v>
      </c>
    </row>
    <row r="179" spans="1:11" x14ac:dyDescent="0.35">
      <c r="A179" t="s">
        <v>324</v>
      </c>
      <c r="B179" s="1">
        <v>45841</v>
      </c>
      <c r="C179" t="s">
        <v>11</v>
      </c>
      <c r="D179">
        <v>18</v>
      </c>
      <c r="E179" t="s">
        <v>12</v>
      </c>
      <c r="F179" t="s">
        <v>31</v>
      </c>
      <c r="G179">
        <v>1530</v>
      </c>
      <c r="H179">
        <v>30</v>
      </c>
      <c r="I179" t="s">
        <v>14</v>
      </c>
      <c r="J179" t="str">
        <f>_xlfn.XLOOKUP(C179,'product_masterlist(ifs)'!A:A,'product_masterlist(ifs)'!C:C,"N/A",0)</f>
        <v>Surgical</v>
      </c>
      <c r="K179">
        <f>VLOOKUP(C179,'product_masterlist(ifs)'!A:I,7,FALSE)</f>
        <v>40</v>
      </c>
    </row>
    <row r="180" spans="1:11" x14ac:dyDescent="0.35">
      <c r="A180" t="s">
        <v>325</v>
      </c>
      <c r="B180" s="1">
        <v>45721</v>
      </c>
      <c r="C180" t="s">
        <v>42</v>
      </c>
      <c r="D180">
        <v>3</v>
      </c>
      <c r="E180" t="s">
        <v>37</v>
      </c>
      <c r="F180" t="s">
        <v>23</v>
      </c>
      <c r="G180">
        <v>75</v>
      </c>
      <c r="H180">
        <v>21</v>
      </c>
      <c r="I180" t="s">
        <v>14</v>
      </c>
      <c r="J180" t="str">
        <f>_xlfn.XLOOKUP(C180,'product_masterlist(ifs)'!A:A,'product_masterlist(ifs)'!C:C,"N/A",0)</f>
        <v>Contact Lenses</v>
      </c>
      <c r="K180">
        <f>VLOOKUP(C180,'product_masterlist(ifs)'!A:I,7,FALSE)</f>
        <v>120</v>
      </c>
    </row>
    <row r="181" spans="1:11" x14ac:dyDescent="0.35">
      <c r="A181" t="s">
        <v>326</v>
      </c>
      <c r="B181" s="1">
        <v>45720</v>
      </c>
      <c r="C181" t="s">
        <v>26</v>
      </c>
      <c r="D181">
        <v>4</v>
      </c>
      <c r="E181" t="s">
        <v>37</v>
      </c>
      <c r="F181" t="s">
        <v>23</v>
      </c>
      <c r="G181">
        <v>50</v>
      </c>
      <c r="H181">
        <v>14</v>
      </c>
      <c r="I181" t="s">
        <v>28</v>
      </c>
      <c r="J181" t="str">
        <f>_xlfn.XLOOKUP(C181,'product_masterlist(ifs)'!A:A,'product_masterlist(ifs)'!C:C,"N/A",0)</f>
        <v>Contact Lenses</v>
      </c>
      <c r="K181">
        <f>VLOOKUP(C181,'product_masterlist(ifs)'!A:I,7,FALSE)</f>
        <v>450</v>
      </c>
    </row>
    <row r="182" spans="1:11" x14ac:dyDescent="0.35">
      <c r="A182" t="s">
        <v>327</v>
      </c>
      <c r="B182" s="1">
        <v>45719</v>
      </c>
      <c r="C182" t="s">
        <v>42</v>
      </c>
      <c r="D182">
        <v>3</v>
      </c>
      <c r="E182" t="s">
        <v>22</v>
      </c>
      <c r="F182" t="s">
        <v>13</v>
      </c>
      <c r="G182">
        <v>75</v>
      </c>
      <c r="H182">
        <v>21</v>
      </c>
      <c r="I182" t="s">
        <v>14</v>
      </c>
      <c r="J182" t="str">
        <f>_xlfn.XLOOKUP(C182,'product_masterlist(ifs)'!A:A,'product_masterlist(ifs)'!C:C,"N/A",0)</f>
        <v>Contact Lenses</v>
      </c>
      <c r="K182">
        <f>VLOOKUP(C182,'product_masterlist(ifs)'!A:I,7,FALSE)</f>
        <v>120</v>
      </c>
    </row>
    <row r="183" spans="1:11" x14ac:dyDescent="0.35">
      <c r="A183" t="s">
        <v>328</v>
      </c>
      <c r="B183" t="s">
        <v>196</v>
      </c>
      <c r="C183" t="s">
        <v>53</v>
      </c>
      <c r="D183">
        <v>14</v>
      </c>
      <c r="E183" t="s">
        <v>20</v>
      </c>
      <c r="F183" t="s">
        <v>13</v>
      </c>
      <c r="G183" t="s">
        <v>228</v>
      </c>
      <c r="H183">
        <v>7</v>
      </c>
      <c r="I183" t="s">
        <v>28</v>
      </c>
      <c r="J183" t="str">
        <f>_xlfn.XLOOKUP(C183,'product_masterlist(ifs)'!A:A,'product_masterlist(ifs)'!C:C,"N/A",0)</f>
        <v>Solutions</v>
      </c>
      <c r="K183">
        <f>VLOOKUP(C183,'product_masterlist(ifs)'!A:I,7,FALSE)</f>
        <v>800</v>
      </c>
    </row>
    <row r="184" spans="1:11" x14ac:dyDescent="0.35">
      <c r="A184" t="s">
        <v>329</v>
      </c>
      <c r="B184" t="s">
        <v>330</v>
      </c>
      <c r="C184" t="s">
        <v>90</v>
      </c>
      <c r="D184">
        <v>7</v>
      </c>
      <c r="E184" t="s">
        <v>37</v>
      </c>
      <c r="F184" t="s">
        <v>13</v>
      </c>
      <c r="G184" t="s">
        <v>181</v>
      </c>
      <c r="H184">
        <v>30</v>
      </c>
      <c r="I184" t="s">
        <v>14</v>
      </c>
      <c r="J184" t="str">
        <f>_xlfn.XLOOKUP(C184,'product_masterlist(ifs)'!A:A,'product_masterlist(ifs)'!C:C,"N/A",0)</f>
        <v>Frames</v>
      </c>
      <c r="K184">
        <f>VLOOKUP(C184,'product_masterlist(ifs)'!A:I,7,FALSE)</f>
        <v>180</v>
      </c>
    </row>
    <row r="185" spans="1:11" x14ac:dyDescent="0.35">
      <c r="A185" t="s">
        <v>331</v>
      </c>
      <c r="B185" t="s">
        <v>205</v>
      </c>
      <c r="C185" t="s">
        <v>90</v>
      </c>
      <c r="D185">
        <v>5</v>
      </c>
      <c r="E185" t="s">
        <v>37</v>
      </c>
      <c r="F185" t="s">
        <v>13</v>
      </c>
      <c r="G185" t="s">
        <v>332</v>
      </c>
      <c r="H185">
        <v>30</v>
      </c>
      <c r="I185" t="s">
        <v>14</v>
      </c>
      <c r="J185" t="str">
        <f>_xlfn.XLOOKUP(C185,'product_masterlist(ifs)'!A:A,'product_masterlist(ifs)'!C:C,"N/A",0)</f>
        <v>Frames</v>
      </c>
      <c r="K185">
        <f>VLOOKUP(C185,'product_masterlist(ifs)'!A:I,7,FALSE)</f>
        <v>180</v>
      </c>
    </row>
    <row r="186" spans="1:11" x14ac:dyDescent="0.35">
      <c r="A186" t="s">
        <v>333</v>
      </c>
      <c r="B186" s="1">
        <v>45880</v>
      </c>
      <c r="C186" t="s">
        <v>26</v>
      </c>
      <c r="D186">
        <v>3</v>
      </c>
      <c r="E186" t="s">
        <v>37</v>
      </c>
      <c r="F186" t="s">
        <v>31</v>
      </c>
      <c r="G186" t="s">
        <v>40</v>
      </c>
      <c r="H186">
        <v>14</v>
      </c>
      <c r="I186" t="s">
        <v>28</v>
      </c>
      <c r="J186" t="str">
        <f>_xlfn.XLOOKUP(C186,'product_masterlist(ifs)'!A:A,'product_masterlist(ifs)'!C:C,"N/A",0)</f>
        <v>Contact Lenses</v>
      </c>
      <c r="K186">
        <f>VLOOKUP(C186,'product_masterlist(ifs)'!A:I,7,FALSE)</f>
        <v>450</v>
      </c>
    </row>
    <row r="187" spans="1:11" x14ac:dyDescent="0.35">
      <c r="A187" t="s">
        <v>334</v>
      </c>
      <c r="B187" s="1">
        <v>45902</v>
      </c>
      <c r="C187" t="s">
        <v>42</v>
      </c>
      <c r="D187">
        <v>9</v>
      </c>
      <c r="E187" t="s">
        <v>20</v>
      </c>
      <c r="F187" t="s">
        <v>23</v>
      </c>
      <c r="G187">
        <v>225</v>
      </c>
      <c r="H187">
        <v>21</v>
      </c>
      <c r="I187" t="s">
        <v>14</v>
      </c>
      <c r="J187" t="str">
        <f>_xlfn.XLOOKUP(C187,'product_masterlist(ifs)'!A:A,'product_masterlist(ifs)'!C:C,"N/A",0)</f>
        <v>Contact Lenses</v>
      </c>
      <c r="K187">
        <f>VLOOKUP(C187,'product_masterlist(ifs)'!A:I,7,FALSE)</f>
        <v>120</v>
      </c>
    </row>
    <row r="188" spans="1:11" x14ac:dyDescent="0.35">
      <c r="A188" t="s">
        <v>335</v>
      </c>
      <c r="B188" s="1">
        <v>45939</v>
      </c>
      <c r="C188" t="s">
        <v>53</v>
      </c>
      <c r="D188">
        <v>18</v>
      </c>
      <c r="E188" t="s">
        <v>37</v>
      </c>
      <c r="F188" t="s">
        <v>18</v>
      </c>
      <c r="G188" t="s">
        <v>336</v>
      </c>
      <c r="H188">
        <v>7</v>
      </c>
      <c r="I188" t="s">
        <v>28</v>
      </c>
      <c r="J188" t="str">
        <f>_xlfn.XLOOKUP(C188,'product_masterlist(ifs)'!A:A,'product_masterlist(ifs)'!C:C,"N/A",0)</f>
        <v>Solutions</v>
      </c>
      <c r="K188">
        <f>VLOOKUP(C188,'product_masterlist(ifs)'!A:I,7,FALSE)</f>
        <v>800</v>
      </c>
    </row>
    <row r="189" spans="1:11" x14ac:dyDescent="0.35">
      <c r="A189" t="s">
        <v>337</v>
      </c>
      <c r="B189" t="s">
        <v>338</v>
      </c>
      <c r="C189" t="s">
        <v>33</v>
      </c>
      <c r="D189">
        <v>19</v>
      </c>
      <c r="E189" t="s">
        <v>37</v>
      </c>
      <c r="F189" t="s">
        <v>13</v>
      </c>
      <c r="G189">
        <v>2850</v>
      </c>
      <c r="H189">
        <v>45</v>
      </c>
      <c r="I189" t="s">
        <v>34</v>
      </c>
      <c r="J189" t="str">
        <f>_xlfn.XLOOKUP(C189,'product_masterlist(ifs)'!A:A,'product_masterlist(ifs)'!C:C,"N/A",0)</f>
        <v>Surgical</v>
      </c>
      <c r="K189">
        <f>VLOOKUP(C189,'product_masterlist(ifs)'!A:I,7,FALSE)</f>
        <v>15</v>
      </c>
    </row>
    <row r="190" spans="1:11" x14ac:dyDescent="0.35">
      <c r="A190" t="s">
        <v>339</v>
      </c>
      <c r="B190" s="1">
        <v>45814</v>
      </c>
      <c r="C190" t="s">
        <v>53</v>
      </c>
      <c r="D190">
        <v>20</v>
      </c>
      <c r="E190" t="s">
        <v>22</v>
      </c>
      <c r="F190" t="s">
        <v>31</v>
      </c>
      <c r="G190">
        <v>85</v>
      </c>
      <c r="H190">
        <v>7</v>
      </c>
      <c r="I190" t="s">
        <v>28</v>
      </c>
      <c r="J190" t="str">
        <f>_xlfn.XLOOKUP(C190,'product_masterlist(ifs)'!A:A,'product_masterlist(ifs)'!C:C,"N/A",0)</f>
        <v>Solutions</v>
      </c>
      <c r="K190">
        <f>VLOOKUP(C190,'product_masterlist(ifs)'!A:I,7,FALSE)</f>
        <v>800</v>
      </c>
    </row>
    <row r="191" spans="1:11" x14ac:dyDescent="0.35">
      <c r="A191" t="s">
        <v>340</v>
      </c>
      <c r="B191" s="1">
        <v>45934</v>
      </c>
      <c r="C191" t="s">
        <v>11</v>
      </c>
      <c r="D191">
        <v>25</v>
      </c>
      <c r="E191" t="s">
        <v>12</v>
      </c>
      <c r="F191" t="s">
        <v>23</v>
      </c>
      <c r="G191">
        <v>2125</v>
      </c>
      <c r="H191">
        <v>30</v>
      </c>
      <c r="I191" t="s">
        <v>14</v>
      </c>
      <c r="J191" t="str">
        <f>_xlfn.XLOOKUP(C191,'product_masterlist(ifs)'!A:A,'product_masterlist(ifs)'!C:C,"N/A",0)</f>
        <v>Surgical</v>
      </c>
      <c r="K191">
        <f>VLOOKUP(C191,'product_masterlist(ifs)'!A:I,7,FALSE)</f>
        <v>40</v>
      </c>
    </row>
    <row r="192" spans="1:11" x14ac:dyDescent="0.35">
      <c r="A192" t="s">
        <v>341</v>
      </c>
      <c r="B192" s="1">
        <v>45787</v>
      </c>
      <c r="C192" t="s">
        <v>26</v>
      </c>
      <c r="D192">
        <v>18</v>
      </c>
      <c r="E192" t="s">
        <v>12</v>
      </c>
      <c r="F192" t="s">
        <v>18</v>
      </c>
      <c r="G192">
        <v>225</v>
      </c>
      <c r="H192">
        <v>14</v>
      </c>
      <c r="I192" t="s">
        <v>28</v>
      </c>
      <c r="J192" t="str">
        <f>_xlfn.XLOOKUP(C192,'product_masterlist(ifs)'!A:A,'product_masterlist(ifs)'!C:C,"N/A",0)</f>
        <v>Contact Lenses</v>
      </c>
      <c r="K192">
        <f>VLOOKUP(C192,'product_masterlist(ifs)'!A:I,7,FALSE)</f>
        <v>450</v>
      </c>
    </row>
    <row r="193" spans="1:11" x14ac:dyDescent="0.35">
      <c r="A193" t="s">
        <v>342</v>
      </c>
      <c r="B193" t="s">
        <v>125</v>
      </c>
      <c r="C193" t="s">
        <v>26</v>
      </c>
      <c r="D193">
        <v>7</v>
      </c>
      <c r="E193" t="s">
        <v>37</v>
      </c>
      <c r="F193" t="s">
        <v>31</v>
      </c>
      <c r="G193" t="s">
        <v>27</v>
      </c>
      <c r="H193">
        <v>14</v>
      </c>
      <c r="I193" t="s">
        <v>28</v>
      </c>
      <c r="J193" t="str">
        <f>_xlfn.XLOOKUP(C193,'product_masterlist(ifs)'!A:A,'product_masterlist(ifs)'!C:C,"N/A",0)</f>
        <v>Contact Lenses</v>
      </c>
      <c r="K193">
        <f>VLOOKUP(C193,'product_masterlist(ifs)'!A:I,7,FALSE)</f>
        <v>450</v>
      </c>
    </row>
    <row r="194" spans="1:11" x14ac:dyDescent="0.35">
      <c r="A194" t="s">
        <v>343</v>
      </c>
      <c r="B194" s="1">
        <v>45721</v>
      </c>
      <c r="C194" t="s">
        <v>90</v>
      </c>
      <c r="D194">
        <v>23</v>
      </c>
      <c r="E194" t="s">
        <v>12</v>
      </c>
      <c r="F194" t="s">
        <v>23</v>
      </c>
      <c r="G194" t="s">
        <v>123</v>
      </c>
      <c r="H194">
        <v>30</v>
      </c>
      <c r="I194" t="s">
        <v>14</v>
      </c>
      <c r="J194" t="str">
        <f>_xlfn.XLOOKUP(C194,'product_masterlist(ifs)'!A:A,'product_masterlist(ifs)'!C:C,"N/A",0)</f>
        <v>Frames</v>
      </c>
      <c r="K194">
        <f>VLOOKUP(C194,'product_masterlist(ifs)'!A:I,7,FALSE)</f>
        <v>180</v>
      </c>
    </row>
    <row r="195" spans="1:11" x14ac:dyDescent="0.35">
      <c r="A195" t="s">
        <v>344</v>
      </c>
      <c r="B195" t="s">
        <v>345</v>
      </c>
      <c r="C195" t="s">
        <v>17</v>
      </c>
      <c r="D195">
        <v>22</v>
      </c>
      <c r="E195" t="s">
        <v>22</v>
      </c>
      <c r="F195" t="s">
        <v>18</v>
      </c>
      <c r="G195">
        <v>990</v>
      </c>
      <c r="H195">
        <v>30</v>
      </c>
      <c r="I195" t="s">
        <v>14</v>
      </c>
      <c r="J195" t="str">
        <f>_xlfn.XLOOKUP(C195,'product_masterlist(ifs)'!A:A,'product_masterlist(ifs)'!C:C,"N/A",0)</f>
        <v>Frames</v>
      </c>
      <c r="K195">
        <f>VLOOKUP(C195,'product_masterlist(ifs)'!A:I,7,FALSE)</f>
        <v>45</v>
      </c>
    </row>
    <row r="196" spans="1:11" x14ac:dyDescent="0.35">
      <c r="A196" t="s">
        <v>346</v>
      </c>
      <c r="B196" t="s">
        <v>180</v>
      </c>
      <c r="C196" t="s">
        <v>26</v>
      </c>
      <c r="D196">
        <v>11</v>
      </c>
      <c r="E196" t="s">
        <v>20</v>
      </c>
      <c r="F196" t="s">
        <v>23</v>
      </c>
      <c r="G196" t="s">
        <v>47</v>
      </c>
      <c r="H196">
        <v>14</v>
      </c>
      <c r="I196" t="s">
        <v>28</v>
      </c>
      <c r="J196" t="str">
        <f>_xlfn.XLOOKUP(C196,'product_masterlist(ifs)'!A:A,'product_masterlist(ifs)'!C:C,"N/A",0)</f>
        <v>Contact Lenses</v>
      </c>
      <c r="K196">
        <f>VLOOKUP(C196,'product_masterlist(ifs)'!A:I,7,FALSE)</f>
        <v>450</v>
      </c>
    </row>
    <row r="197" spans="1:11" x14ac:dyDescent="0.35">
      <c r="A197" t="s">
        <v>347</v>
      </c>
      <c r="B197" t="s">
        <v>194</v>
      </c>
      <c r="C197" t="s">
        <v>90</v>
      </c>
      <c r="D197">
        <v>22</v>
      </c>
      <c r="E197" t="s">
        <v>12</v>
      </c>
      <c r="F197" t="s">
        <v>31</v>
      </c>
      <c r="G197">
        <v>1067</v>
      </c>
      <c r="H197">
        <v>30</v>
      </c>
      <c r="I197" t="s">
        <v>14</v>
      </c>
      <c r="J197" t="str">
        <f>_xlfn.XLOOKUP(C197,'product_masterlist(ifs)'!A:A,'product_masterlist(ifs)'!C:C,"N/A",0)</f>
        <v>Frames</v>
      </c>
      <c r="K197">
        <f>VLOOKUP(C197,'product_masterlist(ifs)'!A:I,7,FALSE)</f>
        <v>180</v>
      </c>
    </row>
    <row r="198" spans="1:11" x14ac:dyDescent="0.35">
      <c r="A198" t="s">
        <v>348</v>
      </c>
      <c r="B198" s="1">
        <v>45871</v>
      </c>
      <c r="C198" t="s">
        <v>26</v>
      </c>
      <c r="D198">
        <v>6</v>
      </c>
      <c r="E198" t="s">
        <v>22</v>
      </c>
      <c r="F198" t="s">
        <v>23</v>
      </c>
      <c r="G198">
        <v>75</v>
      </c>
      <c r="H198">
        <v>14</v>
      </c>
      <c r="I198" t="s">
        <v>28</v>
      </c>
      <c r="J198" t="str">
        <f>_xlfn.XLOOKUP(C198,'product_masterlist(ifs)'!A:A,'product_masterlist(ifs)'!C:C,"N/A",0)</f>
        <v>Contact Lenses</v>
      </c>
      <c r="K198">
        <f>VLOOKUP(C198,'product_masterlist(ifs)'!A:I,7,FALSE)</f>
        <v>450</v>
      </c>
    </row>
    <row r="199" spans="1:11" x14ac:dyDescent="0.35">
      <c r="A199" t="s">
        <v>349</v>
      </c>
      <c r="B199" t="s">
        <v>350</v>
      </c>
      <c r="C199" t="s">
        <v>17</v>
      </c>
      <c r="D199">
        <v>16</v>
      </c>
      <c r="E199" t="s">
        <v>20</v>
      </c>
      <c r="F199" t="s">
        <v>23</v>
      </c>
      <c r="G199">
        <v>720</v>
      </c>
      <c r="H199">
        <v>30</v>
      </c>
      <c r="I199" t="s">
        <v>14</v>
      </c>
      <c r="J199" t="str">
        <f>_xlfn.XLOOKUP(C199,'product_masterlist(ifs)'!A:A,'product_masterlist(ifs)'!C:C,"N/A",0)</f>
        <v>Frames</v>
      </c>
      <c r="K199">
        <f>VLOOKUP(C199,'product_masterlist(ifs)'!A:I,7,FALSE)</f>
        <v>45</v>
      </c>
    </row>
    <row r="200" spans="1:11" x14ac:dyDescent="0.35">
      <c r="A200" t="s">
        <v>351</v>
      </c>
      <c r="B200" t="s">
        <v>352</v>
      </c>
      <c r="C200" t="s">
        <v>90</v>
      </c>
      <c r="D200">
        <v>11</v>
      </c>
      <c r="E200" t="s">
        <v>20</v>
      </c>
      <c r="F200" t="s">
        <v>31</v>
      </c>
      <c r="G200" t="s">
        <v>238</v>
      </c>
      <c r="H200">
        <v>30</v>
      </c>
      <c r="I200" t="s">
        <v>14</v>
      </c>
      <c r="J200" t="str">
        <f>_xlfn.XLOOKUP(C200,'product_masterlist(ifs)'!A:A,'product_masterlist(ifs)'!C:C,"N/A",0)</f>
        <v>Frames</v>
      </c>
      <c r="K200">
        <f>VLOOKUP(C200,'product_masterlist(ifs)'!A:I,7,FALSE)</f>
        <v>180</v>
      </c>
    </row>
    <row r="201" spans="1:11" x14ac:dyDescent="0.35">
      <c r="A201" t="s">
        <v>353</v>
      </c>
      <c r="B201" t="s">
        <v>354</v>
      </c>
      <c r="C201" t="s">
        <v>33</v>
      </c>
      <c r="D201">
        <v>15</v>
      </c>
      <c r="E201" t="s">
        <v>37</v>
      </c>
      <c r="F201" t="s">
        <v>13</v>
      </c>
      <c r="G201">
        <v>2250</v>
      </c>
      <c r="H201">
        <v>45</v>
      </c>
      <c r="I201" t="s">
        <v>34</v>
      </c>
      <c r="J201" t="str">
        <f>_xlfn.XLOOKUP(C201,'product_masterlist(ifs)'!A:A,'product_masterlist(ifs)'!C:C,"N/A",0)</f>
        <v>Surgical</v>
      </c>
      <c r="K201">
        <f>VLOOKUP(C201,'product_masterlist(ifs)'!A:I,7,FALSE)</f>
        <v>15</v>
      </c>
    </row>
    <row r="202" spans="1:11" x14ac:dyDescent="0.35">
      <c r="A202" t="s">
        <v>355</v>
      </c>
      <c r="B202" s="1">
        <v>45876</v>
      </c>
      <c r="C202" t="s">
        <v>11</v>
      </c>
      <c r="D202">
        <v>17</v>
      </c>
      <c r="E202" t="s">
        <v>12</v>
      </c>
      <c r="F202" t="s">
        <v>23</v>
      </c>
      <c r="G202">
        <v>1445</v>
      </c>
      <c r="H202">
        <v>30</v>
      </c>
      <c r="I202" t="s">
        <v>14</v>
      </c>
      <c r="J202" t="str">
        <f>_xlfn.XLOOKUP(C202,'product_masterlist(ifs)'!A:A,'product_masterlist(ifs)'!C:C,"N/A",0)</f>
        <v>Surgical</v>
      </c>
      <c r="K202">
        <f>VLOOKUP(C202,'product_masterlist(ifs)'!A:I,7,FALSE)</f>
        <v>40</v>
      </c>
    </row>
    <row r="203" spans="1:11" x14ac:dyDescent="0.35">
      <c r="A203" t="s">
        <v>356</v>
      </c>
      <c r="B203" t="s">
        <v>149</v>
      </c>
      <c r="C203" t="s">
        <v>26</v>
      </c>
      <c r="D203">
        <v>18</v>
      </c>
      <c r="E203" t="s">
        <v>12</v>
      </c>
      <c r="F203" t="s">
        <v>18</v>
      </c>
      <c r="G203">
        <v>225</v>
      </c>
      <c r="H203">
        <v>14</v>
      </c>
      <c r="I203" t="s">
        <v>28</v>
      </c>
      <c r="J203" t="str">
        <f>_xlfn.XLOOKUP(C203,'product_masterlist(ifs)'!A:A,'product_masterlist(ifs)'!C:C,"N/A",0)</f>
        <v>Contact Lenses</v>
      </c>
      <c r="K203">
        <f>VLOOKUP(C203,'product_masterlist(ifs)'!A:I,7,FALSE)</f>
        <v>450</v>
      </c>
    </row>
    <row r="204" spans="1:11" x14ac:dyDescent="0.35">
      <c r="A204" t="s">
        <v>357</v>
      </c>
      <c r="B204" s="1">
        <v>45878</v>
      </c>
      <c r="C204" t="s">
        <v>26</v>
      </c>
      <c r="D204">
        <v>7</v>
      </c>
      <c r="E204" t="s">
        <v>20</v>
      </c>
      <c r="F204" t="s">
        <v>31</v>
      </c>
      <c r="G204" t="s">
        <v>27</v>
      </c>
      <c r="H204">
        <v>14</v>
      </c>
      <c r="I204" t="s">
        <v>28</v>
      </c>
      <c r="J204" t="str">
        <f>_xlfn.XLOOKUP(C204,'product_masterlist(ifs)'!A:A,'product_masterlist(ifs)'!C:C,"N/A",0)</f>
        <v>Contact Lenses</v>
      </c>
      <c r="K204">
        <f>VLOOKUP(C204,'product_masterlist(ifs)'!A:I,7,FALSE)</f>
        <v>450</v>
      </c>
    </row>
    <row r="205" spans="1:11" x14ac:dyDescent="0.35">
      <c r="A205" t="s">
        <v>358</v>
      </c>
      <c r="B205" s="1">
        <v>45758</v>
      </c>
      <c r="C205" t="s">
        <v>17</v>
      </c>
      <c r="D205">
        <v>5</v>
      </c>
      <c r="E205" t="s">
        <v>12</v>
      </c>
      <c r="F205" t="s">
        <v>23</v>
      </c>
      <c r="G205">
        <v>225</v>
      </c>
      <c r="H205">
        <v>30</v>
      </c>
      <c r="I205" t="s">
        <v>14</v>
      </c>
      <c r="J205" t="str">
        <f>_xlfn.XLOOKUP(C205,'product_masterlist(ifs)'!A:A,'product_masterlist(ifs)'!C:C,"N/A",0)</f>
        <v>Frames</v>
      </c>
      <c r="K205">
        <f>VLOOKUP(C205,'product_masterlist(ifs)'!A:I,7,FALSE)</f>
        <v>45</v>
      </c>
    </row>
    <row r="206" spans="1:11" x14ac:dyDescent="0.35">
      <c r="A206" t="s">
        <v>359</v>
      </c>
      <c r="B206" s="1">
        <v>45962</v>
      </c>
      <c r="C206" t="s">
        <v>11</v>
      </c>
      <c r="D206">
        <v>24</v>
      </c>
      <c r="E206" t="s">
        <v>22</v>
      </c>
      <c r="F206" t="s">
        <v>18</v>
      </c>
      <c r="G206">
        <v>2040</v>
      </c>
      <c r="H206">
        <v>30</v>
      </c>
      <c r="I206" t="s">
        <v>14</v>
      </c>
      <c r="J206" t="str">
        <f>_xlfn.XLOOKUP(C206,'product_masterlist(ifs)'!A:A,'product_masterlist(ifs)'!C:C,"N/A",0)</f>
        <v>Surgical</v>
      </c>
      <c r="K206">
        <f>VLOOKUP(C206,'product_masterlist(ifs)'!A:I,7,FALSE)</f>
        <v>40</v>
      </c>
    </row>
    <row r="207" spans="1:11" x14ac:dyDescent="0.35">
      <c r="A207" t="s">
        <v>360</v>
      </c>
      <c r="B207" s="1">
        <v>45965</v>
      </c>
      <c r="C207" t="s">
        <v>53</v>
      </c>
      <c r="D207">
        <v>18</v>
      </c>
      <c r="E207" t="s">
        <v>37</v>
      </c>
      <c r="F207" t="s">
        <v>13</v>
      </c>
      <c r="G207" t="s">
        <v>336</v>
      </c>
      <c r="H207">
        <v>7</v>
      </c>
      <c r="I207" t="s">
        <v>28</v>
      </c>
      <c r="J207" t="str">
        <f>_xlfn.XLOOKUP(C207,'product_masterlist(ifs)'!A:A,'product_masterlist(ifs)'!C:C,"N/A",0)</f>
        <v>Solutions</v>
      </c>
      <c r="K207">
        <f>VLOOKUP(C207,'product_masterlist(ifs)'!A:I,7,FALSE)</f>
        <v>800</v>
      </c>
    </row>
    <row r="208" spans="1:11" x14ac:dyDescent="0.35">
      <c r="A208" t="s">
        <v>361</v>
      </c>
      <c r="B208" s="1">
        <v>45995</v>
      </c>
      <c r="C208" t="s">
        <v>90</v>
      </c>
      <c r="D208">
        <v>17</v>
      </c>
      <c r="E208" t="s">
        <v>22</v>
      </c>
      <c r="F208" t="s">
        <v>18</v>
      </c>
      <c r="G208" t="s">
        <v>362</v>
      </c>
      <c r="H208">
        <v>30</v>
      </c>
      <c r="I208" t="s">
        <v>14</v>
      </c>
      <c r="J208" t="str">
        <f>_xlfn.XLOOKUP(C208,'product_masterlist(ifs)'!A:A,'product_masterlist(ifs)'!C:C,"N/A",0)</f>
        <v>Frames</v>
      </c>
      <c r="K208">
        <f>VLOOKUP(C208,'product_masterlist(ifs)'!A:I,7,FALSE)</f>
        <v>180</v>
      </c>
    </row>
    <row r="209" spans="1:11" x14ac:dyDescent="0.35">
      <c r="A209" t="s">
        <v>363</v>
      </c>
      <c r="B209" t="s">
        <v>364</v>
      </c>
      <c r="C209" t="s">
        <v>42</v>
      </c>
      <c r="D209">
        <v>10</v>
      </c>
      <c r="E209" t="s">
        <v>37</v>
      </c>
      <c r="F209" t="s">
        <v>23</v>
      </c>
      <c r="G209">
        <v>250</v>
      </c>
      <c r="H209">
        <v>21</v>
      </c>
      <c r="I209" t="s">
        <v>14</v>
      </c>
      <c r="J209" t="str">
        <f>_xlfn.XLOOKUP(C209,'product_masterlist(ifs)'!A:A,'product_masterlist(ifs)'!C:C,"N/A",0)</f>
        <v>Contact Lenses</v>
      </c>
      <c r="K209">
        <f>VLOOKUP(C209,'product_masterlist(ifs)'!A:I,7,FALSE)</f>
        <v>120</v>
      </c>
    </row>
    <row r="210" spans="1:11" x14ac:dyDescent="0.35">
      <c r="A210" t="s">
        <v>365</v>
      </c>
      <c r="B210" s="1">
        <v>45725</v>
      </c>
      <c r="C210" t="s">
        <v>26</v>
      </c>
      <c r="D210">
        <v>21</v>
      </c>
      <c r="E210" t="s">
        <v>37</v>
      </c>
      <c r="F210" t="s">
        <v>13</v>
      </c>
      <c r="G210" t="s">
        <v>366</v>
      </c>
      <c r="H210">
        <v>14</v>
      </c>
      <c r="I210" t="s">
        <v>28</v>
      </c>
      <c r="J210" t="str">
        <f>_xlfn.XLOOKUP(C210,'product_masterlist(ifs)'!A:A,'product_masterlist(ifs)'!C:C,"N/A",0)</f>
        <v>Contact Lenses</v>
      </c>
      <c r="K210">
        <f>VLOOKUP(C210,'product_masterlist(ifs)'!A:I,7,FALSE)</f>
        <v>450</v>
      </c>
    </row>
    <row r="211" spans="1:11" x14ac:dyDescent="0.35">
      <c r="A211" t="s">
        <v>367</v>
      </c>
      <c r="B211" s="1">
        <v>45668</v>
      </c>
      <c r="C211" t="s">
        <v>53</v>
      </c>
      <c r="D211">
        <v>13</v>
      </c>
      <c r="E211" t="s">
        <v>20</v>
      </c>
      <c r="F211" t="s">
        <v>18</v>
      </c>
      <c r="G211" t="s">
        <v>188</v>
      </c>
      <c r="H211">
        <v>7</v>
      </c>
      <c r="I211" t="s">
        <v>28</v>
      </c>
      <c r="J211" t="str">
        <f>_xlfn.XLOOKUP(C211,'product_masterlist(ifs)'!A:A,'product_masterlist(ifs)'!C:C,"N/A",0)</f>
        <v>Solutions</v>
      </c>
      <c r="K211">
        <f>VLOOKUP(C211,'product_masterlist(ifs)'!A:I,7,FALSE)</f>
        <v>800</v>
      </c>
    </row>
    <row r="212" spans="1:11" x14ac:dyDescent="0.35">
      <c r="A212" t="s">
        <v>368</v>
      </c>
      <c r="B212" s="1">
        <v>46003</v>
      </c>
      <c r="C212" t="s">
        <v>53</v>
      </c>
      <c r="D212">
        <v>6</v>
      </c>
      <c r="E212" t="s">
        <v>22</v>
      </c>
      <c r="F212" t="s">
        <v>13</v>
      </c>
      <c r="G212" t="s">
        <v>369</v>
      </c>
      <c r="H212">
        <v>7</v>
      </c>
      <c r="I212" t="s">
        <v>28</v>
      </c>
      <c r="J212" t="str">
        <f>_xlfn.XLOOKUP(C212,'product_masterlist(ifs)'!A:A,'product_masterlist(ifs)'!C:C,"N/A",0)</f>
        <v>Solutions</v>
      </c>
      <c r="K212">
        <f>VLOOKUP(C212,'product_masterlist(ifs)'!A:I,7,FALSE)</f>
        <v>800</v>
      </c>
    </row>
    <row r="213" spans="1:11" x14ac:dyDescent="0.35">
      <c r="A213" t="s">
        <v>370</v>
      </c>
      <c r="B213" s="1">
        <v>45844</v>
      </c>
      <c r="C213" t="s">
        <v>53</v>
      </c>
      <c r="D213">
        <v>6</v>
      </c>
      <c r="E213" t="s">
        <v>12</v>
      </c>
      <c r="F213" t="s">
        <v>23</v>
      </c>
      <c r="G213" t="s">
        <v>369</v>
      </c>
      <c r="H213">
        <v>7</v>
      </c>
      <c r="I213" t="s">
        <v>28</v>
      </c>
      <c r="J213" t="str">
        <f>_xlfn.XLOOKUP(C213,'product_masterlist(ifs)'!A:A,'product_masterlist(ifs)'!C:C,"N/A",0)</f>
        <v>Solutions</v>
      </c>
      <c r="K213">
        <f>VLOOKUP(C213,'product_masterlist(ifs)'!A:I,7,FALSE)</f>
        <v>800</v>
      </c>
    </row>
    <row r="214" spans="1:11" x14ac:dyDescent="0.35">
      <c r="A214" t="s">
        <v>371</v>
      </c>
      <c r="B214" s="1">
        <v>45784</v>
      </c>
      <c r="C214" t="s">
        <v>53</v>
      </c>
      <c r="D214">
        <v>1</v>
      </c>
      <c r="E214" t="s">
        <v>22</v>
      </c>
      <c r="F214" t="s">
        <v>13</v>
      </c>
      <c r="G214" t="s">
        <v>372</v>
      </c>
      <c r="H214">
        <v>7</v>
      </c>
      <c r="I214" t="s">
        <v>28</v>
      </c>
      <c r="J214" t="str">
        <f>_xlfn.XLOOKUP(C214,'product_masterlist(ifs)'!A:A,'product_masterlist(ifs)'!C:C,"N/A",0)</f>
        <v>Solutions</v>
      </c>
      <c r="K214">
        <f>VLOOKUP(C214,'product_masterlist(ifs)'!A:I,7,FALSE)</f>
        <v>800</v>
      </c>
    </row>
    <row r="215" spans="1:11" x14ac:dyDescent="0.35">
      <c r="A215" t="s">
        <v>373</v>
      </c>
      <c r="B215" t="s">
        <v>103</v>
      </c>
      <c r="C215" t="s">
        <v>33</v>
      </c>
      <c r="D215">
        <v>12</v>
      </c>
      <c r="E215" t="s">
        <v>37</v>
      </c>
      <c r="F215" t="s">
        <v>13</v>
      </c>
      <c r="G215">
        <v>1800</v>
      </c>
      <c r="H215">
        <v>45</v>
      </c>
      <c r="I215" t="s">
        <v>34</v>
      </c>
      <c r="J215" t="str">
        <f>_xlfn.XLOOKUP(C215,'product_masterlist(ifs)'!A:A,'product_masterlist(ifs)'!C:C,"N/A",0)</f>
        <v>Surgical</v>
      </c>
      <c r="K215">
        <f>VLOOKUP(C215,'product_masterlist(ifs)'!A:I,7,FALSE)</f>
        <v>15</v>
      </c>
    </row>
    <row r="216" spans="1:11" x14ac:dyDescent="0.35">
      <c r="A216" t="s">
        <v>374</v>
      </c>
      <c r="B216" s="1">
        <v>45849</v>
      </c>
      <c r="C216" t="s">
        <v>90</v>
      </c>
      <c r="D216">
        <v>3</v>
      </c>
      <c r="E216" t="s">
        <v>12</v>
      </c>
      <c r="F216" t="s">
        <v>31</v>
      </c>
      <c r="G216" t="s">
        <v>375</v>
      </c>
      <c r="H216">
        <v>30</v>
      </c>
      <c r="I216" t="s">
        <v>14</v>
      </c>
      <c r="J216" t="str">
        <f>_xlfn.XLOOKUP(C216,'product_masterlist(ifs)'!A:A,'product_masterlist(ifs)'!C:C,"N/A",0)</f>
        <v>Frames</v>
      </c>
      <c r="K216">
        <f>VLOOKUP(C216,'product_masterlist(ifs)'!A:I,7,FALSE)</f>
        <v>180</v>
      </c>
    </row>
    <row r="217" spans="1:11" x14ac:dyDescent="0.35">
      <c r="A217" t="s">
        <v>376</v>
      </c>
      <c r="B217" s="1">
        <v>45902</v>
      </c>
      <c r="C217" t="s">
        <v>26</v>
      </c>
      <c r="D217">
        <v>9</v>
      </c>
      <c r="E217" t="s">
        <v>20</v>
      </c>
      <c r="F217" t="s">
        <v>23</v>
      </c>
      <c r="G217" t="s">
        <v>170</v>
      </c>
      <c r="H217">
        <v>14</v>
      </c>
      <c r="I217" t="s">
        <v>28</v>
      </c>
      <c r="J217" t="str">
        <f>_xlfn.XLOOKUP(C217,'product_masterlist(ifs)'!A:A,'product_masterlist(ifs)'!C:C,"N/A",0)</f>
        <v>Contact Lenses</v>
      </c>
      <c r="K217">
        <f>VLOOKUP(C217,'product_masterlist(ifs)'!A:I,7,FALSE)</f>
        <v>450</v>
      </c>
    </row>
    <row r="218" spans="1:11" x14ac:dyDescent="0.35">
      <c r="A218" t="s">
        <v>377</v>
      </c>
      <c r="B218" s="1">
        <v>46001</v>
      </c>
      <c r="C218" t="s">
        <v>17</v>
      </c>
      <c r="D218">
        <v>4</v>
      </c>
      <c r="E218" t="s">
        <v>20</v>
      </c>
      <c r="F218" t="s">
        <v>23</v>
      </c>
      <c r="G218">
        <v>180</v>
      </c>
      <c r="H218">
        <v>30</v>
      </c>
      <c r="I218" t="s">
        <v>14</v>
      </c>
      <c r="J218" t="str">
        <f>_xlfn.XLOOKUP(C218,'product_masterlist(ifs)'!A:A,'product_masterlist(ifs)'!C:C,"N/A",0)</f>
        <v>Frames</v>
      </c>
      <c r="K218">
        <f>VLOOKUP(C218,'product_masterlist(ifs)'!A:I,7,FALSE)</f>
        <v>45</v>
      </c>
    </row>
    <row r="219" spans="1:11" x14ac:dyDescent="0.35">
      <c r="A219" t="s">
        <v>378</v>
      </c>
      <c r="B219" t="s">
        <v>379</v>
      </c>
      <c r="C219" t="s">
        <v>42</v>
      </c>
      <c r="D219">
        <v>2</v>
      </c>
      <c r="E219" t="s">
        <v>12</v>
      </c>
      <c r="F219" t="s">
        <v>13</v>
      </c>
      <c r="G219">
        <v>50</v>
      </c>
      <c r="H219">
        <v>21</v>
      </c>
      <c r="I219" t="s">
        <v>14</v>
      </c>
      <c r="J219" t="str">
        <f>_xlfn.XLOOKUP(C219,'product_masterlist(ifs)'!A:A,'product_masterlist(ifs)'!C:C,"N/A",0)</f>
        <v>Contact Lenses</v>
      </c>
      <c r="K219">
        <f>VLOOKUP(C219,'product_masterlist(ifs)'!A:I,7,FALSE)</f>
        <v>120</v>
      </c>
    </row>
    <row r="220" spans="1:11" x14ac:dyDescent="0.35">
      <c r="A220" t="s">
        <v>380</v>
      </c>
      <c r="B220" t="s">
        <v>381</v>
      </c>
      <c r="C220" t="s">
        <v>42</v>
      </c>
      <c r="D220">
        <v>14</v>
      </c>
      <c r="E220" t="s">
        <v>22</v>
      </c>
      <c r="F220" t="s">
        <v>13</v>
      </c>
      <c r="G220">
        <v>350</v>
      </c>
      <c r="H220">
        <v>21</v>
      </c>
      <c r="I220" t="s">
        <v>14</v>
      </c>
      <c r="J220" t="str">
        <f>_xlfn.XLOOKUP(C220,'product_masterlist(ifs)'!A:A,'product_masterlist(ifs)'!C:C,"N/A",0)</f>
        <v>Contact Lenses</v>
      </c>
      <c r="K220">
        <f>VLOOKUP(C220,'product_masterlist(ifs)'!A:I,7,FALSE)</f>
        <v>120</v>
      </c>
    </row>
    <row r="221" spans="1:11" x14ac:dyDescent="0.35">
      <c r="A221" t="s">
        <v>382</v>
      </c>
      <c r="B221" t="s">
        <v>383</v>
      </c>
      <c r="C221" t="s">
        <v>33</v>
      </c>
      <c r="D221">
        <v>5</v>
      </c>
      <c r="E221" t="s">
        <v>20</v>
      </c>
      <c r="F221" t="s">
        <v>18</v>
      </c>
      <c r="G221">
        <v>750</v>
      </c>
      <c r="H221">
        <v>45</v>
      </c>
      <c r="I221" t="s">
        <v>34</v>
      </c>
      <c r="J221" t="str">
        <f>_xlfn.XLOOKUP(C221,'product_masterlist(ifs)'!A:A,'product_masterlist(ifs)'!C:C,"N/A",0)</f>
        <v>Surgical</v>
      </c>
      <c r="K221">
        <f>VLOOKUP(C221,'product_masterlist(ifs)'!A:I,7,FALSE)</f>
        <v>15</v>
      </c>
    </row>
    <row r="222" spans="1:11" x14ac:dyDescent="0.35">
      <c r="A222" t="s">
        <v>384</v>
      </c>
      <c r="B222" t="s">
        <v>296</v>
      </c>
      <c r="C222" t="s">
        <v>90</v>
      </c>
      <c r="D222">
        <v>22</v>
      </c>
      <c r="E222" t="s">
        <v>37</v>
      </c>
      <c r="F222" t="s">
        <v>18</v>
      </c>
      <c r="G222">
        <v>1067</v>
      </c>
      <c r="H222">
        <v>30</v>
      </c>
      <c r="I222" t="s">
        <v>14</v>
      </c>
      <c r="J222" t="str">
        <f>_xlfn.XLOOKUP(C222,'product_masterlist(ifs)'!A:A,'product_masterlist(ifs)'!C:C,"N/A",0)</f>
        <v>Frames</v>
      </c>
      <c r="K222">
        <f>VLOOKUP(C222,'product_masterlist(ifs)'!A:I,7,FALSE)</f>
        <v>180</v>
      </c>
    </row>
    <row r="223" spans="1:11" x14ac:dyDescent="0.35">
      <c r="A223" t="s">
        <v>385</v>
      </c>
      <c r="B223" s="1">
        <v>45719</v>
      </c>
      <c r="C223" t="s">
        <v>17</v>
      </c>
      <c r="D223">
        <v>24</v>
      </c>
      <c r="E223" t="s">
        <v>22</v>
      </c>
      <c r="F223" t="s">
        <v>13</v>
      </c>
      <c r="G223">
        <v>1080</v>
      </c>
      <c r="H223">
        <v>30</v>
      </c>
      <c r="I223" t="s">
        <v>14</v>
      </c>
      <c r="J223" t="str">
        <f>_xlfn.XLOOKUP(C223,'product_masterlist(ifs)'!A:A,'product_masterlist(ifs)'!C:C,"N/A",0)</f>
        <v>Frames</v>
      </c>
      <c r="K223">
        <f>VLOOKUP(C223,'product_masterlist(ifs)'!A:I,7,FALSE)</f>
        <v>45</v>
      </c>
    </row>
    <row r="224" spans="1:11" x14ac:dyDescent="0.35">
      <c r="A224" t="s">
        <v>386</v>
      </c>
      <c r="B224" t="s">
        <v>296</v>
      </c>
      <c r="C224" t="s">
        <v>90</v>
      </c>
      <c r="D224">
        <v>12</v>
      </c>
      <c r="E224" t="s">
        <v>20</v>
      </c>
      <c r="F224" t="s">
        <v>18</v>
      </c>
      <c r="G224">
        <v>582</v>
      </c>
      <c r="H224">
        <v>30</v>
      </c>
      <c r="I224" t="s">
        <v>14</v>
      </c>
      <c r="J224" t="str">
        <f>_xlfn.XLOOKUP(C224,'product_masterlist(ifs)'!A:A,'product_masterlist(ifs)'!C:C,"N/A",0)</f>
        <v>Frames</v>
      </c>
      <c r="K224">
        <f>VLOOKUP(C224,'product_masterlist(ifs)'!A:I,7,FALSE)</f>
        <v>180</v>
      </c>
    </row>
    <row r="225" spans="1:11" x14ac:dyDescent="0.35">
      <c r="A225" t="s">
        <v>387</v>
      </c>
      <c r="B225" s="1">
        <v>45785</v>
      </c>
      <c r="C225" t="s">
        <v>42</v>
      </c>
      <c r="D225">
        <v>2</v>
      </c>
      <c r="E225" t="s">
        <v>12</v>
      </c>
      <c r="F225" t="s">
        <v>31</v>
      </c>
      <c r="G225">
        <v>50</v>
      </c>
      <c r="H225">
        <v>21</v>
      </c>
      <c r="I225" t="s">
        <v>14</v>
      </c>
      <c r="J225" t="str">
        <f>_xlfn.XLOOKUP(C225,'product_masterlist(ifs)'!A:A,'product_masterlist(ifs)'!C:C,"N/A",0)</f>
        <v>Contact Lenses</v>
      </c>
      <c r="K225">
        <f>VLOOKUP(C225,'product_masterlist(ifs)'!A:I,7,FALSE)</f>
        <v>120</v>
      </c>
    </row>
    <row r="226" spans="1:11" x14ac:dyDescent="0.35">
      <c r="A226" t="s">
        <v>388</v>
      </c>
      <c r="B226" s="1">
        <v>45726</v>
      </c>
      <c r="C226" t="s">
        <v>26</v>
      </c>
      <c r="D226">
        <v>7</v>
      </c>
      <c r="E226" t="s">
        <v>22</v>
      </c>
      <c r="F226" t="s">
        <v>31</v>
      </c>
      <c r="G226" t="s">
        <v>27</v>
      </c>
      <c r="H226">
        <v>14</v>
      </c>
      <c r="I226" t="s">
        <v>28</v>
      </c>
      <c r="J226" t="str">
        <f>_xlfn.XLOOKUP(C226,'product_masterlist(ifs)'!A:A,'product_masterlist(ifs)'!C:C,"N/A",0)</f>
        <v>Contact Lenses</v>
      </c>
      <c r="K226">
        <f>VLOOKUP(C226,'product_masterlist(ifs)'!A:I,7,FALSE)</f>
        <v>450</v>
      </c>
    </row>
    <row r="227" spans="1:11" x14ac:dyDescent="0.35">
      <c r="A227" t="s">
        <v>389</v>
      </c>
      <c r="B227" s="1">
        <v>45901</v>
      </c>
      <c r="C227" t="s">
        <v>11</v>
      </c>
      <c r="D227">
        <v>1</v>
      </c>
      <c r="E227" t="s">
        <v>20</v>
      </c>
      <c r="F227" t="s">
        <v>18</v>
      </c>
      <c r="G227">
        <v>85</v>
      </c>
      <c r="H227">
        <v>30</v>
      </c>
      <c r="I227" t="s">
        <v>14</v>
      </c>
      <c r="J227" t="str">
        <f>_xlfn.XLOOKUP(C227,'product_masterlist(ifs)'!A:A,'product_masterlist(ifs)'!C:C,"N/A",0)</f>
        <v>Surgical</v>
      </c>
      <c r="K227">
        <f>VLOOKUP(C227,'product_masterlist(ifs)'!A:I,7,FALSE)</f>
        <v>40</v>
      </c>
    </row>
    <row r="228" spans="1:11" x14ac:dyDescent="0.35">
      <c r="A228" t="s">
        <v>390</v>
      </c>
      <c r="B228" s="1">
        <v>45938</v>
      </c>
      <c r="C228" t="s">
        <v>26</v>
      </c>
      <c r="D228">
        <v>16</v>
      </c>
      <c r="E228" t="s">
        <v>37</v>
      </c>
      <c r="F228" t="s">
        <v>13</v>
      </c>
      <c r="G228">
        <v>200</v>
      </c>
      <c r="H228">
        <v>14</v>
      </c>
      <c r="I228" t="s">
        <v>28</v>
      </c>
      <c r="J228" t="str">
        <f>_xlfn.XLOOKUP(C228,'product_masterlist(ifs)'!A:A,'product_masterlist(ifs)'!C:C,"N/A",0)</f>
        <v>Contact Lenses</v>
      </c>
      <c r="K228">
        <f>VLOOKUP(C228,'product_masterlist(ifs)'!A:I,7,FALSE)</f>
        <v>450</v>
      </c>
    </row>
    <row r="229" spans="1:11" x14ac:dyDescent="0.35">
      <c r="A229" t="s">
        <v>391</v>
      </c>
      <c r="B229" s="1">
        <v>45789</v>
      </c>
      <c r="C229" t="s">
        <v>26</v>
      </c>
      <c r="D229">
        <v>24</v>
      </c>
      <c r="E229" t="s">
        <v>12</v>
      </c>
      <c r="F229" t="s">
        <v>18</v>
      </c>
      <c r="G229">
        <v>300</v>
      </c>
      <c r="H229">
        <v>14</v>
      </c>
      <c r="I229" t="s">
        <v>28</v>
      </c>
      <c r="J229" t="str">
        <f>_xlfn.XLOOKUP(C229,'product_masterlist(ifs)'!A:A,'product_masterlist(ifs)'!C:C,"N/A",0)</f>
        <v>Contact Lenses</v>
      </c>
      <c r="K229">
        <f>VLOOKUP(C229,'product_masterlist(ifs)'!A:I,7,FALSE)</f>
        <v>450</v>
      </c>
    </row>
    <row r="230" spans="1:11" x14ac:dyDescent="0.35">
      <c r="A230" t="s">
        <v>392</v>
      </c>
      <c r="B230" t="s">
        <v>393</v>
      </c>
      <c r="C230" t="s">
        <v>11</v>
      </c>
      <c r="D230">
        <v>21</v>
      </c>
      <c r="E230" t="s">
        <v>12</v>
      </c>
      <c r="F230" t="s">
        <v>23</v>
      </c>
      <c r="G230">
        <v>1785</v>
      </c>
      <c r="H230">
        <v>30</v>
      </c>
      <c r="I230" t="s">
        <v>14</v>
      </c>
      <c r="J230" t="str">
        <f>_xlfn.XLOOKUP(C230,'product_masterlist(ifs)'!A:A,'product_masterlist(ifs)'!C:C,"N/A",0)</f>
        <v>Surgical</v>
      </c>
      <c r="K230">
        <f>VLOOKUP(C230,'product_masterlist(ifs)'!A:I,7,FALSE)</f>
        <v>40</v>
      </c>
    </row>
    <row r="231" spans="1:11" x14ac:dyDescent="0.35">
      <c r="A231" t="s">
        <v>394</v>
      </c>
      <c r="B231" t="s">
        <v>395</v>
      </c>
      <c r="C231" t="s">
        <v>90</v>
      </c>
      <c r="D231">
        <v>18</v>
      </c>
      <c r="E231" t="s">
        <v>37</v>
      </c>
      <c r="F231" t="s">
        <v>31</v>
      </c>
      <c r="G231">
        <v>873</v>
      </c>
      <c r="H231">
        <v>30</v>
      </c>
      <c r="I231" t="s">
        <v>14</v>
      </c>
      <c r="J231" t="str">
        <f>_xlfn.XLOOKUP(C231,'product_masterlist(ifs)'!A:A,'product_masterlist(ifs)'!C:C,"N/A",0)</f>
        <v>Frames</v>
      </c>
      <c r="K231">
        <f>VLOOKUP(C231,'product_masterlist(ifs)'!A:I,7,FALSE)</f>
        <v>180</v>
      </c>
    </row>
    <row r="232" spans="1:11" x14ac:dyDescent="0.35">
      <c r="A232" t="s">
        <v>396</v>
      </c>
      <c r="B232" s="1">
        <v>45911</v>
      </c>
      <c r="C232" t="s">
        <v>90</v>
      </c>
      <c r="D232">
        <v>11</v>
      </c>
      <c r="E232" t="s">
        <v>12</v>
      </c>
      <c r="F232" t="s">
        <v>23</v>
      </c>
      <c r="G232" t="s">
        <v>238</v>
      </c>
      <c r="H232">
        <v>30</v>
      </c>
      <c r="I232" t="s">
        <v>14</v>
      </c>
      <c r="J232" t="str">
        <f>_xlfn.XLOOKUP(C232,'product_masterlist(ifs)'!A:A,'product_masterlist(ifs)'!C:C,"N/A",0)</f>
        <v>Frames</v>
      </c>
      <c r="K232">
        <f>VLOOKUP(C232,'product_masterlist(ifs)'!A:I,7,FALSE)</f>
        <v>180</v>
      </c>
    </row>
    <row r="233" spans="1:11" x14ac:dyDescent="0.35">
      <c r="A233" t="s">
        <v>397</v>
      </c>
      <c r="B233" t="s">
        <v>398</v>
      </c>
      <c r="C233" t="s">
        <v>11</v>
      </c>
      <c r="D233">
        <v>3</v>
      </c>
      <c r="E233" t="s">
        <v>20</v>
      </c>
      <c r="F233" t="s">
        <v>31</v>
      </c>
      <c r="G233">
        <v>255</v>
      </c>
      <c r="H233">
        <v>30</v>
      </c>
      <c r="I233" t="s">
        <v>14</v>
      </c>
      <c r="J233" t="str">
        <f>_xlfn.XLOOKUP(C233,'product_masterlist(ifs)'!A:A,'product_masterlist(ifs)'!C:C,"N/A",0)</f>
        <v>Surgical</v>
      </c>
      <c r="K233">
        <f>VLOOKUP(C233,'product_masterlist(ifs)'!A:I,7,FALSE)</f>
        <v>40</v>
      </c>
    </row>
    <row r="234" spans="1:11" x14ac:dyDescent="0.35">
      <c r="A234" t="s">
        <v>399</v>
      </c>
      <c r="B234" t="s">
        <v>312</v>
      </c>
      <c r="C234" t="s">
        <v>33</v>
      </c>
      <c r="D234">
        <v>4</v>
      </c>
      <c r="E234" t="s">
        <v>37</v>
      </c>
      <c r="F234" t="s">
        <v>13</v>
      </c>
      <c r="G234">
        <v>600</v>
      </c>
      <c r="H234">
        <v>45</v>
      </c>
      <c r="I234" t="s">
        <v>34</v>
      </c>
      <c r="J234" t="str">
        <f>_xlfn.XLOOKUP(C234,'product_masterlist(ifs)'!A:A,'product_masterlist(ifs)'!C:C,"N/A",0)</f>
        <v>Surgical</v>
      </c>
      <c r="K234">
        <f>VLOOKUP(C234,'product_masterlist(ifs)'!A:I,7,FALSE)</f>
        <v>15</v>
      </c>
    </row>
    <row r="235" spans="1:11" x14ac:dyDescent="0.35">
      <c r="A235" t="s">
        <v>400</v>
      </c>
      <c r="B235" s="1">
        <v>45782</v>
      </c>
      <c r="C235" t="s">
        <v>17</v>
      </c>
      <c r="D235">
        <v>6</v>
      </c>
      <c r="E235" t="s">
        <v>22</v>
      </c>
      <c r="F235" t="s">
        <v>13</v>
      </c>
      <c r="G235">
        <v>270</v>
      </c>
      <c r="H235">
        <v>30</v>
      </c>
      <c r="I235" t="s">
        <v>14</v>
      </c>
      <c r="J235" t="str">
        <f>_xlfn.XLOOKUP(C235,'product_masterlist(ifs)'!A:A,'product_masterlist(ifs)'!C:C,"N/A",0)</f>
        <v>Frames</v>
      </c>
      <c r="K235">
        <f>VLOOKUP(C235,'product_masterlist(ifs)'!A:I,7,FALSE)</f>
        <v>45</v>
      </c>
    </row>
    <row r="236" spans="1:11" x14ac:dyDescent="0.35">
      <c r="A236" t="s">
        <v>401</v>
      </c>
      <c r="B236" s="1">
        <v>45691</v>
      </c>
      <c r="C236" t="s">
        <v>17</v>
      </c>
      <c r="D236">
        <v>15</v>
      </c>
      <c r="E236" t="s">
        <v>37</v>
      </c>
      <c r="F236" t="s">
        <v>18</v>
      </c>
      <c r="G236">
        <v>675</v>
      </c>
      <c r="H236">
        <v>30</v>
      </c>
      <c r="I236" t="s">
        <v>14</v>
      </c>
      <c r="J236" t="str">
        <f>_xlfn.XLOOKUP(C236,'product_masterlist(ifs)'!A:A,'product_masterlist(ifs)'!C:C,"N/A",0)</f>
        <v>Frames</v>
      </c>
      <c r="K236">
        <f>VLOOKUP(C236,'product_masterlist(ifs)'!A:I,7,FALSE)</f>
        <v>45</v>
      </c>
    </row>
    <row r="237" spans="1:11" x14ac:dyDescent="0.35">
      <c r="A237" t="s">
        <v>402</v>
      </c>
      <c r="B237" t="s">
        <v>403</v>
      </c>
      <c r="C237" t="s">
        <v>53</v>
      </c>
      <c r="D237">
        <v>20</v>
      </c>
      <c r="E237" t="s">
        <v>37</v>
      </c>
      <c r="F237" t="s">
        <v>31</v>
      </c>
      <c r="G237">
        <v>85</v>
      </c>
      <c r="H237">
        <v>7</v>
      </c>
      <c r="I237" t="s">
        <v>28</v>
      </c>
      <c r="J237" t="str">
        <f>_xlfn.XLOOKUP(C237,'product_masterlist(ifs)'!A:A,'product_masterlist(ifs)'!C:C,"N/A",0)</f>
        <v>Solutions</v>
      </c>
      <c r="K237">
        <f>VLOOKUP(C237,'product_masterlist(ifs)'!A:I,7,FALSE)</f>
        <v>800</v>
      </c>
    </row>
    <row r="238" spans="1:11" x14ac:dyDescent="0.35">
      <c r="A238" t="s">
        <v>404</v>
      </c>
      <c r="B238" t="s">
        <v>205</v>
      </c>
      <c r="C238" t="s">
        <v>90</v>
      </c>
      <c r="D238">
        <v>18</v>
      </c>
      <c r="E238" t="s">
        <v>20</v>
      </c>
      <c r="F238" t="s">
        <v>18</v>
      </c>
      <c r="G238">
        <v>873</v>
      </c>
      <c r="H238">
        <v>30</v>
      </c>
      <c r="I238" t="s">
        <v>14</v>
      </c>
      <c r="J238" t="str">
        <f>_xlfn.XLOOKUP(C238,'product_masterlist(ifs)'!A:A,'product_masterlist(ifs)'!C:C,"N/A",0)</f>
        <v>Frames</v>
      </c>
      <c r="K238">
        <f>VLOOKUP(C238,'product_masterlist(ifs)'!A:I,7,FALSE)</f>
        <v>180</v>
      </c>
    </row>
    <row r="239" spans="1:11" x14ac:dyDescent="0.35">
      <c r="A239" t="s">
        <v>405</v>
      </c>
      <c r="B239" t="s">
        <v>406</v>
      </c>
      <c r="C239" t="s">
        <v>90</v>
      </c>
      <c r="D239">
        <v>8</v>
      </c>
      <c r="E239" t="s">
        <v>20</v>
      </c>
      <c r="F239" t="s">
        <v>13</v>
      </c>
      <c r="G239">
        <v>388</v>
      </c>
      <c r="H239">
        <v>30</v>
      </c>
      <c r="I239" t="s">
        <v>14</v>
      </c>
      <c r="J239" t="str">
        <f>_xlfn.XLOOKUP(C239,'product_masterlist(ifs)'!A:A,'product_masterlist(ifs)'!C:C,"N/A",0)</f>
        <v>Frames</v>
      </c>
      <c r="K239">
        <f>VLOOKUP(C239,'product_masterlist(ifs)'!A:I,7,FALSE)</f>
        <v>180</v>
      </c>
    </row>
    <row r="240" spans="1:11" x14ac:dyDescent="0.35">
      <c r="A240" t="s">
        <v>407</v>
      </c>
      <c r="B240" t="s">
        <v>408</v>
      </c>
      <c r="C240" t="s">
        <v>53</v>
      </c>
      <c r="D240">
        <v>19</v>
      </c>
      <c r="E240" t="s">
        <v>20</v>
      </c>
      <c r="F240" t="s">
        <v>23</v>
      </c>
      <c r="G240" t="s">
        <v>54</v>
      </c>
      <c r="H240">
        <v>7</v>
      </c>
      <c r="I240" t="s">
        <v>28</v>
      </c>
      <c r="J240" t="str">
        <f>_xlfn.XLOOKUP(C240,'product_masterlist(ifs)'!A:A,'product_masterlist(ifs)'!C:C,"N/A",0)</f>
        <v>Solutions</v>
      </c>
      <c r="K240">
        <f>VLOOKUP(C240,'product_masterlist(ifs)'!A:I,7,FALSE)</f>
        <v>800</v>
      </c>
    </row>
    <row r="241" spans="1:11" x14ac:dyDescent="0.35">
      <c r="A241" t="s">
        <v>409</v>
      </c>
      <c r="B241" s="1">
        <v>45871</v>
      </c>
      <c r="C241" t="s">
        <v>33</v>
      </c>
      <c r="D241">
        <v>17</v>
      </c>
      <c r="E241" t="s">
        <v>20</v>
      </c>
      <c r="F241" t="s">
        <v>31</v>
      </c>
      <c r="G241">
        <v>2550</v>
      </c>
      <c r="H241">
        <v>45</v>
      </c>
      <c r="I241" t="s">
        <v>34</v>
      </c>
      <c r="J241" t="str">
        <f>_xlfn.XLOOKUP(C241,'product_masterlist(ifs)'!A:A,'product_masterlist(ifs)'!C:C,"N/A",0)</f>
        <v>Surgical</v>
      </c>
      <c r="K241">
        <f>VLOOKUP(C241,'product_masterlist(ifs)'!A:I,7,FALSE)</f>
        <v>15</v>
      </c>
    </row>
    <row r="242" spans="1:11" x14ac:dyDescent="0.35">
      <c r="A242" t="s">
        <v>410</v>
      </c>
      <c r="B242" s="1">
        <v>45968</v>
      </c>
      <c r="C242" t="s">
        <v>42</v>
      </c>
      <c r="D242">
        <v>18</v>
      </c>
      <c r="E242" t="s">
        <v>12</v>
      </c>
      <c r="F242" t="s">
        <v>13</v>
      </c>
      <c r="G242">
        <v>450</v>
      </c>
      <c r="H242">
        <v>21</v>
      </c>
      <c r="I242" t="s">
        <v>14</v>
      </c>
      <c r="J242" t="str">
        <f>_xlfn.XLOOKUP(C242,'product_masterlist(ifs)'!A:A,'product_masterlist(ifs)'!C:C,"N/A",0)</f>
        <v>Contact Lenses</v>
      </c>
      <c r="K242">
        <f>VLOOKUP(C242,'product_masterlist(ifs)'!A:I,7,FALSE)</f>
        <v>120</v>
      </c>
    </row>
    <row r="243" spans="1:11" x14ac:dyDescent="0.35">
      <c r="A243" t="s">
        <v>411</v>
      </c>
      <c r="B243" s="1">
        <v>45909</v>
      </c>
      <c r="C243" t="s">
        <v>26</v>
      </c>
      <c r="D243">
        <v>22</v>
      </c>
      <c r="E243" t="s">
        <v>37</v>
      </c>
      <c r="F243" t="s">
        <v>23</v>
      </c>
      <c r="G243">
        <v>275</v>
      </c>
      <c r="H243">
        <v>14</v>
      </c>
      <c r="I243" t="s">
        <v>28</v>
      </c>
      <c r="J243" t="str">
        <f>_xlfn.XLOOKUP(C243,'product_masterlist(ifs)'!A:A,'product_masterlist(ifs)'!C:C,"N/A",0)</f>
        <v>Contact Lenses</v>
      </c>
      <c r="K243">
        <f>VLOOKUP(C243,'product_masterlist(ifs)'!A:I,7,FALSE)</f>
        <v>450</v>
      </c>
    </row>
    <row r="244" spans="1:11" x14ac:dyDescent="0.35">
      <c r="A244" t="s">
        <v>412</v>
      </c>
      <c r="B244" s="1">
        <v>45692</v>
      </c>
      <c r="C244" t="s">
        <v>90</v>
      </c>
      <c r="D244">
        <v>25</v>
      </c>
      <c r="E244" t="s">
        <v>12</v>
      </c>
      <c r="F244" t="s">
        <v>13</v>
      </c>
      <c r="G244" t="s">
        <v>308</v>
      </c>
      <c r="H244">
        <v>30</v>
      </c>
      <c r="I244" t="s">
        <v>14</v>
      </c>
      <c r="J244" t="str">
        <f>_xlfn.XLOOKUP(C244,'product_masterlist(ifs)'!A:A,'product_masterlist(ifs)'!C:C,"N/A",0)</f>
        <v>Frames</v>
      </c>
      <c r="K244">
        <f>VLOOKUP(C244,'product_masterlist(ifs)'!A:I,7,FALSE)</f>
        <v>180</v>
      </c>
    </row>
    <row r="245" spans="1:11" x14ac:dyDescent="0.35">
      <c r="A245" t="s">
        <v>413</v>
      </c>
      <c r="B245" t="s">
        <v>414</v>
      </c>
      <c r="C245" t="s">
        <v>42</v>
      </c>
      <c r="D245">
        <v>17</v>
      </c>
      <c r="E245" t="s">
        <v>20</v>
      </c>
      <c r="F245" t="s">
        <v>13</v>
      </c>
      <c r="G245">
        <v>425</v>
      </c>
      <c r="H245">
        <v>21</v>
      </c>
      <c r="I245" t="s">
        <v>14</v>
      </c>
      <c r="J245" t="str">
        <f>_xlfn.XLOOKUP(C245,'product_masterlist(ifs)'!A:A,'product_masterlist(ifs)'!C:C,"N/A",0)</f>
        <v>Contact Lenses</v>
      </c>
      <c r="K245">
        <f>VLOOKUP(C245,'product_masterlist(ifs)'!A:I,7,FALSE)</f>
        <v>120</v>
      </c>
    </row>
    <row r="246" spans="1:11" x14ac:dyDescent="0.35">
      <c r="A246" t="s">
        <v>415</v>
      </c>
      <c r="B246" s="1">
        <v>45972</v>
      </c>
      <c r="C246" t="s">
        <v>26</v>
      </c>
      <c r="D246">
        <v>3</v>
      </c>
      <c r="E246" t="s">
        <v>12</v>
      </c>
      <c r="F246" t="s">
        <v>18</v>
      </c>
      <c r="G246" t="s">
        <v>40</v>
      </c>
      <c r="H246">
        <v>14</v>
      </c>
      <c r="I246" t="s">
        <v>28</v>
      </c>
      <c r="J246" t="str">
        <f>_xlfn.XLOOKUP(C246,'product_masterlist(ifs)'!A:A,'product_masterlist(ifs)'!C:C,"N/A",0)</f>
        <v>Contact Lenses</v>
      </c>
      <c r="K246">
        <f>VLOOKUP(C246,'product_masterlist(ifs)'!A:I,7,FALSE)</f>
        <v>450</v>
      </c>
    </row>
    <row r="247" spans="1:11" x14ac:dyDescent="0.35">
      <c r="A247" t="s">
        <v>416</v>
      </c>
      <c r="B247" t="s">
        <v>417</v>
      </c>
      <c r="C247" t="s">
        <v>90</v>
      </c>
      <c r="D247">
        <v>15</v>
      </c>
      <c r="E247" t="s">
        <v>22</v>
      </c>
      <c r="F247" t="s">
        <v>23</v>
      </c>
      <c r="G247" t="s">
        <v>250</v>
      </c>
      <c r="H247">
        <v>30</v>
      </c>
      <c r="I247" t="s">
        <v>14</v>
      </c>
      <c r="J247" t="str">
        <f>_xlfn.XLOOKUP(C247,'product_masterlist(ifs)'!A:A,'product_masterlist(ifs)'!C:C,"N/A",0)</f>
        <v>Frames</v>
      </c>
      <c r="K247">
        <f>VLOOKUP(C247,'product_masterlist(ifs)'!A:I,7,FALSE)</f>
        <v>180</v>
      </c>
    </row>
    <row r="248" spans="1:11" x14ac:dyDescent="0.35">
      <c r="A248" t="s">
        <v>418</v>
      </c>
      <c r="B248" t="s">
        <v>419</v>
      </c>
      <c r="C248" t="s">
        <v>11</v>
      </c>
      <c r="D248">
        <v>16</v>
      </c>
      <c r="E248" t="s">
        <v>22</v>
      </c>
      <c r="F248" t="s">
        <v>31</v>
      </c>
      <c r="G248">
        <v>1360</v>
      </c>
      <c r="H248">
        <v>30</v>
      </c>
      <c r="I248" t="s">
        <v>14</v>
      </c>
      <c r="J248" t="str">
        <f>_xlfn.XLOOKUP(C248,'product_masterlist(ifs)'!A:A,'product_masterlist(ifs)'!C:C,"N/A",0)</f>
        <v>Surgical</v>
      </c>
      <c r="K248">
        <f>VLOOKUP(C248,'product_masterlist(ifs)'!A:I,7,FALSE)</f>
        <v>40</v>
      </c>
    </row>
    <row r="249" spans="1:11" x14ac:dyDescent="0.35">
      <c r="A249" t="s">
        <v>420</v>
      </c>
      <c r="B249" s="1">
        <v>45664</v>
      </c>
      <c r="C249" t="s">
        <v>53</v>
      </c>
      <c r="D249">
        <v>22</v>
      </c>
      <c r="E249" t="s">
        <v>37</v>
      </c>
      <c r="F249" t="s">
        <v>18</v>
      </c>
      <c r="G249" t="s">
        <v>176</v>
      </c>
      <c r="H249">
        <v>7</v>
      </c>
      <c r="I249" t="s">
        <v>28</v>
      </c>
      <c r="J249" t="str">
        <f>_xlfn.XLOOKUP(C249,'product_masterlist(ifs)'!A:A,'product_masterlist(ifs)'!C:C,"N/A",0)</f>
        <v>Solutions</v>
      </c>
      <c r="K249">
        <f>VLOOKUP(C249,'product_masterlist(ifs)'!A:I,7,FALSE)</f>
        <v>800</v>
      </c>
    </row>
    <row r="250" spans="1:11" x14ac:dyDescent="0.35">
      <c r="A250" t="s">
        <v>421</v>
      </c>
      <c r="B250" t="s">
        <v>393</v>
      </c>
      <c r="C250" t="s">
        <v>42</v>
      </c>
      <c r="D250">
        <v>7</v>
      </c>
      <c r="E250" t="s">
        <v>20</v>
      </c>
      <c r="F250" t="s">
        <v>31</v>
      </c>
      <c r="G250">
        <v>175</v>
      </c>
      <c r="H250">
        <v>21</v>
      </c>
      <c r="I250" t="s">
        <v>14</v>
      </c>
      <c r="J250" t="str">
        <f>_xlfn.XLOOKUP(C250,'product_masterlist(ifs)'!A:A,'product_masterlist(ifs)'!C:C,"N/A",0)</f>
        <v>Contact Lenses</v>
      </c>
      <c r="K250">
        <f>VLOOKUP(C250,'product_masterlist(ifs)'!A:I,7,FALSE)</f>
        <v>120</v>
      </c>
    </row>
    <row r="251" spans="1:11" x14ac:dyDescent="0.35">
      <c r="A251" t="s">
        <v>422</v>
      </c>
      <c r="B251" s="1">
        <v>45934</v>
      </c>
      <c r="C251" t="s">
        <v>53</v>
      </c>
      <c r="D251">
        <v>3</v>
      </c>
      <c r="E251" t="s">
        <v>20</v>
      </c>
      <c r="F251" t="s">
        <v>13</v>
      </c>
      <c r="G251" t="s">
        <v>278</v>
      </c>
      <c r="H251">
        <v>7</v>
      </c>
      <c r="I251" t="s">
        <v>28</v>
      </c>
      <c r="J251" t="str">
        <f>_xlfn.XLOOKUP(C251,'product_masterlist(ifs)'!A:A,'product_masterlist(ifs)'!C:C,"N/A",0)</f>
        <v>Solutions</v>
      </c>
      <c r="K251">
        <f>VLOOKUP(C251,'product_masterlist(ifs)'!A:I,7,FALSE)</f>
        <v>800</v>
      </c>
    </row>
    <row r="252" spans="1:11" x14ac:dyDescent="0.35">
      <c r="A252" t="s">
        <v>423</v>
      </c>
      <c r="B252" s="1">
        <v>45717</v>
      </c>
      <c r="C252" t="s">
        <v>90</v>
      </c>
      <c r="D252">
        <v>6</v>
      </c>
      <c r="E252" t="s">
        <v>20</v>
      </c>
      <c r="F252" t="s">
        <v>31</v>
      </c>
      <c r="G252">
        <v>291</v>
      </c>
      <c r="H252">
        <v>30</v>
      </c>
      <c r="I252" t="s">
        <v>14</v>
      </c>
      <c r="J252" t="str">
        <f>_xlfn.XLOOKUP(C252,'product_masterlist(ifs)'!A:A,'product_masterlist(ifs)'!C:C,"N/A",0)</f>
        <v>Frames</v>
      </c>
      <c r="K252">
        <f>VLOOKUP(C252,'product_masterlist(ifs)'!A:I,7,FALSE)</f>
        <v>180</v>
      </c>
    </row>
    <row r="253" spans="1:11" x14ac:dyDescent="0.35">
      <c r="A253" t="s">
        <v>424</v>
      </c>
      <c r="B253" s="1">
        <v>45871</v>
      </c>
      <c r="C253" t="s">
        <v>53</v>
      </c>
      <c r="D253">
        <v>10</v>
      </c>
      <c r="E253" t="s">
        <v>20</v>
      </c>
      <c r="F253" t="s">
        <v>31</v>
      </c>
      <c r="G253" t="s">
        <v>95</v>
      </c>
      <c r="H253">
        <v>7</v>
      </c>
      <c r="I253" t="s">
        <v>28</v>
      </c>
      <c r="J253" t="str">
        <f>_xlfn.XLOOKUP(C253,'product_masterlist(ifs)'!A:A,'product_masterlist(ifs)'!C:C,"N/A",0)</f>
        <v>Solutions</v>
      </c>
      <c r="K253">
        <f>VLOOKUP(C253,'product_masterlist(ifs)'!A:I,7,FALSE)</f>
        <v>800</v>
      </c>
    </row>
    <row r="254" spans="1:11" x14ac:dyDescent="0.35">
      <c r="A254" t="s">
        <v>425</v>
      </c>
      <c r="B254" s="1">
        <v>45996</v>
      </c>
      <c r="C254" t="s">
        <v>11</v>
      </c>
      <c r="D254">
        <v>2</v>
      </c>
      <c r="E254" t="s">
        <v>22</v>
      </c>
      <c r="F254" t="s">
        <v>18</v>
      </c>
      <c r="G254">
        <v>170</v>
      </c>
      <c r="H254">
        <v>30</v>
      </c>
      <c r="I254" t="s">
        <v>14</v>
      </c>
      <c r="J254" t="str">
        <f>_xlfn.XLOOKUP(C254,'product_masterlist(ifs)'!A:A,'product_masterlist(ifs)'!C:C,"N/A",0)</f>
        <v>Surgical</v>
      </c>
      <c r="K254">
        <f>VLOOKUP(C254,'product_masterlist(ifs)'!A:I,7,FALSE)</f>
        <v>40</v>
      </c>
    </row>
    <row r="255" spans="1:11" x14ac:dyDescent="0.35">
      <c r="A255" t="s">
        <v>426</v>
      </c>
      <c r="B255" s="1">
        <v>45965</v>
      </c>
      <c r="C255" t="s">
        <v>17</v>
      </c>
      <c r="D255">
        <v>10</v>
      </c>
      <c r="E255" t="s">
        <v>37</v>
      </c>
      <c r="F255" t="s">
        <v>23</v>
      </c>
      <c r="G255">
        <v>450</v>
      </c>
      <c r="H255">
        <v>30</v>
      </c>
      <c r="I255" t="s">
        <v>14</v>
      </c>
      <c r="J255" t="str">
        <f>_xlfn.XLOOKUP(C255,'product_masterlist(ifs)'!A:A,'product_masterlist(ifs)'!C:C,"N/A",0)</f>
        <v>Frames</v>
      </c>
      <c r="K255">
        <f>VLOOKUP(C255,'product_masterlist(ifs)'!A:I,7,FALSE)</f>
        <v>45</v>
      </c>
    </row>
    <row r="256" spans="1:11" x14ac:dyDescent="0.35">
      <c r="A256" t="s">
        <v>427</v>
      </c>
      <c r="B256" s="1">
        <v>45666</v>
      </c>
      <c r="C256" t="s">
        <v>17</v>
      </c>
      <c r="D256">
        <v>6</v>
      </c>
      <c r="E256" t="s">
        <v>20</v>
      </c>
      <c r="F256" t="s">
        <v>13</v>
      </c>
      <c r="G256">
        <v>270</v>
      </c>
      <c r="H256">
        <v>30</v>
      </c>
      <c r="I256" t="s">
        <v>14</v>
      </c>
      <c r="J256" t="str">
        <f>_xlfn.XLOOKUP(C256,'product_masterlist(ifs)'!A:A,'product_masterlist(ifs)'!C:C,"N/A",0)</f>
        <v>Frames</v>
      </c>
      <c r="K256">
        <f>VLOOKUP(C256,'product_masterlist(ifs)'!A:I,7,FALSE)</f>
        <v>45</v>
      </c>
    </row>
    <row r="257" spans="1:11" x14ac:dyDescent="0.35">
      <c r="A257" t="s">
        <v>428</v>
      </c>
      <c r="B257" s="1">
        <v>45999</v>
      </c>
      <c r="C257" t="s">
        <v>17</v>
      </c>
      <c r="D257">
        <v>21</v>
      </c>
      <c r="E257" t="s">
        <v>37</v>
      </c>
      <c r="F257" t="s">
        <v>18</v>
      </c>
      <c r="G257">
        <v>945</v>
      </c>
      <c r="H257">
        <v>30</v>
      </c>
      <c r="I257" t="s">
        <v>14</v>
      </c>
      <c r="J257" t="str">
        <f>_xlfn.XLOOKUP(C257,'product_masterlist(ifs)'!A:A,'product_masterlist(ifs)'!C:C,"N/A",0)</f>
        <v>Frames</v>
      </c>
      <c r="K257">
        <f>VLOOKUP(C257,'product_masterlist(ifs)'!A:I,7,FALSE)</f>
        <v>45</v>
      </c>
    </row>
    <row r="258" spans="1:11" x14ac:dyDescent="0.35">
      <c r="A258" t="s">
        <v>429</v>
      </c>
      <c r="B258" t="s">
        <v>430</v>
      </c>
      <c r="C258" t="s">
        <v>33</v>
      </c>
      <c r="D258">
        <v>3</v>
      </c>
      <c r="E258" t="s">
        <v>37</v>
      </c>
      <c r="F258" t="s">
        <v>31</v>
      </c>
      <c r="G258">
        <v>450</v>
      </c>
      <c r="H258">
        <v>45</v>
      </c>
      <c r="I258" t="s">
        <v>34</v>
      </c>
      <c r="J258" t="str">
        <f>_xlfn.XLOOKUP(C258,'product_masterlist(ifs)'!A:A,'product_masterlist(ifs)'!C:C,"N/A",0)</f>
        <v>Surgical</v>
      </c>
      <c r="K258">
        <f>VLOOKUP(C258,'product_masterlist(ifs)'!A:I,7,FALSE)</f>
        <v>15</v>
      </c>
    </row>
    <row r="259" spans="1:11" x14ac:dyDescent="0.35">
      <c r="A259" t="s">
        <v>431</v>
      </c>
      <c r="B259" t="s">
        <v>129</v>
      </c>
      <c r="C259" t="s">
        <v>33</v>
      </c>
      <c r="D259">
        <v>13</v>
      </c>
      <c r="E259" t="s">
        <v>22</v>
      </c>
      <c r="F259" t="s">
        <v>18</v>
      </c>
      <c r="G259">
        <v>1950</v>
      </c>
      <c r="H259">
        <v>45</v>
      </c>
      <c r="I259" t="s">
        <v>34</v>
      </c>
      <c r="J259" t="str">
        <f>_xlfn.XLOOKUP(C259,'product_masterlist(ifs)'!A:A,'product_masterlist(ifs)'!C:C,"N/A",0)</f>
        <v>Surgical</v>
      </c>
      <c r="K259">
        <f>VLOOKUP(C259,'product_masterlist(ifs)'!A:I,7,FALSE)</f>
        <v>15</v>
      </c>
    </row>
    <row r="260" spans="1:11" x14ac:dyDescent="0.35">
      <c r="A260" t="s">
        <v>432</v>
      </c>
      <c r="B260" s="1">
        <v>45697</v>
      </c>
      <c r="C260" t="s">
        <v>42</v>
      </c>
      <c r="D260">
        <v>25</v>
      </c>
      <c r="E260" t="s">
        <v>12</v>
      </c>
      <c r="F260" t="s">
        <v>13</v>
      </c>
      <c r="G260">
        <v>625</v>
      </c>
      <c r="H260">
        <v>21</v>
      </c>
      <c r="I260" t="s">
        <v>14</v>
      </c>
      <c r="J260" t="str">
        <f>_xlfn.XLOOKUP(C260,'product_masterlist(ifs)'!A:A,'product_masterlist(ifs)'!C:C,"N/A",0)</f>
        <v>Contact Lenses</v>
      </c>
      <c r="K260">
        <f>VLOOKUP(C260,'product_masterlist(ifs)'!A:I,7,FALSE)</f>
        <v>120</v>
      </c>
    </row>
    <row r="261" spans="1:11" x14ac:dyDescent="0.35">
      <c r="A261" t="s">
        <v>433</v>
      </c>
      <c r="B261" t="s">
        <v>393</v>
      </c>
      <c r="C261" t="s">
        <v>42</v>
      </c>
      <c r="D261">
        <v>4</v>
      </c>
      <c r="E261" t="s">
        <v>12</v>
      </c>
      <c r="F261" t="s">
        <v>13</v>
      </c>
      <c r="G261">
        <v>100</v>
      </c>
      <c r="H261">
        <v>21</v>
      </c>
      <c r="I261" t="s">
        <v>14</v>
      </c>
      <c r="J261" t="str">
        <f>_xlfn.XLOOKUP(C261,'product_masterlist(ifs)'!A:A,'product_masterlist(ifs)'!C:C,"N/A",0)</f>
        <v>Contact Lenses</v>
      </c>
      <c r="K261">
        <f>VLOOKUP(C261,'product_masterlist(ifs)'!A:I,7,FALSE)</f>
        <v>120</v>
      </c>
    </row>
    <row r="262" spans="1:11" x14ac:dyDescent="0.35">
      <c r="A262" t="s">
        <v>434</v>
      </c>
      <c r="B262" s="1">
        <v>45964</v>
      </c>
      <c r="C262" t="s">
        <v>26</v>
      </c>
      <c r="D262">
        <v>14</v>
      </c>
      <c r="E262" t="s">
        <v>37</v>
      </c>
      <c r="F262" t="s">
        <v>18</v>
      </c>
      <c r="G262">
        <v>175</v>
      </c>
      <c r="H262">
        <v>14</v>
      </c>
      <c r="I262" t="s">
        <v>28</v>
      </c>
      <c r="J262" t="str">
        <f>_xlfn.XLOOKUP(C262,'product_masterlist(ifs)'!A:A,'product_masterlist(ifs)'!C:C,"N/A",0)</f>
        <v>Contact Lenses</v>
      </c>
      <c r="K262">
        <f>VLOOKUP(C262,'product_masterlist(ifs)'!A:I,7,FALSE)</f>
        <v>450</v>
      </c>
    </row>
    <row r="263" spans="1:11" x14ac:dyDescent="0.35">
      <c r="A263" t="s">
        <v>435</v>
      </c>
      <c r="B263" t="s">
        <v>436</v>
      </c>
      <c r="C263" t="s">
        <v>26</v>
      </c>
      <c r="D263">
        <v>13</v>
      </c>
      <c r="E263" t="s">
        <v>37</v>
      </c>
      <c r="F263" t="s">
        <v>23</v>
      </c>
      <c r="G263" t="s">
        <v>437</v>
      </c>
      <c r="H263">
        <v>14</v>
      </c>
      <c r="I263" t="s">
        <v>28</v>
      </c>
      <c r="J263" t="str">
        <f>_xlfn.XLOOKUP(C263,'product_masterlist(ifs)'!A:A,'product_masterlist(ifs)'!C:C,"N/A",0)</f>
        <v>Contact Lenses</v>
      </c>
      <c r="K263">
        <f>VLOOKUP(C263,'product_masterlist(ifs)'!A:I,7,FALSE)</f>
        <v>450</v>
      </c>
    </row>
    <row r="264" spans="1:11" x14ac:dyDescent="0.35">
      <c r="A264" t="s">
        <v>438</v>
      </c>
      <c r="B264" t="s">
        <v>439</v>
      </c>
      <c r="C264" t="s">
        <v>17</v>
      </c>
      <c r="D264">
        <v>25</v>
      </c>
      <c r="E264" t="s">
        <v>22</v>
      </c>
      <c r="F264" t="s">
        <v>23</v>
      </c>
      <c r="G264">
        <v>1125</v>
      </c>
      <c r="H264">
        <v>30</v>
      </c>
      <c r="I264" t="s">
        <v>14</v>
      </c>
      <c r="J264" t="str">
        <f>_xlfn.XLOOKUP(C264,'product_masterlist(ifs)'!A:A,'product_masterlist(ifs)'!C:C,"N/A",0)</f>
        <v>Frames</v>
      </c>
      <c r="K264">
        <f>VLOOKUP(C264,'product_masterlist(ifs)'!A:I,7,FALSE)</f>
        <v>45</v>
      </c>
    </row>
    <row r="265" spans="1:11" x14ac:dyDescent="0.35">
      <c r="A265" t="s">
        <v>440</v>
      </c>
      <c r="B265" s="1">
        <v>45934</v>
      </c>
      <c r="C265" t="s">
        <v>90</v>
      </c>
      <c r="D265">
        <v>18</v>
      </c>
      <c r="E265" t="s">
        <v>37</v>
      </c>
      <c r="F265" t="s">
        <v>13</v>
      </c>
      <c r="G265">
        <v>873</v>
      </c>
      <c r="H265">
        <v>30</v>
      </c>
      <c r="I265" t="s">
        <v>14</v>
      </c>
      <c r="J265" t="str">
        <f>_xlfn.XLOOKUP(C265,'product_masterlist(ifs)'!A:A,'product_masterlist(ifs)'!C:C,"N/A",0)</f>
        <v>Frames</v>
      </c>
      <c r="K265">
        <f>VLOOKUP(C265,'product_masterlist(ifs)'!A:I,7,FALSE)</f>
        <v>180</v>
      </c>
    </row>
    <row r="266" spans="1:11" x14ac:dyDescent="0.35">
      <c r="A266" t="s">
        <v>441</v>
      </c>
      <c r="B266" t="s">
        <v>97</v>
      </c>
      <c r="C266" t="s">
        <v>17</v>
      </c>
      <c r="D266">
        <v>7</v>
      </c>
      <c r="E266" t="s">
        <v>12</v>
      </c>
      <c r="F266" t="s">
        <v>18</v>
      </c>
      <c r="G266">
        <v>315</v>
      </c>
      <c r="H266">
        <v>30</v>
      </c>
      <c r="I266" t="s">
        <v>14</v>
      </c>
      <c r="J266" t="str">
        <f>_xlfn.XLOOKUP(C266,'product_masterlist(ifs)'!A:A,'product_masterlist(ifs)'!C:C,"N/A",0)</f>
        <v>Frames</v>
      </c>
      <c r="K266">
        <f>VLOOKUP(C266,'product_masterlist(ifs)'!A:I,7,FALSE)</f>
        <v>45</v>
      </c>
    </row>
    <row r="267" spans="1:11" x14ac:dyDescent="0.35">
      <c r="A267" t="s">
        <v>442</v>
      </c>
      <c r="B267" t="s">
        <v>224</v>
      </c>
      <c r="C267" t="s">
        <v>33</v>
      </c>
      <c r="D267">
        <v>14</v>
      </c>
      <c r="E267" t="s">
        <v>20</v>
      </c>
      <c r="F267" t="s">
        <v>18</v>
      </c>
      <c r="G267">
        <v>2100</v>
      </c>
      <c r="H267">
        <v>45</v>
      </c>
      <c r="I267" t="s">
        <v>34</v>
      </c>
      <c r="J267" t="str">
        <f>_xlfn.XLOOKUP(C267,'product_masterlist(ifs)'!A:A,'product_masterlist(ifs)'!C:C,"N/A",0)</f>
        <v>Surgical</v>
      </c>
      <c r="K267">
        <f>VLOOKUP(C267,'product_masterlist(ifs)'!A:I,7,FALSE)</f>
        <v>15</v>
      </c>
    </row>
    <row r="268" spans="1:11" x14ac:dyDescent="0.35">
      <c r="A268" t="s">
        <v>443</v>
      </c>
      <c r="B268" t="s">
        <v>444</v>
      </c>
      <c r="C268" t="s">
        <v>90</v>
      </c>
      <c r="D268">
        <v>17</v>
      </c>
      <c r="E268" t="s">
        <v>20</v>
      </c>
      <c r="F268" t="s">
        <v>18</v>
      </c>
      <c r="G268" t="s">
        <v>362</v>
      </c>
      <c r="H268">
        <v>30</v>
      </c>
      <c r="I268" t="s">
        <v>14</v>
      </c>
      <c r="J268" t="str">
        <f>_xlfn.XLOOKUP(C268,'product_masterlist(ifs)'!A:A,'product_masterlist(ifs)'!C:C,"N/A",0)</f>
        <v>Frames</v>
      </c>
      <c r="K268">
        <f>VLOOKUP(C268,'product_masterlist(ifs)'!A:I,7,FALSE)</f>
        <v>180</v>
      </c>
    </row>
    <row r="269" spans="1:11" x14ac:dyDescent="0.35">
      <c r="A269" t="s">
        <v>445</v>
      </c>
      <c r="B269" t="s">
        <v>446</v>
      </c>
      <c r="C269" t="s">
        <v>42</v>
      </c>
      <c r="D269">
        <v>7</v>
      </c>
      <c r="E269" t="s">
        <v>37</v>
      </c>
      <c r="F269" t="s">
        <v>18</v>
      </c>
      <c r="G269">
        <v>175</v>
      </c>
      <c r="H269">
        <v>21</v>
      </c>
      <c r="I269" t="s">
        <v>14</v>
      </c>
      <c r="J269" t="str">
        <f>_xlfn.XLOOKUP(C269,'product_masterlist(ifs)'!A:A,'product_masterlist(ifs)'!C:C,"N/A",0)</f>
        <v>Contact Lenses</v>
      </c>
      <c r="K269">
        <f>VLOOKUP(C269,'product_masterlist(ifs)'!A:I,7,FALSE)</f>
        <v>120</v>
      </c>
    </row>
    <row r="270" spans="1:11" x14ac:dyDescent="0.35">
      <c r="A270" t="s">
        <v>447</v>
      </c>
      <c r="B270" t="s">
        <v>448</v>
      </c>
      <c r="C270" t="s">
        <v>11</v>
      </c>
      <c r="D270">
        <v>25</v>
      </c>
      <c r="E270" t="s">
        <v>37</v>
      </c>
      <c r="F270" t="s">
        <v>18</v>
      </c>
      <c r="G270">
        <v>2125</v>
      </c>
      <c r="H270">
        <v>30</v>
      </c>
      <c r="I270" t="s">
        <v>14</v>
      </c>
      <c r="J270" t="str">
        <f>_xlfn.XLOOKUP(C270,'product_masterlist(ifs)'!A:A,'product_masterlist(ifs)'!C:C,"N/A",0)</f>
        <v>Surgical</v>
      </c>
      <c r="K270">
        <f>VLOOKUP(C270,'product_masterlist(ifs)'!A:I,7,FALSE)</f>
        <v>40</v>
      </c>
    </row>
    <row r="271" spans="1:11" x14ac:dyDescent="0.35">
      <c r="A271" t="s">
        <v>449</v>
      </c>
      <c r="B271" s="1">
        <v>45966</v>
      </c>
      <c r="C271" t="s">
        <v>90</v>
      </c>
      <c r="D271">
        <v>10</v>
      </c>
      <c r="E271" t="s">
        <v>22</v>
      </c>
      <c r="F271" t="s">
        <v>31</v>
      </c>
      <c r="G271">
        <v>485</v>
      </c>
      <c r="H271">
        <v>30</v>
      </c>
      <c r="I271" t="s">
        <v>14</v>
      </c>
      <c r="J271" t="str">
        <f>_xlfn.XLOOKUP(C271,'product_masterlist(ifs)'!A:A,'product_masterlist(ifs)'!C:C,"N/A",0)</f>
        <v>Frames</v>
      </c>
      <c r="K271">
        <f>VLOOKUP(C271,'product_masterlist(ifs)'!A:I,7,FALSE)</f>
        <v>180</v>
      </c>
    </row>
    <row r="272" spans="1:11" x14ac:dyDescent="0.35">
      <c r="A272" t="s">
        <v>450</v>
      </c>
      <c r="B272" t="s">
        <v>451</v>
      </c>
      <c r="C272" t="s">
        <v>90</v>
      </c>
      <c r="D272">
        <v>16</v>
      </c>
      <c r="E272" t="s">
        <v>20</v>
      </c>
      <c r="F272" t="s">
        <v>31</v>
      </c>
      <c r="G272">
        <v>776</v>
      </c>
      <c r="H272">
        <v>30</v>
      </c>
      <c r="I272" t="s">
        <v>14</v>
      </c>
      <c r="J272" t="str">
        <f>_xlfn.XLOOKUP(C272,'product_masterlist(ifs)'!A:A,'product_masterlist(ifs)'!C:C,"N/A",0)</f>
        <v>Frames</v>
      </c>
      <c r="K272">
        <f>VLOOKUP(C272,'product_masterlist(ifs)'!A:I,7,FALSE)</f>
        <v>180</v>
      </c>
    </row>
    <row r="273" spans="1:11" x14ac:dyDescent="0.35">
      <c r="A273" t="s">
        <v>452</v>
      </c>
      <c r="B273" s="1">
        <v>45815</v>
      </c>
      <c r="C273" t="s">
        <v>26</v>
      </c>
      <c r="D273">
        <v>18</v>
      </c>
      <c r="E273" t="s">
        <v>22</v>
      </c>
      <c r="F273" t="s">
        <v>13</v>
      </c>
      <c r="G273">
        <v>225</v>
      </c>
      <c r="H273">
        <v>14</v>
      </c>
      <c r="I273" t="s">
        <v>28</v>
      </c>
      <c r="J273" t="str">
        <f>_xlfn.XLOOKUP(C273,'product_masterlist(ifs)'!A:A,'product_masterlist(ifs)'!C:C,"N/A",0)</f>
        <v>Contact Lenses</v>
      </c>
      <c r="K273">
        <f>VLOOKUP(C273,'product_masterlist(ifs)'!A:I,7,FALSE)</f>
        <v>450</v>
      </c>
    </row>
    <row r="274" spans="1:11" x14ac:dyDescent="0.35">
      <c r="A274" t="s">
        <v>453</v>
      </c>
      <c r="B274" t="s">
        <v>242</v>
      </c>
      <c r="C274" t="s">
        <v>26</v>
      </c>
      <c r="D274">
        <v>6</v>
      </c>
      <c r="E274" t="s">
        <v>12</v>
      </c>
      <c r="F274" t="s">
        <v>18</v>
      </c>
      <c r="G274">
        <v>75</v>
      </c>
      <c r="H274">
        <v>14</v>
      </c>
      <c r="I274" t="s">
        <v>28</v>
      </c>
      <c r="J274" t="str">
        <f>_xlfn.XLOOKUP(C274,'product_masterlist(ifs)'!A:A,'product_masterlist(ifs)'!C:C,"N/A",0)</f>
        <v>Contact Lenses</v>
      </c>
      <c r="K274">
        <f>VLOOKUP(C274,'product_masterlist(ifs)'!A:I,7,FALSE)</f>
        <v>450</v>
      </c>
    </row>
    <row r="275" spans="1:11" x14ac:dyDescent="0.35">
      <c r="A275" t="s">
        <v>454</v>
      </c>
      <c r="B275" s="1">
        <v>45695</v>
      </c>
      <c r="C275" t="s">
        <v>17</v>
      </c>
      <c r="D275">
        <v>4</v>
      </c>
      <c r="E275" t="s">
        <v>22</v>
      </c>
      <c r="F275" t="s">
        <v>18</v>
      </c>
      <c r="G275">
        <v>180</v>
      </c>
      <c r="H275">
        <v>30</v>
      </c>
      <c r="I275" t="s">
        <v>14</v>
      </c>
      <c r="J275" t="str">
        <f>_xlfn.XLOOKUP(C275,'product_masterlist(ifs)'!A:A,'product_masterlist(ifs)'!C:C,"N/A",0)</f>
        <v>Frames</v>
      </c>
      <c r="K275">
        <f>VLOOKUP(C275,'product_masterlist(ifs)'!A:I,7,FALSE)</f>
        <v>45</v>
      </c>
    </row>
    <row r="276" spans="1:11" x14ac:dyDescent="0.35">
      <c r="A276" t="s">
        <v>455</v>
      </c>
      <c r="B276" s="1">
        <v>45973</v>
      </c>
      <c r="C276" t="s">
        <v>26</v>
      </c>
      <c r="D276">
        <v>14</v>
      </c>
      <c r="E276" t="s">
        <v>37</v>
      </c>
      <c r="F276" t="s">
        <v>31</v>
      </c>
      <c r="G276">
        <v>175</v>
      </c>
      <c r="H276">
        <v>14</v>
      </c>
      <c r="I276" t="s">
        <v>28</v>
      </c>
      <c r="J276" t="str">
        <f>_xlfn.XLOOKUP(C276,'product_masterlist(ifs)'!A:A,'product_masterlist(ifs)'!C:C,"N/A",0)</f>
        <v>Contact Lenses</v>
      </c>
      <c r="K276">
        <f>VLOOKUP(C276,'product_masterlist(ifs)'!A:I,7,FALSE)</f>
        <v>450</v>
      </c>
    </row>
    <row r="277" spans="1:11" x14ac:dyDescent="0.35">
      <c r="A277" t="s">
        <v>456</v>
      </c>
      <c r="B277" t="s">
        <v>457</v>
      </c>
      <c r="C277" t="s">
        <v>11</v>
      </c>
      <c r="D277">
        <v>1</v>
      </c>
      <c r="E277" t="s">
        <v>37</v>
      </c>
      <c r="F277" t="s">
        <v>13</v>
      </c>
      <c r="G277">
        <v>85</v>
      </c>
      <c r="H277">
        <v>30</v>
      </c>
      <c r="I277" t="s">
        <v>14</v>
      </c>
      <c r="J277" t="str">
        <f>_xlfn.XLOOKUP(C277,'product_masterlist(ifs)'!A:A,'product_masterlist(ifs)'!C:C,"N/A",0)</f>
        <v>Surgical</v>
      </c>
      <c r="K277">
        <f>VLOOKUP(C277,'product_masterlist(ifs)'!A:I,7,FALSE)</f>
        <v>40</v>
      </c>
    </row>
    <row r="278" spans="1:11" x14ac:dyDescent="0.35">
      <c r="A278" t="s">
        <v>458</v>
      </c>
      <c r="B278" t="s">
        <v>217</v>
      </c>
      <c r="C278" t="s">
        <v>42</v>
      </c>
      <c r="D278">
        <v>2</v>
      </c>
      <c r="E278" t="s">
        <v>22</v>
      </c>
      <c r="F278" t="s">
        <v>13</v>
      </c>
      <c r="G278">
        <v>50</v>
      </c>
      <c r="H278">
        <v>21</v>
      </c>
      <c r="I278" t="s">
        <v>14</v>
      </c>
      <c r="J278" t="str">
        <f>_xlfn.XLOOKUP(C278,'product_masterlist(ifs)'!A:A,'product_masterlist(ifs)'!C:C,"N/A",0)</f>
        <v>Contact Lenses</v>
      </c>
      <c r="K278">
        <f>VLOOKUP(C278,'product_masterlist(ifs)'!A:I,7,FALSE)</f>
        <v>120</v>
      </c>
    </row>
    <row r="279" spans="1:11" x14ac:dyDescent="0.35">
      <c r="A279" t="s">
        <v>459</v>
      </c>
      <c r="B279" t="s">
        <v>460</v>
      </c>
      <c r="C279" t="s">
        <v>42</v>
      </c>
      <c r="D279">
        <v>6</v>
      </c>
      <c r="E279" t="s">
        <v>37</v>
      </c>
      <c r="F279" t="s">
        <v>31</v>
      </c>
      <c r="G279">
        <v>150</v>
      </c>
      <c r="H279">
        <v>21</v>
      </c>
      <c r="I279" t="s">
        <v>14</v>
      </c>
      <c r="J279" t="str">
        <f>_xlfn.XLOOKUP(C279,'product_masterlist(ifs)'!A:A,'product_masterlist(ifs)'!C:C,"N/A",0)</f>
        <v>Contact Lenses</v>
      </c>
      <c r="K279">
        <f>VLOOKUP(C279,'product_masterlist(ifs)'!A:I,7,FALSE)</f>
        <v>120</v>
      </c>
    </row>
    <row r="280" spans="1:11" x14ac:dyDescent="0.35">
      <c r="A280" t="s">
        <v>461</v>
      </c>
      <c r="B280" t="s">
        <v>462</v>
      </c>
      <c r="C280" t="s">
        <v>42</v>
      </c>
      <c r="D280">
        <v>15</v>
      </c>
      <c r="E280" t="s">
        <v>37</v>
      </c>
      <c r="F280" t="s">
        <v>31</v>
      </c>
      <c r="G280">
        <v>375</v>
      </c>
      <c r="H280">
        <v>21</v>
      </c>
      <c r="I280" t="s">
        <v>14</v>
      </c>
      <c r="J280" t="str">
        <f>_xlfn.XLOOKUP(C280,'product_masterlist(ifs)'!A:A,'product_masterlist(ifs)'!C:C,"N/A",0)</f>
        <v>Contact Lenses</v>
      </c>
      <c r="K280">
        <f>VLOOKUP(C280,'product_masterlist(ifs)'!A:I,7,FALSE)</f>
        <v>120</v>
      </c>
    </row>
    <row r="281" spans="1:11" x14ac:dyDescent="0.35">
      <c r="A281" t="s">
        <v>463</v>
      </c>
      <c r="B281" t="s">
        <v>87</v>
      </c>
      <c r="C281" t="s">
        <v>90</v>
      </c>
      <c r="D281">
        <v>6</v>
      </c>
      <c r="E281" t="s">
        <v>37</v>
      </c>
      <c r="F281" t="s">
        <v>31</v>
      </c>
      <c r="G281">
        <v>291</v>
      </c>
      <c r="H281">
        <v>30</v>
      </c>
      <c r="I281" t="s">
        <v>14</v>
      </c>
      <c r="J281" t="str">
        <f>_xlfn.XLOOKUP(C281,'product_masterlist(ifs)'!A:A,'product_masterlist(ifs)'!C:C,"N/A",0)</f>
        <v>Frames</v>
      </c>
      <c r="K281">
        <f>VLOOKUP(C281,'product_masterlist(ifs)'!A:I,7,FALSE)</f>
        <v>180</v>
      </c>
    </row>
    <row r="282" spans="1:11" x14ac:dyDescent="0.35">
      <c r="A282" t="s">
        <v>464</v>
      </c>
      <c r="B282" s="1">
        <v>45964</v>
      </c>
      <c r="C282" t="s">
        <v>53</v>
      </c>
      <c r="D282">
        <v>25</v>
      </c>
      <c r="E282" t="s">
        <v>37</v>
      </c>
      <c r="F282" t="s">
        <v>18</v>
      </c>
      <c r="G282" t="s">
        <v>304</v>
      </c>
      <c r="H282">
        <v>7</v>
      </c>
      <c r="I282" t="s">
        <v>28</v>
      </c>
      <c r="J282" t="str">
        <f>_xlfn.XLOOKUP(C282,'product_masterlist(ifs)'!A:A,'product_masterlist(ifs)'!C:C,"N/A",0)</f>
        <v>Solutions</v>
      </c>
      <c r="K282">
        <f>VLOOKUP(C282,'product_masterlist(ifs)'!A:I,7,FALSE)</f>
        <v>800</v>
      </c>
    </row>
    <row r="283" spans="1:11" x14ac:dyDescent="0.35">
      <c r="A283" t="s">
        <v>465</v>
      </c>
      <c r="B283" s="1">
        <v>45689</v>
      </c>
      <c r="C283" t="s">
        <v>42</v>
      </c>
      <c r="D283">
        <v>17</v>
      </c>
      <c r="E283" t="s">
        <v>20</v>
      </c>
      <c r="F283" t="s">
        <v>13</v>
      </c>
      <c r="G283">
        <v>425</v>
      </c>
      <c r="H283">
        <v>21</v>
      </c>
      <c r="I283" t="s">
        <v>14</v>
      </c>
      <c r="J283" t="str">
        <f>_xlfn.XLOOKUP(C283,'product_masterlist(ifs)'!A:A,'product_masterlist(ifs)'!C:C,"N/A",0)</f>
        <v>Contact Lenses</v>
      </c>
      <c r="K283">
        <f>VLOOKUP(C283,'product_masterlist(ifs)'!A:I,7,FALSE)</f>
        <v>120</v>
      </c>
    </row>
    <row r="284" spans="1:11" x14ac:dyDescent="0.35">
      <c r="A284" t="s">
        <v>466</v>
      </c>
      <c r="B284" s="1">
        <v>45778</v>
      </c>
      <c r="C284" t="s">
        <v>90</v>
      </c>
      <c r="D284">
        <v>25</v>
      </c>
      <c r="E284" t="s">
        <v>37</v>
      </c>
      <c r="F284" t="s">
        <v>13</v>
      </c>
      <c r="G284" t="s">
        <v>308</v>
      </c>
      <c r="H284">
        <v>30</v>
      </c>
      <c r="I284" t="s">
        <v>14</v>
      </c>
      <c r="J284" t="str">
        <f>_xlfn.XLOOKUP(C284,'product_masterlist(ifs)'!A:A,'product_masterlist(ifs)'!C:C,"N/A",0)</f>
        <v>Frames</v>
      </c>
      <c r="K284">
        <f>VLOOKUP(C284,'product_masterlist(ifs)'!A:I,7,FALSE)</f>
        <v>180</v>
      </c>
    </row>
    <row r="285" spans="1:11" x14ac:dyDescent="0.35">
      <c r="A285" t="s">
        <v>467</v>
      </c>
      <c r="B285" t="s">
        <v>468</v>
      </c>
      <c r="C285" t="s">
        <v>90</v>
      </c>
      <c r="D285">
        <v>14</v>
      </c>
      <c r="E285" t="s">
        <v>20</v>
      </c>
      <c r="F285" t="s">
        <v>23</v>
      </c>
      <c r="G285">
        <v>679</v>
      </c>
      <c r="H285">
        <v>30</v>
      </c>
      <c r="I285" t="s">
        <v>14</v>
      </c>
      <c r="J285" t="str">
        <f>_xlfn.XLOOKUP(C285,'product_masterlist(ifs)'!A:A,'product_masterlist(ifs)'!C:C,"N/A",0)</f>
        <v>Frames</v>
      </c>
      <c r="K285">
        <f>VLOOKUP(C285,'product_masterlist(ifs)'!A:I,7,FALSE)</f>
        <v>180</v>
      </c>
    </row>
    <row r="286" spans="1:11" x14ac:dyDescent="0.35">
      <c r="A286" t="s">
        <v>469</v>
      </c>
      <c r="B286" t="s">
        <v>58</v>
      </c>
      <c r="C286" t="s">
        <v>26</v>
      </c>
      <c r="D286">
        <v>14</v>
      </c>
      <c r="E286" t="s">
        <v>37</v>
      </c>
      <c r="F286" t="s">
        <v>31</v>
      </c>
      <c r="G286">
        <v>175</v>
      </c>
      <c r="H286">
        <v>14</v>
      </c>
      <c r="I286" t="s">
        <v>28</v>
      </c>
      <c r="J286" t="str">
        <f>_xlfn.XLOOKUP(C286,'product_masterlist(ifs)'!A:A,'product_masterlist(ifs)'!C:C,"N/A",0)</f>
        <v>Contact Lenses</v>
      </c>
      <c r="K286">
        <f>VLOOKUP(C286,'product_masterlist(ifs)'!A:I,7,FALSE)</f>
        <v>450</v>
      </c>
    </row>
    <row r="287" spans="1:11" x14ac:dyDescent="0.35">
      <c r="A287" t="s">
        <v>470</v>
      </c>
      <c r="B287" s="1">
        <v>45873</v>
      </c>
      <c r="C287" t="s">
        <v>53</v>
      </c>
      <c r="D287">
        <v>20</v>
      </c>
      <c r="E287" t="s">
        <v>22</v>
      </c>
      <c r="F287" t="s">
        <v>13</v>
      </c>
      <c r="G287">
        <v>85</v>
      </c>
      <c r="H287">
        <v>7</v>
      </c>
      <c r="I287" t="s">
        <v>28</v>
      </c>
      <c r="J287" t="str">
        <f>_xlfn.XLOOKUP(C287,'product_masterlist(ifs)'!A:A,'product_masterlist(ifs)'!C:C,"N/A",0)</f>
        <v>Solutions</v>
      </c>
      <c r="K287">
        <f>VLOOKUP(C287,'product_masterlist(ifs)'!A:I,7,FALSE)</f>
        <v>800</v>
      </c>
    </row>
    <row r="288" spans="1:11" x14ac:dyDescent="0.35">
      <c r="A288" t="s">
        <v>471</v>
      </c>
      <c r="B288" t="s">
        <v>168</v>
      </c>
      <c r="C288" t="s">
        <v>26</v>
      </c>
      <c r="D288">
        <v>22</v>
      </c>
      <c r="E288" t="s">
        <v>12</v>
      </c>
      <c r="F288" t="s">
        <v>13</v>
      </c>
      <c r="G288">
        <v>275</v>
      </c>
      <c r="H288">
        <v>14</v>
      </c>
      <c r="I288" t="s">
        <v>28</v>
      </c>
      <c r="J288" t="str">
        <f>_xlfn.XLOOKUP(C288,'product_masterlist(ifs)'!A:A,'product_masterlist(ifs)'!C:C,"N/A",0)</f>
        <v>Contact Lenses</v>
      </c>
      <c r="K288">
        <f>VLOOKUP(C288,'product_masterlist(ifs)'!A:I,7,FALSE)</f>
        <v>450</v>
      </c>
    </row>
    <row r="289" spans="1:11" x14ac:dyDescent="0.35">
      <c r="A289" t="s">
        <v>472</v>
      </c>
      <c r="B289" t="s">
        <v>159</v>
      </c>
      <c r="C289" t="s">
        <v>42</v>
      </c>
      <c r="D289">
        <v>19</v>
      </c>
      <c r="E289" t="s">
        <v>12</v>
      </c>
      <c r="F289" t="s">
        <v>31</v>
      </c>
      <c r="G289">
        <v>475</v>
      </c>
      <c r="H289">
        <v>21</v>
      </c>
      <c r="I289" t="s">
        <v>14</v>
      </c>
      <c r="J289" t="str">
        <f>_xlfn.XLOOKUP(C289,'product_masterlist(ifs)'!A:A,'product_masterlist(ifs)'!C:C,"N/A",0)</f>
        <v>Contact Lenses</v>
      </c>
      <c r="K289">
        <f>VLOOKUP(C289,'product_masterlist(ifs)'!A:I,7,FALSE)</f>
        <v>120</v>
      </c>
    </row>
    <row r="290" spans="1:11" x14ac:dyDescent="0.35">
      <c r="A290" t="s">
        <v>473</v>
      </c>
      <c r="B290" s="1">
        <v>45812</v>
      </c>
      <c r="C290" t="s">
        <v>53</v>
      </c>
      <c r="D290">
        <v>21</v>
      </c>
      <c r="E290" t="s">
        <v>37</v>
      </c>
      <c r="F290" t="s">
        <v>23</v>
      </c>
      <c r="G290" t="s">
        <v>197</v>
      </c>
      <c r="H290">
        <v>7</v>
      </c>
      <c r="I290" t="s">
        <v>28</v>
      </c>
      <c r="J290" t="str">
        <f>_xlfn.XLOOKUP(C290,'product_masterlist(ifs)'!A:A,'product_masterlist(ifs)'!C:C,"N/A",0)</f>
        <v>Solutions</v>
      </c>
      <c r="K290">
        <f>VLOOKUP(C290,'product_masterlist(ifs)'!A:I,7,FALSE)</f>
        <v>800</v>
      </c>
    </row>
    <row r="291" spans="1:11" x14ac:dyDescent="0.35">
      <c r="A291" t="s">
        <v>474</v>
      </c>
      <c r="B291" t="s">
        <v>475</v>
      </c>
      <c r="C291" t="s">
        <v>90</v>
      </c>
      <c r="D291">
        <v>1</v>
      </c>
      <c r="E291" t="s">
        <v>20</v>
      </c>
      <c r="F291" t="s">
        <v>23</v>
      </c>
      <c r="G291" t="s">
        <v>109</v>
      </c>
      <c r="H291">
        <v>30</v>
      </c>
      <c r="I291" t="s">
        <v>14</v>
      </c>
      <c r="J291" t="str">
        <f>_xlfn.XLOOKUP(C291,'product_masterlist(ifs)'!A:A,'product_masterlist(ifs)'!C:C,"N/A",0)</f>
        <v>Frames</v>
      </c>
      <c r="K291">
        <f>VLOOKUP(C291,'product_masterlist(ifs)'!A:I,7,FALSE)</f>
        <v>180</v>
      </c>
    </row>
    <row r="292" spans="1:11" x14ac:dyDescent="0.35">
      <c r="A292" t="s">
        <v>476</v>
      </c>
      <c r="B292" t="s">
        <v>477</v>
      </c>
      <c r="C292" t="s">
        <v>11</v>
      </c>
      <c r="D292">
        <v>8</v>
      </c>
      <c r="E292" t="s">
        <v>22</v>
      </c>
      <c r="F292" t="s">
        <v>18</v>
      </c>
      <c r="G292">
        <v>680</v>
      </c>
      <c r="H292">
        <v>30</v>
      </c>
      <c r="I292" t="s">
        <v>14</v>
      </c>
      <c r="J292" t="str">
        <f>_xlfn.XLOOKUP(C292,'product_masterlist(ifs)'!A:A,'product_masterlist(ifs)'!C:C,"N/A",0)</f>
        <v>Surgical</v>
      </c>
      <c r="K292">
        <f>VLOOKUP(C292,'product_masterlist(ifs)'!A:I,7,FALSE)</f>
        <v>40</v>
      </c>
    </row>
    <row r="293" spans="1:11" x14ac:dyDescent="0.35">
      <c r="A293" t="s">
        <v>478</v>
      </c>
      <c r="B293" t="s">
        <v>448</v>
      </c>
      <c r="C293" t="s">
        <v>17</v>
      </c>
      <c r="D293">
        <v>19</v>
      </c>
      <c r="E293" t="s">
        <v>12</v>
      </c>
      <c r="F293" t="s">
        <v>23</v>
      </c>
      <c r="G293">
        <v>855</v>
      </c>
      <c r="H293">
        <v>30</v>
      </c>
      <c r="I293" t="s">
        <v>14</v>
      </c>
      <c r="J293" t="str">
        <f>_xlfn.XLOOKUP(C293,'product_masterlist(ifs)'!A:A,'product_masterlist(ifs)'!C:C,"N/A",0)</f>
        <v>Frames</v>
      </c>
      <c r="K293">
        <f>VLOOKUP(C293,'product_masterlist(ifs)'!A:I,7,FALSE)</f>
        <v>45</v>
      </c>
    </row>
    <row r="294" spans="1:11" x14ac:dyDescent="0.35">
      <c r="A294" t="s">
        <v>479</v>
      </c>
      <c r="B294" s="1">
        <v>45813</v>
      </c>
      <c r="C294" t="s">
        <v>53</v>
      </c>
      <c r="D294">
        <v>22</v>
      </c>
      <c r="E294" t="s">
        <v>37</v>
      </c>
      <c r="F294" t="s">
        <v>18</v>
      </c>
      <c r="G294" t="s">
        <v>176</v>
      </c>
      <c r="H294">
        <v>7</v>
      </c>
      <c r="I294" t="s">
        <v>28</v>
      </c>
      <c r="J294" t="str">
        <f>_xlfn.XLOOKUP(C294,'product_masterlist(ifs)'!A:A,'product_masterlist(ifs)'!C:C,"N/A",0)</f>
        <v>Solutions</v>
      </c>
      <c r="K294">
        <f>VLOOKUP(C294,'product_masterlist(ifs)'!A:I,7,FALSE)</f>
        <v>800</v>
      </c>
    </row>
    <row r="295" spans="1:11" x14ac:dyDescent="0.35">
      <c r="A295" t="s">
        <v>480</v>
      </c>
      <c r="B295" s="1">
        <v>45850</v>
      </c>
      <c r="C295" t="s">
        <v>53</v>
      </c>
      <c r="D295">
        <v>25</v>
      </c>
      <c r="E295" t="s">
        <v>37</v>
      </c>
      <c r="F295" t="s">
        <v>31</v>
      </c>
      <c r="G295" t="s">
        <v>304</v>
      </c>
      <c r="H295">
        <v>7</v>
      </c>
      <c r="I295" t="s">
        <v>28</v>
      </c>
      <c r="J295" t="str">
        <f>_xlfn.XLOOKUP(C295,'product_masterlist(ifs)'!A:A,'product_masterlist(ifs)'!C:C,"N/A",0)</f>
        <v>Solutions</v>
      </c>
      <c r="K295">
        <f>VLOOKUP(C295,'product_masterlist(ifs)'!A:I,7,FALSE)</f>
        <v>800</v>
      </c>
    </row>
    <row r="296" spans="1:11" x14ac:dyDescent="0.35">
      <c r="A296" t="s">
        <v>481</v>
      </c>
      <c r="B296" s="1">
        <v>45996</v>
      </c>
      <c r="C296" t="s">
        <v>11</v>
      </c>
      <c r="D296">
        <v>20</v>
      </c>
      <c r="E296" t="s">
        <v>12</v>
      </c>
      <c r="F296" t="s">
        <v>13</v>
      </c>
      <c r="G296">
        <v>1700</v>
      </c>
      <c r="H296">
        <v>30</v>
      </c>
      <c r="I296" t="s">
        <v>14</v>
      </c>
      <c r="J296" t="str">
        <f>_xlfn.XLOOKUP(C296,'product_masterlist(ifs)'!A:A,'product_masterlist(ifs)'!C:C,"N/A",0)</f>
        <v>Surgical</v>
      </c>
      <c r="K296">
        <f>VLOOKUP(C296,'product_masterlist(ifs)'!A:I,7,FALSE)</f>
        <v>40</v>
      </c>
    </row>
    <row r="297" spans="1:11" x14ac:dyDescent="0.35">
      <c r="A297" t="s">
        <v>482</v>
      </c>
      <c r="B297" t="s">
        <v>323</v>
      </c>
      <c r="C297" t="s">
        <v>90</v>
      </c>
      <c r="D297">
        <v>16</v>
      </c>
      <c r="E297" t="s">
        <v>20</v>
      </c>
      <c r="F297" t="s">
        <v>18</v>
      </c>
      <c r="G297">
        <v>776</v>
      </c>
      <c r="H297">
        <v>30</v>
      </c>
      <c r="I297" t="s">
        <v>14</v>
      </c>
      <c r="J297" t="str">
        <f>_xlfn.XLOOKUP(C297,'product_masterlist(ifs)'!A:A,'product_masterlist(ifs)'!C:C,"N/A",0)</f>
        <v>Frames</v>
      </c>
      <c r="K297">
        <f>VLOOKUP(C297,'product_masterlist(ifs)'!A:I,7,FALSE)</f>
        <v>180</v>
      </c>
    </row>
    <row r="298" spans="1:11" x14ac:dyDescent="0.35">
      <c r="A298" t="s">
        <v>483</v>
      </c>
      <c r="B298" s="1">
        <v>45689</v>
      </c>
      <c r="C298" t="s">
        <v>90</v>
      </c>
      <c r="D298">
        <v>7</v>
      </c>
      <c r="E298" t="s">
        <v>12</v>
      </c>
      <c r="F298" t="s">
        <v>18</v>
      </c>
      <c r="G298" t="s">
        <v>181</v>
      </c>
      <c r="H298">
        <v>30</v>
      </c>
      <c r="I298" t="s">
        <v>14</v>
      </c>
      <c r="J298" t="str">
        <f>_xlfn.XLOOKUP(C298,'product_masterlist(ifs)'!A:A,'product_masterlist(ifs)'!C:C,"N/A",0)</f>
        <v>Frames</v>
      </c>
      <c r="K298">
        <f>VLOOKUP(C298,'product_masterlist(ifs)'!A:I,7,FALSE)</f>
        <v>180</v>
      </c>
    </row>
    <row r="299" spans="1:11" x14ac:dyDescent="0.35">
      <c r="A299" t="s">
        <v>484</v>
      </c>
      <c r="B299" t="s">
        <v>485</v>
      </c>
      <c r="C299" t="s">
        <v>90</v>
      </c>
      <c r="D299">
        <v>25</v>
      </c>
      <c r="E299" t="s">
        <v>22</v>
      </c>
      <c r="F299" t="s">
        <v>23</v>
      </c>
      <c r="G299" t="s">
        <v>308</v>
      </c>
      <c r="H299">
        <v>30</v>
      </c>
      <c r="I299" t="s">
        <v>14</v>
      </c>
      <c r="J299" t="str">
        <f>_xlfn.XLOOKUP(C299,'product_masterlist(ifs)'!A:A,'product_masterlist(ifs)'!C:C,"N/A",0)</f>
        <v>Frames</v>
      </c>
      <c r="K299">
        <f>VLOOKUP(C299,'product_masterlist(ifs)'!A:I,7,FALSE)</f>
        <v>180</v>
      </c>
    </row>
    <row r="300" spans="1:11" x14ac:dyDescent="0.35">
      <c r="A300" t="s">
        <v>486</v>
      </c>
      <c r="B300" t="s">
        <v>16</v>
      </c>
      <c r="C300" t="s">
        <v>17</v>
      </c>
      <c r="D300">
        <v>22</v>
      </c>
      <c r="E300" t="s">
        <v>22</v>
      </c>
      <c r="F300" t="s">
        <v>18</v>
      </c>
      <c r="G300">
        <v>990</v>
      </c>
      <c r="H300">
        <v>30</v>
      </c>
      <c r="I300" t="s">
        <v>14</v>
      </c>
      <c r="J300" t="str">
        <f>_xlfn.XLOOKUP(C300,'product_masterlist(ifs)'!A:A,'product_masterlist(ifs)'!C:C,"N/A",0)</f>
        <v>Frames</v>
      </c>
      <c r="K300">
        <f>VLOOKUP(C300,'product_masterlist(ifs)'!A:I,7,FALSE)</f>
        <v>45</v>
      </c>
    </row>
    <row r="301" spans="1:11" x14ac:dyDescent="0.35">
      <c r="A301" t="s">
        <v>487</v>
      </c>
      <c r="B301" t="s">
        <v>271</v>
      </c>
      <c r="C301" t="s">
        <v>53</v>
      </c>
      <c r="D301">
        <v>13</v>
      </c>
      <c r="E301" t="s">
        <v>12</v>
      </c>
      <c r="F301" t="s">
        <v>13</v>
      </c>
      <c r="G301" t="s">
        <v>188</v>
      </c>
      <c r="H301">
        <v>7</v>
      </c>
      <c r="I301" t="s">
        <v>28</v>
      </c>
      <c r="J301" t="str">
        <f>_xlfn.XLOOKUP(C301,'product_masterlist(ifs)'!A:A,'product_masterlist(ifs)'!C:C,"N/A",0)</f>
        <v>Solutions</v>
      </c>
      <c r="K301">
        <f>VLOOKUP(C301,'product_masterlist(ifs)'!A:I,7,FALSE)</f>
        <v>800</v>
      </c>
    </row>
    <row r="302" spans="1:11" x14ac:dyDescent="0.35">
      <c r="A302" t="s">
        <v>488</v>
      </c>
      <c r="B302" t="s">
        <v>489</v>
      </c>
      <c r="C302" t="s">
        <v>17</v>
      </c>
      <c r="D302">
        <v>15</v>
      </c>
      <c r="E302" t="s">
        <v>22</v>
      </c>
      <c r="F302" t="s">
        <v>31</v>
      </c>
      <c r="G302">
        <v>675</v>
      </c>
      <c r="H302">
        <v>30</v>
      </c>
      <c r="I302" t="s">
        <v>14</v>
      </c>
      <c r="J302" t="str">
        <f>_xlfn.XLOOKUP(C302,'product_masterlist(ifs)'!A:A,'product_masterlist(ifs)'!C:C,"N/A",0)</f>
        <v>Frames</v>
      </c>
      <c r="K302">
        <f>VLOOKUP(C302,'product_masterlist(ifs)'!A:I,7,FALSE)</f>
        <v>45</v>
      </c>
    </row>
    <row r="303" spans="1:11" x14ac:dyDescent="0.35">
      <c r="A303" t="s">
        <v>490</v>
      </c>
      <c r="B303" s="1">
        <v>45782</v>
      </c>
      <c r="C303" t="s">
        <v>11</v>
      </c>
      <c r="D303">
        <v>19</v>
      </c>
      <c r="E303" t="s">
        <v>22</v>
      </c>
      <c r="F303" t="s">
        <v>31</v>
      </c>
      <c r="G303">
        <v>1615</v>
      </c>
      <c r="H303">
        <v>30</v>
      </c>
      <c r="I303" t="s">
        <v>14</v>
      </c>
      <c r="J303" t="str">
        <f>_xlfn.XLOOKUP(C303,'product_masterlist(ifs)'!A:A,'product_masterlist(ifs)'!C:C,"N/A",0)</f>
        <v>Surgical</v>
      </c>
      <c r="K303">
        <f>VLOOKUP(C303,'product_masterlist(ifs)'!A:I,7,FALSE)</f>
        <v>40</v>
      </c>
    </row>
    <row r="304" spans="1:11" x14ac:dyDescent="0.35">
      <c r="A304" t="s">
        <v>491</v>
      </c>
      <c r="B304" t="s">
        <v>165</v>
      </c>
      <c r="C304" t="s">
        <v>90</v>
      </c>
      <c r="D304">
        <v>5</v>
      </c>
      <c r="E304" t="s">
        <v>22</v>
      </c>
      <c r="F304" t="s">
        <v>18</v>
      </c>
      <c r="G304" t="s">
        <v>332</v>
      </c>
      <c r="H304">
        <v>30</v>
      </c>
      <c r="I304" t="s">
        <v>14</v>
      </c>
      <c r="J304" t="str">
        <f>_xlfn.XLOOKUP(C304,'product_masterlist(ifs)'!A:A,'product_masterlist(ifs)'!C:C,"N/A",0)</f>
        <v>Frames</v>
      </c>
      <c r="K304">
        <f>VLOOKUP(C304,'product_masterlist(ifs)'!A:I,7,FALSE)</f>
        <v>180</v>
      </c>
    </row>
    <row r="305" spans="1:11" x14ac:dyDescent="0.35">
      <c r="A305" t="s">
        <v>492</v>
      </c>
      <c r="B305" t="s">
        <v>477</v>
      </c>
      <c r="C305" t="s">
        <v>17</v>
      </c>
      <c r="D305">
        <v>2</v>
      </c>
      <c r="E305" t="s">
        <v>22</v>
      </c>
      <c r="F305" t="s">
        <v>23</v>
      </c>
      <c r="G305">
        <v>90</v>
      </c>
      <c r="H305">
        <v>30</v>
      </c>
      <c r="I305" t="s">
        <v>14</v>
      </c>
      <c r="J305" t="str">
        <f>_xlfn.XLOOKUP(C305,'product_masterlist(ifs)'!A:A,'product_masterlist(ifs)'!C:C,"N/A",0)</f>
        <v>Frames</v>
      </c>
      <c r="K305">
        <f>VLOOKUP(C305,'product_masterlist(ifs)'!A:I,7,FALSE)</f>
        <v>45</v>
      </c>
    </row>
    <row r="306" spans="1:11" x14ac:dyDescent="0.35">
      <c r="A306" t="s">
        <v>493</v>
      </c>
      <c r="B306" t="s">
        <v>457</v>
      </c>
      <c r="C306" t="s">
        <v>26</v>
      </c>
      <c r="D306">
        <v>24</v>
      </c>
      <c r="E306" t="s">
        <v>12</v>
      </c>
      <c r="F306" t="s">
        <v>31</v>
      </c>
      <c r="G306">
        <v>300</v>
      </c>
      <c r="H306">
        <v>14</v>
      </c>
      <c r="I306" t="s">
        <v>28</v>
      </c>
      <c r="J306" t="str">
        <f>_xlfn.XLOOKUP(C306,'product_masterlist(ifs)'!A:A,'product_masterlist(ifs)'!C:C,"N/A",0)</f>
        <v>Contact Lenses</v>
      </c>
      <c r="K306">
        <f>VLOOKUP(C306,'product_masterlist(ifs)'!A:I,7,FALSE)</f>
        <v>450</v>
      </c>
    </row>
    <row r="307" spans="1:11" x14ac:dyDescent="0.35">
      <c r="A307" t="s">
        <v>494</v>
      </c>
      <c r="B307" t="s">
        <v>146</v>
      </c>
      <c r="C307" t="s">
        <v>33</v>
      </c>
      <c r="D307">
        <v>13</v>
      </c>
      <c r="E307" t="s">
        <v>22</v>
      </c>
      <c r="F307" t="s">
        <v>13</v>
      </c>
      <c r="G307">
        <v>1950</v>
      </c>
      <c r="H307">
        <v>45</v>
      </c>
      <c r="I307" t="s">
        <v>34</v>
      </c>
      <c r="J307" t="str">
        <f>_xlfn.XLOOKUP(C307,'product_masterlist(ifs)'!A:A,'product_masterlist(ifs)'!C:C,"N/A",0)</f>
        <v>Surgical</v>
      </c>
      <c r="K307">
        <f>VLOOKUP(C307,'product_masterlist(ifs)'!A:I,7,FALSE)</f>
        <v>15</v>
      </c>
    </row>
    <row r="308" spans="1:11" x14ac:dyDescent="0.35">
      <c r="A308" t="s">
        <v>495</v>
      </c>
      <c r="B308" t="s">
        <v>196</v>
      </c>
      <c r="C308" t="s">
        <v>42</v>
      </c>
      <c r="D308">
        <v>18</v>
      </c>
      <c r="E308" t="s">
        <v>12</v>
      </c>
      <c r="F308" t="s">
        <v>18</v>
      </c>
      <c r="G308">
        <v>450</v>
      </c>
      <c r="H308">
        <v>21</v>
      </c>
      <c r="I308" t="s">
        <v>14</v>
      </c>
      <c r="J308" t="str">
        <f>_xlfn.XLOOKUP(C308,'product_masterlist(ifs)'!A:A,'product_masterlist(ifs)'!C:C,"N/A",0)</f>
        <v>Contact Lenses</v>
      </c>
      <c r="K308">
        <f>VLOOKUP(C308,'product_masterlist(ifs)'!A:I,7,FALSE)</f>
        <v>120</v>
      </c>
    </row>
    <row r="309" spans="1:11" x14ac:dyDescent="0.35">
      <c r="A309" t="s">
        <v>496</v>
      </c>
      <c r="B309" s="1">
        <v>45876</v>
      </c>
      <c r="C309" t="s">
        <v>42</v>
      </c>
      <c r="D309">
        <v>6</v>
      </c>
      <c r="E309" t="s">
        <v>37</v>
      </c>
      <c r="F309" t="s">
        <v>31</v>
      </c>
      <c r="G309">
        <v>150</v>
      </c>
      <c r="H309">
        <v>21</v>
      </c>
      <c r="I309" t="s">
        <v>14</v>
      </c>
      <c r="J309" t="str">
        <f>_xlfn.XLOOKUP(C309,'product_masterlist(ifs)'!A:A,'product_masterlist(ifs)'!C:C,"N/A",0)</f>
        <v>Contact Lenses</v>
      </c>
      <c r="K309">
        <f>VLOOKUP(C309,'product_masterlist(ifs)'!A:I,7,FALSE)</f>
        <v>120</v>
      </c>
    </row>
    <row r="310" spans="1:11" x14ac:dyDescent="0.35">
      <c r="A310" t="s">
        <v>497</v>
      </c>
      <c r="B310" s="1">
        <v>45662</v>
      </c>
      <c r="C310" t="s">
        <v>33</v>
      </c>
      <c r="D310">
        <v>1</v>
      </c>
      <c r="E310" t="s">
        <v>37</v>
      </c>
      <c r="F310" t="s">
        <v>31</v>
      </c>
      <c r="G310">
        <v>150</v>
      </c>
      <c r="H310">
        <v>45</v>
      </c>
      <c r="I310" t="s">
        <v>34</v>
      </c>
      <c r="J310" t="str">
        <f>_xlfn.XLOOKUP(C310,'product_masterlist(ifs)'!A:A,'product_masterlist(ifs)'!C:C,"N/A",0)</f>
        <v>Surgical</v>
      </c>
      <c r="K310">
        <f>VLOOKUP(C310,'product_masterlist(ifs)'!A:I,7,FALSE)</f>
        <v>15</v>
      </c>
    </row>
    <row r="311" spans="1:11" x14ac:dyDescent="0.35">
      <c r="A311" t="s">
        <v>498</v>
      </c>
      <c r="B311" t="s">
        <v>499</v>
      </c>
      <c r="C311" t="s">
        <v>26</v>
      </c>
      <c r="D311">
        <v>4</v>
      </c>
      <c r="E311" t="s">
        <v>20</v>
      </c>
      <c r="F311" t="s">
        <v>31</v>
      </c>
      <c r="G311">
        <v>50</v>
      </c>
      <c r="H311">
        <v>14</v>
      </c>
      <c r="I311" t="s">
        <v>28</v>
      </c>
      <c r="J311" t="str">
        <f>_xlfn.XLOOKUP(C311,'product_masterlist(ifs)'!A:A,'product_masterlist(ifs)'!C:C,"N/A",0)</f>
        <v>Contact Lenses</v>
      </c>
      <c r="K311">
        <f>VLOOKUP(C311,'product_masterlist(ifs)'!A:I,7,FALSE)</f>
        <v>450</v>
      </c>
    </row>
    <row r="312" spans="1:11" x14ac:dyDescent="0.35">
      <c r="A312" t="s">
        <v>500</v>
      </c>
      <c r="B312" t="s">
        <v>501</v>
      </c>
      <c r="C312" t="s">
        <v>33</v>
      </c>
      <c r="D312">
        <v>16</v>
      </c>
      <c r="E312" t="s">
        <v>20</v>
      </c>
      <c r="F312" t="s">
        <v>18</v>
      </c>
      <c r="G312">
        <v>2400</v>
      </c>
      <c r="H312">
        <v>45</v>
      </c>
      <c r="I312" t="s">
        <v>34</v>
      </c>
      <c r="J312" t="str">
        <f>_xlfn.XLOOKUP(C312,'product_masterlist(ifs)'!A:A,'product_masterlist(ifs)'!C:C,"N/A",0)</f>
        <v>Surgical</v>
      </c>
      <c r="K312">
        <f>VLOOKUP(C312,'product_masterlist(ifs)'!A:I,7,FALSE)</f>
        <v>15</v>
      </c>
    </row>
    <row r="313" spans="1:11" x14ac:dyDescent="0.35">
      <c r="A313" t="s">
        <v>502</v>
      </c>
      <c r="B313" t="s">
        <v>503</v>
      </c>
      <c r="C313" t="s">
        <v>90</v>
      </c>
      <c r="D313">
        <v>19</v>
      </c>
      <c r="E313" t="s">
        <v>20</v>
      </c>
      <c r="F313" t="s">
        <v>31</v>
      </c>
      <c r="G313" t="s">
        <v>504</v>
      </c>
      <c r="H313">
        <v>30</v>
      </c>
      <c r="I313" t="s">
        <v>14</v>
      </c>
      <c r="J313" t="str">
        <f>_xlfn.XLOOKUP(C313,'product_masterlist(ifs)'!A:A,'product_masterlist(ifs)'!C:C,"N/A",0)</f>
        <v>Frames</v>
      </c>
      <c r="K313">
        <f>VLOOKUP(C313,'product_masterlist(ifs)'!A:I,7,FALSE)</f>
        <v>180</v>
      </c>
    </row>
    <row r="314" spans="1:11" x14ac:dyDescent="0.35">
      <c r="A314" t="s">
        <v>505</v>
      </c>
      <c r="B314" t="s">
        <v>506</v>
      </c>
      <c r="C314" t="s">
        <v>42</v>
      </c>
      <c r="D314">
        <v>12</v>
      </c>
      <c r="E314" t="s">
        <v>12</v>
      </c>
      <c r="F314" t="s">
        <v>13</v>
      </c>
      <c r="G314">
        <v>300</v>
      </c>
      <c r="H314">
        <v>21</v>
      </c>
      <c r="I314" t="s">
        <v>14</v>
      </c>
      <c r="J314" t="str">
        <f>_xlfn.XLOOKUP(C314,'product_masterlist(ifs)'!A:A,'product_masterlist(ifs)'!C:C,"N/A",0)</f>
        <v>Contact Lenses</v>
      </c>
      <c r="K314">
        <f>VLOOKUP(C314,'product_masterlist(ifs)'!A:I,7,FALSE)</f>
        <v>120</v>
      </c>
    </row>
    <row r="315" spans="1:11" x14ac:dyDescent="0.35">
      <c r="A315" t="s">
        <v>507</v>
      </c>
      <c r="B315" t="s">
        <v>87</v>
      </c>
      <c r="C315" t="s">
        <v>11</v>
      </c>
      <c r="D315">
        <v>7</v>
      </c>
      <c r="E315" t="s">
        <v>22</v>
      </c>
      <c r="F315" t="s">
        <v>23</v>
      </c>
      <c r="G315">
        <v>595</v>
      </c>
      <c r="H315">
        <v>30</v>
      </c>
      <c r="I315" t="s">
        <v>14</v>
      </c>
      <c r="J315" t="str">
        <f>_xlfn.XLOOKUP(C315,'product_masterlist(ifs)'!A:A,'product_masterlist(ifs)'!C:C,"N/A",0)</f>
        <v>Surgical</v>
      </c>
      <c r="K315">
        <f>VLOOKUP(C315,'product_masterlist(ifs)'!A:I,7,FALSE)</f>
        <v>40</v>
      </c>
    </row>
    <row r="316" spans="1:11" x14ac:dyDescent="0.35">
      <c r="A316" t="s">
        <v>508</v>
      </c>
      <c r="B316" s="1">
        <v>45995</v>
      </c>
      <c r="C316" t="s">
        <v>42</v>
      </c>
      <c r="D316">
        <v>15</v>
      </c>
      <c r="E316" t="s">
        <v>12</v>
      </c>
      <c r="F316" t="s">
        <v>13</v>
      </c>
      <c r="G316">
        <v>375</v>
      </c>
      <c r="H316">
        <v>21</v>
      </c>
      <c r="I316" t="s">
        <v>14</v>
      </c>
      <c r="J316" t="str">
        <f>_xlfn.XLOOKUP(C316,'product_masterlist(ifs)'!A:A,'product_masterlist(ifs)'!C:C,"N/A",0)</f>
        <v>Contact Lenses</v>
      </c>
      <c r="K316">
        <f>VLOOKUP(C316,'product_masterlist(ifs)'!A:I,7,FALSE)</f>
        <v>120</v>
      </c>
    </row>
    <row r="317" spans="1:11" x14ac:dyDescent="0.35">
      <c r="A317" t="s">
        <v>509</v>
      </c>
      <c r="B317" t="s">
        <v>180</v>
      </c>
      <c r="C317" t="s">
        <v>90</v>
      </c>
      <c r="D317">
        <v>6</v>
      </c>
      <c r="E317" t="s">
        <v>12</v>
      </c>
      <c r="F317" t="s">
        <v>13</v>
      </c>
      <c r="G317">
        <v>291</v>
      </c>
      <c r="H317">
        <v>30</v>
      </c>
      <c r="I317" t="s">
        <v>14</v>
      </c>
      <c r="J317" t="str">
        <f>_xlfn.XLOOKUP(C317,'product_masterlist(ifs)'!A:A,'product_masterlist(ifs)'!C:C,"N/A",0)</f>
        <v>Frames</v>
      </c>
      <c r="K317">
        <f>VLOOKUP(C317,'product_masterlist(ifs)'!A:I,7,FALSE)</f>
        <v>180</v>
      </c>
    </row>
    <row r="318" spans="1:11" x14ac:dyDescent="0.35">
      <c r="A318" t="s">
        <v>510</v>
      </c>
      <c r="B318" t="s">
        <v>159</v>
      </c>
      <c r="C318" t="s">
        <v>17</v>
      </c>
      <c r="D318">
        <v>8</v>
      </c>
      <c r="E318" t="s">
        <v>22</v>
      </c>
      <c r="F318" t="s">
        <v>13</v>
      </c>
      <c r="G318">
        <v>360</v>
      </c>
      <c r="H318">
        <v>30</v>
      </c>
      <c r="I318" t="s">
        <v>14</v>
      </c>
      <c r="J318" t="str">
        <f>_xlfn.XLOOKUP(C318,'product_masterlist(ifs)'!A:A,'product_masterlist(ifs)'!C:C,"N/A",0)</f>
        <v>Frames</v>
      </c>
      <c r="K318">
        <f>VLOOKUP(C318,'product_masterlist(ifs)'!A:I,7,FALSE)</f>
        <v>45</v>
      </c>
    </row>
    <row r="319" spans="1:11" x14ac:dyDescent="0.35">
      <c r="A319" t="s">
        <v>511</v>
      </c>
      <c r="B319" s="1">
        <v>45695</v>
      </c>
      <c r="C319" t="s">
        <v>17</v>
      </c>
      <c r="D319">
        <v>10</v>
      </c>
      <c r="E319" t="s">
        <v>12</v>
      </c>
      <c r="F319" t="s">
        <v>23</v>
      </c>
      <c r="G319">
        <v>450</v>
      </c>
      <c r="H319">
        <v>30</v>
      </c>
      <c r="I319" t="s">
        <v>14</v>
      </c>
      <c r="J319" t="str">
        <f>_xlfn.XLOOKUP(C319,'product_masterlist(ifs)'!A:A,'product_masterlist(ifs)'!C:C,"N/A",0)</f>
        <v>Frames</v>
      </c>
      <c r="K319">
        <f>VLOOKUP(C319,'product_masterlist(ifs)'!A:I,7,FALSE)</f>
        <v>45</v>
      </c>
    </row>
    <row r="320" spans="1:11" x14ac:dyDescent="0.35">
      <c r="A320" t="s">
        <v>512</v>
      </c>
      <c r="B320" s="1">
        <v>45691</v>
      </c>
      <c r="C320" t="s">
        <v>26</v>
      </c>
      <c r="D320">
        <v>15</v>
      </c>
      <c r="E320" t="s">
        <v>20</v>
      </c>
      <c r="F320" t="s">
        <v>23</v>
      </c>
      <c r="G320" t="s">
        <v>513</v>
      </c>
      <c r="H320">
        <v>14</v>
      </c>
      <c r="I320" t="s">
        <v>28</v>
      </c>
      <c r="J320" t="str">
        <f>_xlfn.XLOOKUP(C320,'product_masterlist(ifs)'!A:A,'product_masterlist(ifs)'!C:C,"N/A",0)</f>
        <v>Contact Lenses</v>
      </c>
      <c r="K320">
        <f>VLOOKUP(C320,'product_masterlist(ifs)'!A:I,7,FALSE)</f>
        <v>450</v>
      </c>
    </row>
    <row r="321" spans="1:11" x14ac:dyDescent="0.35">
      <c r="A321" t="s">
        <v>514</v>
      </c>
      <c r="B321" t="s">
        <v>515</v>
      </c>
      <c r="C321" t="s">
        <v>33</v>
      </c>
      <c r="D321">
        <v>18</v>
      </c>
      <c r="E321" t="s">
        <v>22</v>
      </c>
      <c r="F321" t="s">
        <v>31</v>
      </c>
      <c r="G321">
        <v>2700</v>
      </c>
      <c r="H321">
        <v>45</v>
      </c>
      <c r="I321" t="s">
        <v>34</v>
      </c>
      <c r="J321" t="str">
        <f>_xlfn.XLOOKUP(C321,'product_masterlist(ifs)'!A:A,'product_masterlist(ifs)'!C:C,"N/A",0)</f>
        <v>Surgical</v>
      </c>
      <c r="K321">
        <f>VLOOKUP(C321,'product_masterlist(ifs)'!A:I,7,FALSE)</f>
        <v>15</v>
      </c>
    </row>
    <row r="322" spans="1:11" x14ac:dyDescent="0.35">
      <c r="A322" t="s">
        <v>516</v>
      </c>
      <c r="B322" s="1">
        <v>45659</v>
      </c>
      <c r="C322" t="s">
        <v>42</v>
      </c>
      <c r="D322">
        <v>2</v>
      </c>
      <c r="E322" t="s">
        <v>20</v>
      </c>
      <c r="F322" t="s">
        <v>18</v>
      </c>
      <c r="G322">
        <v>50</v>
      </c>
      <c r="H322">
        <v>21</v>
      </c>
      <c r="I322" t="s">
        <v>14</v>
      </c>
      <c r="J322" t="str">
        <f>_xlfn.XLOOKUP(C322,'product_masterlist(ifs)'!A:A,'product_masterlist(ifs)'!C:C,"N/A",0)</f>
        <v>Contact Lenses</v>
      </c>
      <c r="K322">
        <f>VLOOKUP(C322,'product_masterlist(ifs)'!A:I,7,FALSE)</f>
        <v>120</v>
      </c>
    </row>
    <row r="323" spans="1:11" x14ac:dyDescent="0.35">
      <c r="A323" t="s">
        <v>517</v>
      </c>
      <c r="B323" s="1">
        <v>45658</v>
      </c>
      <c r="C323" t="s">
        <v>53</v>
      </c>
      <c r="D323">
        <v>22</v>
      </c>
      <c r="E323" t="s">
        <v>37</v>
      </c>
      <c r="F323" t="s">
        <v>31</v>
      </c>
      <c r="G323" t="s">
        <v>176</v>
      </c>
      <c r="H323">
        <v>7</v>
      </c>
      <c r="I323" t="s">
        <v>28</v>
      </c>
      <c r="J323" t="str">
        <f>_xlfn.XLOOKUP(C323,'product_masterlist(ifs)'!A:A,'product_masterlist(ifs)'!C:C,"N/A",0)</f>
        <v>Solutions</v>
      </c>
      <c r="K323">
        <f>VLOOKUP(C323,'product_masterlist(ifs)'!A:I,7,FALSE)</f>
        <v>800</v>
      </c>
    </row>
    <row r="324" spans="1:11" x14ac:dyDescent="0.35">
      <c r="A324" t="s">
        <v>518</v>
      </c>
      <c r="B324" s="1">
        <v>46003</v>
      </c>
      <c r="C324" t="s">
        <v>33</v>
      </c>
      <c r="D324">
        <v>7</v>
      </c>
      <c r="E324" t="s">
        <v>22</v>
      </c>
      <c r="F324" t="s">
        <v>23</v>
      </c>
      <c r="G324">
        <v>1050</v>
      </c>
      <c r="H324">
        <v>45</v>
      </c>
      <c r="I324" t="s">
        <v>34</v>
      </c>
      <c r="J324" t="str">
        <f>_xlfn.XLOOKUP(C324,'product_masterlist(ifs)'!A:A,'product_masterlist(ifs)'!C:C,"N/A",0)</f>
        <v>Surgical</v>
      </c>
      <c r="K324">
        <f>VLOOKUP(C324,'product_masterlist(ifs)'!A:I,7,FALSE)</f>
        <v>15</v>
      </c>
    </row>
    <row r="325" spans="1:11" x14ac:dyDescent="0.35">
      <c r="A325" t="s">
        <v>519</v>
      </c>
      <c r="B325" t="s">
        <v>30</v>
      </c>
      <c r="C325" t="s">
        <v>26</v>
      </c>
      <c r="D325">
        <v>6</v>
      </c>
      <c r="E325" t="s">
        <v>22</v>
      </c>
      <c r="F325" t="s">
        <v>18</v>
      </c>
      <c r="G325">
        <v>75</v>
      </c>
      <c r="H325">
        <v>14</v>
      </c>
      <c r="I325" t="s">
        <v>28</v>
      </c>
      <c r="J325" t="str">
        <f>_xlfn.XLOOKUP(C325,'product_masterlist(ifs)'!A:A,'product_masterlist(ifs)'!C:C,"N/A",0)</f>
        <v>Contact Lenses</v>
      </c>
      <c r="K325">
        <f>VLOOKUP(C325,'product_masterlist(ifs)'!A:I,7,FALSE)</f>
        <v>450</v>
      </c>
    </row>
    <row r="326" spans="1:11" x14ac:dyDescent="0.35">
      <c r="A326" t="s">
        <v>520</v>
      </c>
      <c r="B326" t="s">
        <v>127</v>
      </c>
      <c r="C326" t="s">
        <v>17</v>
      </c>
      <c r="D326">
        <v>2</v>
      </c>
      <c r="E326" t="s">
        <v>12</v>
      </c>
      <c r="F326" t="s">
        <v>31</v>
      </c>
      <c r="G326">
        <v>90</v>
      </c>
      <c r="H326">
        <v>30</v>
      </c>
      <c r="I326" t="s">
        <v>14</v>
      </c>
      <c r="J326" t="str">
        <f>_xlfn.XLOOKUP(C326,'product_masterlist(ifs)'!A:A,'product_masterlist(ifs)'!C:C,"N/A",0)</f>
        <v>Frames</v>
      </c>
      <c r="K326">
        <f>VLOOKUP(C326,'product_masterlist(ifs)'!A:I,7,FALSE)</f>
        <v>45</v>
      </c>
    </row>
    <row r="327" spans="1:11" x14ac:dyDescent="0.35">
      <c r="A327" t="s">
        <v>521</v>
      </c>
      <c r="B327" t="s">
        <v>103</v>
      </c>
      <c r="C327" t="s">
        <v>90</v>
      </c>
      <c r="D327">
        <v>7</v>
      </c>
      <c r="E327" t="s">
        <v>37</v>
      </c>
      <c r="F327" t="s">
        <v>23</v>
      </c>
      <c r="G327" t="s">
        <v>181</v>
      </c>
      <c r="H327">
        <v>30</v>
      </c>
      <c r="I327" t="s">
        <v>14</v>
      </c>
      <c r="J327" t="str">
        <f>_xlfn.XLOOKUP(C327,'product_masterlist(ifs)'!A:A,'product_masterlist(ifs)'!C:C,"N/A",0)</f>
        <v>Frames</v>
      </c>
      <c r="K327">
        <f>VLOOKUP(C327,'product_masterlist(ifs)'!A:I,7,FALSE)</f>
        <v>180</v>
      </c>
    </row>
    <row r="328" spans="1:11" x14ac:dyDescent="0.35">
      <c r="A328" t="s">
        <v>522</v>
      </c>
      <c r="B328" t="s">
        <v>298</v>
      </c>
      <c r="C328" t="s">
        <v>17</v>
      </c>
      <c r="D328">
        <v>25</v>
      </c>
      <c r="E328" t="s">
        <v>12</v>
      </c>
      <c r="F328" t="s">
        <v>31</v>
      </c>
      <c r="G328">
        <v>1125</v>
      </c>
      <c r="H328">
        <v>30</v>
      </c>
      <c r="I328" t="s">
        <v>14</v>
      </c>
      <c r="J328" t="str">
        <f>_xlfn.XLOOKUP(C328,'product_masterlist(ifs)'!A:A,'product_masterlist(ifs)'!C:C,"N/A",0)</f>
        <v>Frames</v>
      </c>
      <c r="K328">
        <f>VLOOKUP(C328,'product_masterlist(ifs)'!A:I,7,FALSE)</f>
        <v>45</v>
      </c>
    </row>
    <row r="329" spans="1:11" x14ac:dyDescent="0.35">
      <c r="A329" t="s">
        <v>523</v>
      </c>
      <c r="B329" s="1">
        <v>45667</v>
      </c>
      <c r="C329" t="s">
        <v>17</v>
      </c>
      <c r="D329">
        <v>21</v>
      </c>
      <c r="E329" t="s">
        <v>20</v>
      </c>
      <c r="F329" t="s">
        <v>18</v>
      </c>
      <c r="G329">
        <v>945</v>
      </c>
      <c r="H329">
        <v>30</v>
      </c>
      <c r="I329" t="s">
        <v>14</v>
      </c>
      <c r="J329" t="str">
        <f>_xlfn.XLOOKUP(C329,'product_masterlist(ifs)'!A:A,'product_masterlist(ifs)'!C:C,"N/A",0)</f>
        <v>Frames</v>
      </c>
      <c r="K329">
        <f>VLOOKUP(C329,'product_masterlist(ifs)'!A:I,7,FALSE)</f>
        <v>45</v>
      </c>
    </row>
    <row r="330" spans="1:11" x14ac:dyDescent="0.35">
      <c r="A330" t="s">
        <v>524</v>
      </c>
      <c r="B330" s="1">
        <v>45751</v>
      </c>
      <c r="C330" t="s">
        <v>26</v>
      </c>
      <c r="D330">
        <v>11</v>
      </c>
      <c r="E330" t="s">
        <v>20</v>
      </c>
      <c r="F330" t="s">
        <v>31</v>
      </c>
      <c r="G330" t="s">
        <v>47</v>
      </c>
      <c r="H330">
        <v>14</v>
      </c>
      <c r="I330" t="s">
        <v>28</v>
      </c>
      <c r="J330" t="str">
        <f>_xlfn.XLOOKUP(C330,'product_masterlist(ifs)'!A:A,'product_masterlist(ifs)'!C:C,"N/A",0)</f>
        <v>Contact Lenses</v>
      </c>
      <c r="K330">
        <f>VLOOKUP(C330,'product_masterlist(ifs)'!A:I,7,FALSE)</f>
        <v>450</v>
      </c>
    </row>
    <row r="331" spans="1:11" x14ac:dyDescent="0.35">
      <c r="A331" t="s">
        <v>525</v>
      </c>
      <c r="B331" t="s">
        <v>60</v>
      </c>
      <c r="C331" t="s">
        <v>90</v>
      </c>
      <c r="D331">
        <v>11</v>
      </c>
      <c r="E331" t="s">
        <v>12</v>
      </c>
      <c r="F331" t="s">
        <v>18</v>
      </c>
      <c r="G331" t="s">
        <v>238</v>
      </c>
      <c r="H331">
        <v>30</v>
      </c>
      <c r="I331" t="s">
        <v>14</v>
      </c>
      <c r="J331" t="str">
        <f>_xlfn.XLOOKUP(C331,'product_masterlist(ifs)'!A:A,'product_masterlist(ifs)'!C:C,"N/A",0)</f>
        <v>Frames</v>
      </c>
      <c r="K331">
        <f>VLOOKUP(C331,'product_masterlist(ifs)'!A:I,7,FALSE)</f>
        <v>180</v>
      </c>
    </row>
    <row r="332" spans="1:11" x14ac:dyDescent="0.35">
      <c r="A332" t="s">
        <v>526</v>
      </c>
      <c r="B332" s="1">
        <v>45879</v>
      </c>
      <c r="C332" t="s">
        <v>11</v>
      </c>
      <c r="D332">
        <v>19</v>
      </c>
      <c r="E332" t="s">
        <v>12</v>
      </c>
      <c r="F332" t="s">
        <v>13</v>
      </c>
      <c r="G332">
        <v>1615</v>
      </c>
      <c r="H332">
        <v>30</v>
      </c>
      <c r="I332" t="s">
        <v>14</v>
      </c>
      <c r="J332" t="str">
        <f>_xlfn.XLOOKUP(C332,'product_masterlist(ifs)'!A:A,'product_masterlist(ifs)'!C:C,"N/A",0)</f>
        <v>Surgical</v>
      </c>
      <c r="K332">
        <f>VLOOKUP(C332,'product_masterlist(ifs)'!A:I,7,FALSE)</f>
        <v>40</v>
      </c>
    </row>
    <row r="333" spans="1:11" x14ac:dyDescent="0.35">
      <c r="A333" t="s">
        <v>527</v>
      </c>
      <c r="B333" t="s">
        <v>194</v>
      </c>
      <c r="C333" t="s">
        <v>17</v>
      </c>
      <c r="D333">
        <v>20</v>
      </c>
      <c r="E333" t="s">
        <v>37</v>
      </c>
      <c r="F333" t="s">
        <v>23</v>
      </c>
      <c r="G333">
        <v>900</v>
      </c>
      <c r="H333">
        <v>30</v>
      </c>
      <c r="I333" t="s">
        <v>14</v>
      </c>
      <c r="J333" t="str">
        <f>_xlfn.XLOOKUP(C333,'product_masterlist(ifs)'!A:A,'product_masterlist(ifs)'!C:C,"N/A",0)</f>
        <v>Frames</v>
      </c>
      <c r="K333">
        <f>VLOOKUP(C333,'product_masterlist(ifs)'!A:I,7,FALSE)</f>
        <v>45</v>
      </c>
    </row>
    <row r="334" spans="1:11" x14ac:dyDescent="0.35">
      <c r="A334" t="s">
        <v>528</v>
      </c>
      <c r="B334" s="1">
        <v>45814</v>
      </c>
      <c r="C334" t="s">
        <v>11</v>
      </c>
      <c r="D334">
        <v>20</v>
      </c>
      <c r="E334" t="s">
        <v>22</v>
      </c>
      <c r="F334" t="s">
        <v>23</v>
      </c>
      <c r="G334">
        <v>1700</v>
      </c>
      <c r="H334">
        <v>30</v>
      </c>
      <c r="I334" t="s">
        <v>14</v>
      </c>
      <c r="J334" t="str">
        <f>_xlfn.XLOOKUP(C334,'product_masterlist(ifs)'!A:A,'product_masterlist(ifs)'!C:C,"N/A",0)</f>
        <v>Surgical</v>
      </c>
      <c r="K334">
        <f>VLOOKUP(C334,'product_masterlist(ifs)'!A:I,7,FALSE)</f>
        <v>40</v>
      </c>
    </row>
    <row r="335" spans="1:11" x14ac:dyDescent="0.35">
      <c r="A335" t="s">
        <v>529</v>
      </c>
      <c r="B335" s="1">
        <v>45846</v>
      </c>
      <c r="C335" t="s">
        <v>26</v>
      </c>
      <c r="D335">
        <v>17</v>
      </c>
      <c r="E335" t="s">
        <v>37</v>
      </c>
      <c r="F335" t="s">
        <v>13</v>
      </c>
      <c r="G335" t="s">
        <v>152</v>
      </c>
      <c r="H335">
        <v>14</v>
      </c>
      <c r="I335" t="s">
        <v>28</v>
      </c>
      <c r="J335" t="str">
        <f>_xlfn.XLOOKUP(C335,'product_masterlist(ifs)'!A:A,'product_masterlist(ifs)'!C:C,"N/A",0)</f>
        <v>Contact Lenses</v>
      </c>
      <c r="K335">
        <f>VLOOKUP(C335,'product_masterlist(ifs)'!A:I,7,FALSE)</f>
        <v>450</v>
      </c>
    </row>
    <row r="336" spans="1:11" x14ac:dyDescent="0.35">
      <c r="A336" t="s">
        <v>530</v>
      </c>
      <c r="B336" s="1">
        <v>45842</v>
      </c>
      <c r="C336" t="s">
        <v>42</v>
      </c>
      <c r="D336">
        <v>15</v>
      </c>
      <c r="E336" t="s">
        <v>37</v>
      </c>
      <c r="F336" t="s">
        <v>13</v>
      </c>
      <c r="G336">
        <v>375</v>
      </c>
      <c r="H336">
        <v>21</v>
      </c>
      <c r="I336" t="s">
        <v>14</v>
      </c>
      <c r="J336" t="str">
        <f>_xlfn.XLOOKUP(C336,'product_masterlist(ifs)'!A:A,'product_masterlist(ifs)'!C:C,"N/A",0)</f>
        <v>Contact Lenses</v>
      </c>
      <c r="K336">
        <f>VLOOKUP(C336,'product_masterlist(ifs)'!A:I,7,FALSE)</f>
        <v>120</v>
      </c>
    </row>
    <row r="337" spans="1:11" x14ac:dyDescent="0.35">
      <c r="A337" t="s">
        <v>531</v>
      </c>
      <c r="B337" t="s">
        <v>532</v>
      </c>
      <c r="C337" t="s">
        <v>90</v>
      </c>
      <c r="D337">
        <v>1</v>
      </c>
      <c r="E337" t="s">
        <v>12</v>
      </c>
      <c r="F337" t="s">
        <v>31</v>
      </c>
      <c r="G337" t="s">
        <v>109</v>
      </c>
      <c r="H337">
        <v>30</v>
      </c>
      <c r="I337" t="s">
        <v>14</v>
      </c>
      <c r="J337" t="str">
        <f>_xlfn.XLOOKUP(C337,'product_masterlist(ifs)'!A:A,'product_masterlist(ifs)'!C:C,"N/A",0)</f>
        <v>Frames</v>
      </c>
      <c r="K337">
        <f>VLOOKUP(C337,'product_masterlist(ifs)'!A:I,7,FALSE)</f>
        <v>180</v>
      </c>
    </row>
    <row r="338" spans="1:11" x14ac:dyDescent="0.35">
      <c r="A338" t="s">
        <v>533</v>
      </c>
      <c r="B338" t="s">
        <v>406</v>
      </c>
      <c r="C338" t="s">
        <v>11</v>
      </c>
      <c r="D338">
        <v>21</v>
      </c>
      <c r="E338" t="s">
        <v>20</v>
      </c>
      <c r="F338" t="s">
        <v>31</v>
      </c>
      <c r="G338">
        <v>1785</v>
      </c>
      <c r="H338">
        <v>30</v>
      </c>
      <c r="I338" t="s">
        <v>14</v>
      </c>
      <c r="J338" t="str">
        <f>_xlfn.XLOOKUP(C338,'product_masterlist(ifs)'!A:A,'product_masterlist(ifs)'!C:C,"N/A",0)</f>
        <v>Surgical</v>
      </c>
      <c r="K338">
        <f>VLOOKUP(C338,'product_masterlist(ifs)'!A:I,7,FALSE)</f>
        <v>40</v>
      </c>
    </row>
    <row r="339" spans="1:11" x14ac:dyDescent="0.35">
      <c r="A339" t="s">
        <v>534</v>
      </c>
      <c r="B339" t="s">
        <v>535</v>
      </c>
      <c r="C339" t="s">
        <v>33</v>
      </c>
      <c r="D339">
        <v>3</v>
      </c>
      <c r="E339" t="s">
        <v>20</v>
      </c>
      <c r="F339" t="s">
        <v>18</v>
      </c>
      <c r="G339">
        <v>450</v>
      </c>
      <c r="H339">
        <v>45</v>
      </c>
      <c r="I339" t="s">
        <v>34</v>
      </c>
      <c r="J339" t="str">
        <f>_xlfn.XLOOKUP(C339,'product_masterlist(ifs)'!A:A,'product_masterlist(ifs)'!C:C,"N/A",0)</f>
        <v>Surgical</v>
      </c>
      <c r="K339">
        <f>VLOOKUP(C339,'product_masterlist(ifs)'!A:I,7,FALSE)</f>
        <v>15</v>
      </c>
    </row>
    <row r="340" spans="1:11" x14ac:dyDescent="0.35">
      <c r="A340" t="s">
        <v>536</v>
      </c>
      <c r="B340" t="s">
        <v>271</v>
      </c>
      <c r="C340" t="s">
        <v>90</v>
      </c>
      <c r="D340">
        <v>21</v>
      </c>
      <c r="E340" t="s">
        <v>12</v>
      </c>
      <c r="F340" t="s">
        <v>18</v>
      </c>
      <c r="G340" t="s">
        <v>120</v>
      </c>
      <c r="H340">
        <v>30</v>
      </c>
      <c r="I340" t="s">
        <v>14</v>
      </c>
      <c r="J340" t="str">
        <f>_xlfn.XLOOKUP(C340,'product_masterlist(ifs)'!A:A,'product_masterlist(ifs)'!C:C,"N/A",0)</f>
        <v>Frames</v>
      </c>
      <c r="K340">
        <f>VLOOKUP(C340,'product_masterlist(ifs)'!A:I,7,FALSE)</f>
        <v>180</v>
      </c>
    </row>
    <row r="341" spans="1:11" x14ac:dyDescent="0.35">
      <c r="A341" t="s">
        <v>537</v>
      </c>
      <c r="B341" s="1">
        <v>45757</v>
      </c>
      <c r="C341" t="s">
        <v>26</v>
      </c>
      <c r="D341">
        <v>12</v>
      </c>
      <c r="E341" t="s">
        <v>37</v>
      </c>
      <c r="F341" t="s">
        <v>18</v>
      </c>
      <c r="G341">
        <v>150</v>
      </c>
      <c r="H341">
        <v>14</v>
      </c>
      <c r="I341" t="s">
        <v>28</v>
      </c>
      <c r="J341" t="str">
        <f>_xlfn.XLOOKUP(C341,'product_masterlist(ifs)'!A:A,'product_masterlist(ifs)'!C:C,"N/A",0)</f>
        <v>Contact Lenses</v>
      </c>
      <c r="K341">
        <f>VLOOKUP(C341,'product_masterlist(ifs)'!A:I,7,FALSE)</f>
        <v>450</v>
      </c>
    </row>
    <row r="342" spans="1:11" x14ac:dyDescent="0.35">
      <c r="A342" t="s">
        <v>538</v>
      </c>
      <c r="B342" s="1">
        <v>45908</v>
      </c>
      <c r="C342" t="s">
        <v>33</v>
      </c>
      <c r="D342">
        <v>20</v>
      </c>
      <c r="E342" t="s">
        <v>12</v>
      </c>
      <c r="F342" t="s">
        <v>23</v>
      </c>
      <c r="G342">
        <v>3000</v>
      </c>
      <c r="H342">
        <v>45</v>
      </c>
      <c r="I342" t="s">
        <v>34</v>
      </c>
      <c r="J342" t="str">
        <f>_xlfn.XLOOKUP(C342,'product_masterlist(ifs)'!A:A,'product_masterlist(ifs)'!C:C,"N/A",0)</f>
        <v>Surgical</v>
      </c>
      <c r="K342">
        <f>VLOOKUP(C342,'product_masterlist(ifs)'!A:I,7,FALSE)</f>
        <v>15</v>
      </c>
    </row>
    <row r="343" spans="1:11" x14ac:dyDescent="0.35">
      <c r="A343" t="s">
        <v>539</v>
      </c>
      <c r="B343" t="s">
        <v>395</v>
      </c>
      <c r="C343" t="s">
        <v>17</v>
      </c>
      <c r="D343">
        <v>22</v>
      </c>
      <c r="E343" t="s">
        <v>37</v>
      </c>
      <c r="F343" t="s">
        <v>13</v>
      </c>
      <c r="G343">
        <v>990</v>
      </c>
      <c r="H343">
        <v>30</v>
      </c>
      <c r="I343" t="s">
        <v>14</v>
      </c>
      <c r="J343" t="str">
        <f>_xlfn.XLOOKUP(C343,'product_masterlist(ifs)'!A:A,'product_masterlist(ifs)'!C:C,"N/A",0)</f>
        <v>Frames</v>
      </c>
      <c r="K343">
        <f>VLOOKUP(C343,'product_masterlist(ifs)'!A:I,7,FALSE)</f>
        <v>45</v>
      </c>
    </row>
    <row r="344" spans="1:11" x14ac:dyDescent="0.35">
      <c r="A344" t="s">
        <v>540</v>
      </c>
      <c r="B344" t="s">
        <v>30</v>
      </c>
      <c r="C344" t="s">
        <v>11</v>
      </c>
      <c r="D344">
        <v>10</v>
      </c>
      <c r="E344" t="s">
        <v>37</v>
      </c>
      <c r="F344" t="s">
        <v>31</v>
      </c>
      <c r="G344">
        <v>850</v>
      </c>
      <c r="H344">
        <v>30</v>
      </c>
      <c r="I344" t="s">
        <v>14</v>
      </c>
      <c r="J344" t="str">
        <f>_xlfn.XLOOKUP(C344,'product_masterlist(ifs)'!A:A,'product_masterlist(ifs)'!C:C,"N/A",0)</f>
        <v>Surgical</v>
      </c>
      <c r="K344">
        <f>VLOOKUP(C344,'product_masterlist(ifs)'!A:I,7,FALSE)</f>
        <v>40</v>
      </c>
    </row>
    <row r="345" spans="1:11" x14ac:dyDescent="0.35">
      <c r="A345" t="s">
        <v>541</v>
      </c>
      <c r="B345" s="1">
        <v>45727</v>
      </c>
      <c r="C345" t="s">
        <v>11</v>
      </c>
      <c r="D345">
        <v>11</v>
      </c>
      <c r="E345" t="s">
        <v>12</v>
      </c>
      <c r="F345" t="s">
        <v>31</v>
      </c>
      <c r="G345">
        <v>935</v>
      </c>
      <c r="H345">
        <v>30</v>
      </c>
      <c r="I345" t="s">
        <v>14</v>
      </c>
      <c r="J345" t="str">
        <f>_xlfn.XLOOKUP(C345,'product_masterlist(ifs)'!A:A,'product_masterlist(ifs)'!C:C,"N/A",0)</f>
        <v>Surgical</v>
      </c>
      <c r="K345">
        <f>VLOOKUP(C345,'product_masterlist(ifs)'!A:I,7,FALSE)</f>
        <v>40</v>
      </c>
    </row>
    <row r="346" spans="1:11" x14ac:dyDescent="0.35">
      <c r="A346" t="s">
        <v>542</v>
      </c>
      <c r="B346" s="1">
        <v>45694</v>
      </c>
      <c r="C346" t="s">
        <v>42</v>
      </c>
      <c r="D346">
        <v>12</v>
      </c>
      <c r="E346" t="s">
        <v>12</v>
      </c>
      <c r="F346" t="s">
        <v>23</v>
      </c>
      <c r="G346">
        <v>300</v>
      </c>
      <c r="H346">
        <v>21</v>
      </c>
      <c r="I346" t="s">
        <v>14</v>
      </c>
      <c r="J346" t="str">
        <f>_xlfn.XLOOKUP(C346,'product_masterlist(ifs)'!A:A,'product_masterlist(ifs)'!C:C,"N/A",0)</f>
        <v>Contact Lenses</v>
      </c>
      <c r="K346">
        <f>VLOOKUP(C346,'product_masterlist(ifs)'!A:I,7,FALSE)</f>
        <v>120</v>
      </c>
    </row>
    <row r="347" spans="1:11" x14ac:dyDescent="0.35">
      <c r="A347" t="s">
        <v>543</v>
      </c>
      <c r="B347" s="1">
        <v>45849</v>
      </c>
      <c r="C347" t="s">
        <v>53</v>
      </c>
      <c r="D347">
        <v>1</v>
      </c>
      <c r="E347" t="s">
        <v>12</v>
      </c>
      <c r="F347" t="s">
        <v>23</v>
      </c>
      <c r="G347" t="s">
        <v>372</v>
      </c>
      <c r="H347">
        <v>7</v>
      </c>
      <c r="I347" t="s">
        <v>28</v>
      </c>
      <c r="J347" t="str">
        <f>_xlfn.XLOOKUP(C347,'product_masterlist(ifs)'!A:A,'product_masterlist(ifs)'!C:C,"N/A",0)</f>
        <v>Solutions</v>
      </c>
      <c r="K347">
        <f>VLOOKUP(C347,'product_masterlist(ifs)'!A:I,7,FALSE)</f>
        <v>800</v>
      </c>
    </row>
    <row r="348" spans="1:11" x14ac:dyDescent="0.35">
      <c r="A348" t="s">
        <v>544</v>
      </c>
      <c r="B348" t="s">
        <v>545</v>
      </c>
      <c r="C348" t="s">
        <v>53</v>
      </c>
      <c r="D348">
        <v>12</v>
      </c>
      <c r="E348" t="s">
        <v>20</v>
      </c>
      <c r="F348" t="s">
        <v>31</v>
      </c>
      <c r="G348">
        <v>51</v>
      </c>
      <c r="H348">
        <v>7</v>
      </c>
      <c r="I348" t="s">
        <v>28</v>
      </c>
      <c r="J348" t="str">
        <f>_xlfn.XLOOKUP(C348,'product_masterlist(ifs)'!A:A,'product_masterlist(ifs)'!C:C,"N/A",0)</f>
        <v>Solutions</v>
      </c>
      <c r="K348">
        <f>VLOOKUP(C348,'product_masterlist(ifs)'!A:I,7,FALSE)</f>
        <v>800</v>
      </c>
    </row>
    <row r="349" spans="1:11" x14ac:dyDescent="0.35">
      <c r="A349" t="s">
        <v>546</v>
      </c>
      <c r="B349" t="s">
        <v>547</v>
      </c>
      <c r="C349" t="s">
        <v>11</v>
      </c>
      <c r="D349">
        <v>7</v>
      </c>
      <c r="E349" t="s">
        <v>22</v>
      </c>
      <c r="F349" t="s">
        <v>18</v>
      </c>
      <c r="G349">
        <v>595</v>
      </c>
      <c r="H349">
        <v>30</v>
      </c>
      <c r="I349" t="s">
        <v>14</v>
      </c>
      <c r="J349" t="str">
        <f>_xlfn.XLOOKUP(C349,'product_masterlist(ifs)'!A:A,'product_masterlist(ifs)'!C:C,"N/A",0)</f>
        <v>Surgical</v>
      </c>
      <c r="K349">
        <f>VLOOKUP(C349,'product_masterlist(ifs)'!A:I,7,FALSE)</f>
        <v>40</v>
      </c>
    </row>
    <row r="350" spans="1:11" x14ac:dyDescent="0.35">
      <c r="A350" t="s">
        <v>548</v>
      </c>
      <c r="B350" s="1">
        <v>45811</v>
      </c>
      <c r="C350" t="s">
        <v>33</v>
      </c>
      <c r="D350">
        <v>9</v>
      </c>
      <c r="E350" t="s">
        <v>37</v>
      </c>
      <c r="F350" t="s">
        <v>31</v>
      </c>
      <c r="G350">
        <v>1350</v>
      </c>
      <c r="H350">
        <v>45</v>
      </c>
      <c r="I350" t="s">
        <v>34</v>
      </c>
      <c r="J350" t="str">
        <f>_xlfn.XLOOKUP(C350,'product_masterlist(ifs)'!A:A,'product_masterlist(ifs)'!C:C,"N/A",0)</f>
        <v>Surgical</v>
      </c>
      <c r="K350">
        <f>VLOOKUP(C350,'product_masterlist(ifs)'!A:I,7,FALSE)</f>
        <v>15</v>
      </c>
    </row>
    <row r="351" spans="1:11" x14ac:dyDescent="0.35">
      <c r="A351" t="s">
        <v>549</v>
      </c>
      <c r="B351" t="s">
        <v>550</v>
      </c>
      <c r="C351" t="s">
        <v>33</v>
      </c>
      <c r="D351">
        <v>23</v>
      </c>
      <c r="E351" t="s">
        <v>20</v>
      </c>
      <c r="F351" t="s">
        <v>23</v>
      </c>
      <c r="G351">
        <v>3450</v>
      </c>
      <c r="H351">
        <v>45</v>
      </c>
      <c r="I351" t="s">
        <v>34</v>
      </c>
      <c r="J351" t="str">
        <f>_xlfn.XLOOKUP(C351,'product_masterlist(ifs)'!A:A,'product_masterlist(ifs)'!C:C,"N/A",0)</f>
        <v>Surgical</v>
      </c>
      <c r="K351">
        <f>VLOOKUP(C351,'product_masterlist(ifs)'!A:I,7,FALSE)</f>
        <v>15</v>
      </c>
    </row>
    <row r="352" spans="1:11" x14ac:dyDescent="0.35">
      <c r="A352" t="s">
        <v>551</v>
      </c>
      <c r="B352" t="s">
        <v>398</v>
      </c>
      <c r="C352" t="s">
        <v>33</v>
      </c>
      <c r="D352">
        <v>3</v>
      </c>
      <c r="E352" t="s">
        <v>20</v>
      </c>
      <c r="F352" t="s">
        <v>31</v>
      </c>
      <c r="G352">
        <v>450</v>
      </c>
      <c r="H352">
        <v>45</v>
      </c>
      <c r="I352" t="s">
        <v>34</v>
      </c>
      <c r="J352" t="str">
        <f>_xlfn.XLOOKUP(C352,'product_masterlist(ifs)'!A:A,'product_masterlist(ifs)'!C:C,"N/A",0)</f>
        <v>Surgical</v>
      </c>
      <c r="K352">
        <f>VLOOKUP(C352,'product_masterlist(ifs)'!A:I,7,FALSE)</f>
        <v>15</v>
      </c>
    </row>
    <row r="353" spans="1:11" x14ac:dyDescent="0.35">
      <c r="A353" t="s">
        <v>552</v>
      </c>
      <c r="B353" t="s">
        <v>553</v>
      </c>
      <c r="C353" t="s">
        <v>26</v>
      </c>
      <c r="D353">
        <v>1</v>
      </c>
      <c r="E353" t="s">
        <v>22</v>
      </c>
      <c r="F353" t="s">
        <v>13</v>
      </c>
      <c r="G353" t="s">
        <v>101</v>
      </c>
      <c r="H353">
        <v>14</v>
      </c>
      <c r="I353" t="s">
        <v>28</v>
      </c>
      <c r="J353" t="str">
        <f>_xlfn.XLOOKUP(C353,'product_masterlist(ifs)'!A:A,'product_masterlist(ifs)'!C:C,"N/A",0)</f>
        <v>Contact Lenses</v>
      </c>
      <c r="K353">
        <f>VLOOKUP(C353,'product_masterlist(ifs)'!A:I,7,FALSE)</f>
        <v>450</v>
      </c>
    </row>
    <row r="354" spans="1:11" x14ac:dyDescent="0.35">
      <c r="A354" t="s">
        <v>554</v>
      </c>
      <c r="B354" s="1">
        <v>45690</v>
      </c>
      <c r="C354" t="s">
        <v>33</v>
      </c>
      <c r="D354">
        <v>23</v>
      </c>
      <c r="E354" t="s">
        <v>37</v>
      </c>
      <c r="F354" t="s">
        <v>18</v>
      </c>
      <c r="G354">
        <v>3450</v>
      </c>
      <c r="H354">
        <v>45</v>
      </c>
      <c r="I354" t="s">
        <v>34</v>
      </c>
      <c r="J354" t="str">
        <f>_xlfn.XLOOKUP(C354,'product_masterlist(ifs)'!A:A,'product_masterlist(ifs)'!C:C,"N/A",0)</f>
        <v>Surgical</v>
      </c>
      <c r="K354">
        <f>VLOOKUP(C354,'product_masterlist(ifs)'!A:I,7,FALSE)</f>
        <v>15</v>
      </c>
    </row>
    <row r="355" spans="1:11" x14ac:dyDescent="0.35">
      <c r="A355" t="s">
        <v>555</v>
      </c>
      <c r="B355" t="s">
        <v>499</v>
      </c>
      <c r="C355" t="s">
        <v>26</v>
      </c>
      <c r="D355">
        <v>17</v>
      </c>
      <c r="E355" t="s">
        <v>20</v>
      </c>
      <c r="F355" t="s">
        <v>13</v>
      </c>
      <c r="G355" t="s">
        <v>152</v>
      </c>
      <c r="H355">
        <v>14</v>
      </c>
      <c r="I355" t="s">
        <v>28</v>
      </c>
      <c r="J355" t="str">
        <f>_xlfn.XLOOKUP(C355,'product_masterlist(ifs)'!A:A,'product_masterlist(ifs)'!C:C,"N/A",0)</f>
        <v>Contact Lenses</v>
      </c>
      <c r="K355">
        <f>VLOOKUP(C355,'product_masterlist(ifs)'!A:I,7,FALSE)</f>
        <v>450</v>
      </c>
    </row>
    <row r="356" spans="1:11" x14ac:dyDescent="0.35">
      <c r="A356" t="s">
        <v>556</v>
      </c>
      <c r="B356" t="s">
        <v>52</v>
      </c>
      <c r="C356" t="s">
        <v>33</v>
      </c>
      <c r="D356">
        <v>23</v>
      </c>
      <c r="E356" t="s">
        <v>22</v>
      </c>
      <c r="F356" t="s">
        <v>18</v>
      </c>
      <c r="G356">
        <v>3450</v>
      </c>
      <c r="H356">
        <v>45</v>
      </c>
      <c r="I356" t="s">
        <v>34</v>
      </c>
      <c r="J356" t="str">
        <f>_xlfn.XLOOKUP(C356,'product_masterlist(ifs)'!A:A,'product_masterlist(ifs)'!C:C,"N/A",0)</f>
        <v>Surgical</v>
      </c>
      <c r="K356">
        <f>VLOOKUP(C356,'product_masterlist(ifs)'!A:I,7,FALSE)</f>
        <v>15</v>
      </c>
    </row>
    <row r="357" spans="1:11" x14ac:dyDescent="0.35">
      <c r="A357" t="s">
        <v>557</v>
      </c>
      <c r="B357" s="1">
        <v>45726</v>
      </c>
      <c r="C357" t="s">
        <v>53</v>
      </c>
      <c r="D357">
        <v>4</v>
      </c>
      <c r="E357" t="s">
        <v>37</v>
      </c>
      <c r="F357" t="s">
        <v>18</v>
      </c>
      <c r="G357">
        <v>17</v>
      </c>
      <c r="H357">
        <v>7</v>
      </c>
      <c r="I357" t="s">
        <v>28</v>
      </c>
      <c r="J357" t="str">
        <f>_xlfn.XLOOKUP(C357,'product_masterlist(ifs)'!A:A,'product_masterlist(ifs)'!C:C,"N/A",0)</f>
        <v>Solutions</v>
      </c>
      <c r="K357">
        <f>VLOOKUP(C357,'product_masterlist(ifs)'!A:I,7,FALSE)</f>
        <v>800</v>
      </c>
    </row>
    <row r="358" spans="1:11" x14ac:dyDescent="0.35">
      <c r="A358" t="s">
        <v>558</v>
      </c>
      <c r="B358" s="1">
        <v>45658</v>
      </c>
      <c r="C358" t="s">
        <v>17</v>
      </c>
      <c r="D358">
        <v>23</v>
      </c>
      <c r="E358" t="s">
        <v>22</v>
      </c>
      <c r="F358" t="s">
        <v>13</v>
      </c>
      <c r="G358">
        <v>1035</v>
      </c>
      <c r="H358">
        <v>30</v>
      </c>
      <c r="I358" t="s">
        <v>14</v>
      </c>
      <c r="J358" t="str">
        <f>_xlfn.XLOOKUP(C358,'product_masterlist(ifs)'!A:A,'product_masterlist(ifs)'!C:C,"N/A",0)</f>
        <v>Frames</v>
      </c>
      <c r="K358">
        <f>VLOOKUP(C358,'product_masterlist(ifs)'!A:I,7,FALSE)</f>
        <v>45</v>
      </c>
    </row>
    <row r="359" spans="1:11" x14ac:dyDescent="0.35">
      <c r="A359" t="s">
        <v>559</v>
      </c>
      <c r="B359" s="1">
        <v>45812</v>
      </c>
      <c r="C359" t="s">
        <v>42</v>
      </c>
      <c r="D359">
        <v>23</v>
      </c>
      <c r="E359" t="s">
        <v>37</v>
      </c>
      <c r="F359" t="s">
        <v>31</v>
      </c>
      <c r="G359">
        <v>575</v>
      </c>
      <c r="H359">
        <v>21</v>
      </c>
      <c r="I359" t="s">
        <v>14</v>
      </c>
      <c r="J359" t="str">
        <f>_xlfn.XLOOKUP(C359,'product_masterlist(ifs)'!A:A,'product_masterlist(ifs)'!C:C,"N/A",0)</f>
        <v>Contact Lenses</v>
      </c>
      <c r="K359">
        <f>VLOOKUP(C359,'product_masterlist(ifs)'!A:I,7,FALSE)</f>
        <v>120</v>
      </c>
    </row>
    <row r="360" spans="1:11" x14ac:dyDescent="0.35">
      <c r="A360" t="s">
        <v>560</v>
      </c>
      <c r="B360" t="s">
        <v>561</v>
      </c>
      <c r="C360" t="s">
        <v>17</v>
      </c>
      <c r="D360">
        <v>22</v>
      </c>
      <c r="E360" t="s">
        <v>22</v>
      </c>
      <c r="F360" t="s">
        <v>23</v>
      </c>
      <c r="G360">
        <v>990</v>
      </c>
      <c r="H360">
        <v>30</v>
      </c>
      <c r="I360" t="s">
        <v>14</v>
      </c>
      <c r="J360" t="str">
        <f>_xlfn.XLOOKUP(C360,'product_masterlist(ifs)'!A:A,'product_masterlist(ifs)'!C:C,"N/A",0)</f>
        <v>Frames</v>
      </c>
      <c r="K360">
        <f>VLOOKUP(C360,'product_masterlist(ifs)'!A:I,7,FALSE)</f>
        <v>45</v>
      </c>
    </row>
    <row r="361" spans="1:11" x14ac:dyDescent="0.35">
      <c r="A361" t="s">
        <v>562</v>
      </c>
      <c r="B361" t="s">
        <v>439</v>
      </c>
      <c r="C361" t="s">
        <v>17</v>
      </c>
      <c r="D361">
        <v>14</v>
      </c>
      <c r="E361" t="s">
        <v>12</v>
      </c>
      <c r="F361" t="s">
        <v>18</v>
      </c>
      <c r="G361">
        <v>630</v>
      </c>
      <c r="H361">
        <v>30</v>
      </c>
      <c r="I361" t="s">
        <v>14</v>
      </c>
      <c r="J361" t="str">
        <f>_xlfn.XLOOKUP(C361,'product_masterlist(ifs)'!A:A,'product_masterlist(ifs)'!C:C,"N/A",0)</f>
        <v>Frames</v>
      </c>
      <c r="K361">
        <f>VLOOKUP(C361,'product_masterlist(ifs)'!A:I,7,FALSE)</f>
        <v>45</v>
      </c>
    </row>
    <row r="362" spans="1:11" x14ac:dyDescent="0.35">
      <c r="A362" t="s">
        <v>563</v>
      </c>
      <c r="B362" s="1">
        <v>45812</v>
      </c>
      <c r="C362" t="s">
        <v>42</v>
      </c>
      <c r="D362">
        <v>23</v>
      </c>
      <c r="E362" t="s">
        <v>12</v>
      </c>
      <c r="F362" t="s">
        <v>31</v>
      </c>
      <c r="G362">
        <v>575</v>
      </c>
      <c r="H362">
        <v>21</v>
      </c>
      <c r="I362" t="s">
        <v>14</v>
      </c>
      <c r="J362" t="str">
        <f>_xlfn.XLOOKUP(C362,'product_masterlist(ifs)'!A:A,'product_masterlist(ifs)'!C:C,"N/A",0)</f>
        <v>Contact Lenses</v>
      </c>
      <c r="K362">
        <f>VLOOKUP(C362,'product_masterlist(ifs)'!A:I,7,FALSE)</f>
        <v>120</v>
      </c>
    </row>
    <row r="363" spans="1:11" x14ac:dyDescent="0.35">
      <c r="A363" t="s">
        <v>564</v>
      </c>
      <c r="B363" t="s">
        <v>565</v>
      </c>
      <c r="C363" t="s">
        <v>17</v>
      </c>
      <c r="D363">
        <v>3</v>
      </c>
      <c r="E363" t="s">
        <v>20</v>
      </c>
      <c r="F363" t="s">
        <v>13</v>
      </c>
      <c r="G363">
        <v>135</v>
      </c>
      <c r="H363">
        <v>30</v>
      </c>
      <c r="I363" t="s">
        <v>14</v>
      </c>
      <c r="J363" t="str">
        <f>_xlfn.XLOOKUP(C363,'product_masterlist(ifs)'!A:A,'product_masterlist(ifs)'!C:C,"N/A",0)</f>
        <v>Frames</v>
      </c>
      <c r="K363">
        <f>VLOOKUP(C363,'product_masterlist(ifs)'!A:I,7,FALSE)</f>
        <v>45</v>
      </c>
    </row>
    <row r="364" spans="1:11" x14ac:dyDescent="0.35">
      <c r="A364" t="s">
        <v>566</v>
      </c>
      <c r="B364" t="s">
        <v>567</v>
      </c>
      <c r="C364" t="s">
        <v>17</v>
      </c>
      <c r="D364">
        <v>11</v>
      </c>
      <c r="E364" t="s">
        <v>20</v>
      </c>
      <c r="F364" t="s">
        <v>13</v>
      </c>
      <c r="G364">
        <v>495</v>
      </c>
      <c r="H364">
        <v>30</v>
      </c>
      <c r="I364" t="s">
        <v>14</v>
      </c>
      <c r="J364" t="str">
        <f>_xlfn.XLOOKUP(C364,'product_masterlist(ifs)'!A:A,'product_masterlist(ifs)'!C:C,"N/A",0)</f>
        <v>Frames</v>
      </c>
      <c r="K364">
        <f>VLOOKUP(C364,'product_masterlist(ifs)'!A:I,7,FALSE)</f>
        <v>45</v>
      </c>
    </row>
    <row r="365" spans="1:11" x14ac:dyDescent="0.35">
      <c r="A365" t="s">
        <v>568</v>
      </c>
      <c r="B365" t="s">
        <v>569</v>
      </c>
      <c r="C365" t="s">
        <v>90</v>
      </c>
      <c r="D365">
        <v>17</v>
      </c>
      <c r="E365" t="s">
        <v>22</v>
      </c>
      <c r="F365" t="s">
        <v>31</v>
      </c>
      <c r="G365" t="s">
        <v>362</v>
      </c>
      <c r="H365">
        <v>30</v>
      </c>
      <c r="I365" t="s">
        <v>14</v>
      </c>
      <c r="J365" t="str">
        <f>_xlfn.XLOOKUP(C365,'product_masterlist(ifs)'!A:A,'product_masterlist(ifs)'!C:C,"N/A",0)</f>
        <v>Frames</v>
      </c>
      <c r="K365">
        <f>VLOOKUP(C365,'product_masterlist(ifs)'!A:I,7,FALSE)</f>
        <v>180</v>
      </c>
    </row>
    <row r="366" spans="1:11" x14ac:dyDescent="0.35">
      <c r="A366" t="s">
        <v>570</v>
      </c>
      <c r="B366" t="s">
        <v>208</v>
      </c>
      <c r="C366" t="s">
        <v>90</v>
      </c>
      <c r="D366">
        <v>1</v>
      </c>
      <c r="E366" t="s">
        <v>20</v>
      </c>
      <c r="F366" t="s">
        <v>18</v>
      </c>
      <c r="G366" t="s">
        <v>109</v>
      </c>
      <c r="H366">
        <v>30</v>
      </c>
      <c r="I366" t="s">
        <v>14</v>
      </c>
      <c r="J366" t="str">
        <f>_xlfn.XLOOKUP(C366,'product_masterlist(ifs)'!A:A,'product_masterlist(ifs)'!C:C,"N/A",0)</f>
        <v>Frames</v>
      </c>
      <c r="K366">
        <f>VLOOKUP(C366,'product_masterlist(ifs)'!A:I,7,FALSE)</f>
        <v>180</v>
      </c>
    </row>
    <row r="367" spans="1:11" x14ac:dyDescent="0.35">
      <c r="A367" t="s">
        <v>571</v>
      </c>
      <c r="B367" t="s">
        <v>196</v>
      </c>
      <c r="C367" t="s">
        <v>42</v>
      </c>
      <c r="D367">
        <v>16</v>
      </c>
      <c r="E367" t="s">
        <v>20</v>
      </c>
      <c r="F367" t="s">
        <v>18</v>
      </c>
      <c r="G367">
        <v>400</v>
      </c>
      <c r="H367">
        <v>21</v>
      </c>
      <c r="I367" t="s">
        <v>14</v>
      </c>
      <c r="J367" t="str">
        <f>_xlfn.XLOOKUP(C367,'product_masterlist(ifs)'!A:A,'product_masterlist(ifs)'!C:C,"N/A",0)</f>
        <v>Contact Lenses</v>
      </c>
      <c r="K367">
        <f>VLOOKUP(C367,'product_masterlist(ifs)'!A:I,7,FALSE)</f>
        <v>120</v>
      </c>
    </row>
    <row r="368" spans="1:11" x14ac:dyDescent="0.35">
      <c r="A368" t="s">
        <v>572</v>
      </c>
      <c r="B368" t="s">
        <v>233</v>
      </c>
      <c r="C368" t="s">
        <v>11</v>
      </c>
      <c r="D368">
        <v>19</v>
      </c>
      <c r="E368" t="s">
        <v>22</v>
      </c>
      <c r="F368" t="s">
        <v>13</v>
      </c>
      <c r="G368">
        <v>1615</v>
      </c>
      <c r="H368">
        <v>30</v>
      </c>
      <c r="I368" t="s">
        <v>14</v>
      </c>
      <c r="J368" t="str">
        <f>_xlfn.XLOOKUP(C368,'product_masterlist(ifs)'!A:A,'product_masterlist(ifs)'!C:C,"N/A",0)</f>
        <v>Surgical</v>
      </c>
      <c r="K368">
        <f>VLOOKUP(C368,'product_masterlist(ifs)'!A:I,7,FALSE)</f>
        <v>40</v>
      </c>
    </row>
    <row r="369" spans="1:11" x14ac:dyDescent="0.35">
      <c r="A369" t="s">
        <v>573</v>
      </c>
      <c r="B369" t="s">
        <v>173</v>
      </c>
      <c r="C369" t="s">
        <v>90</v>
      </c>
      <c r="D369">
        <v>21</v>
      </c>
      <c r="E369" t="s">
        <v>20</v>
      </c>
      <c r="F369" t="s">
        <v>18</v>
      </c>
      <c r="G369" t="s">
        <v>120</v>
      </c>
      <c r="H369">
        <v>30</v>
      </c>
      <c r="I369" t="s">
        <v>14</v>
      </c>
      <c r="J369" t="str">
        <f>_xlfn.XLOOKUP(C369,'product_masterlist(ifs)'!A:A,'product_masterlist(ifs)'!C:C,"N/A",0)</f>
        <v>Frames</v>
      </c>
      <c r="K369">
        <f>VLOOKUP(C369,'product_masterlist(ifs)'!A:I,7,FALSE)</f>
        <v>180</v>
      </c>
    </row>
    <row r="370" spans="1:11" x14ac:dyDescent="0.35">
      <c r="A370" t="s">
        <v>574</v>
      </c>
      <c r="B370" t="s">
        <v>575</v>
      </c>
      <c r="C370" t="s">
        <v>53</v>
      </c>
      <c r="D370">
        <v>23</v>
      </c>
      <c r="E370" t="s">
        <v>37</v>
      </c>
      <c r="F370" t="s">
        <v>23</v>
      </c>
      <c r="G370" t="s">
        <v>576</v>
      </c>
      <c r="H370">
        <v>7</v>
      </c>
      <c r="I370" t="s">
        <v>28</v>
      </c>
      <c r="J370" t="str">
        <f>_xlfn.XLOOKUP(C370,'product_masterlist(ifs)'!A:A,'product_masterlist(ifs)'!C:C,"N/A",0)</f>
        <v>Solutions</v>
      </c>
      <c r="K370">
        <f>VLOOKUP(C370,'product_masterlist(ifs)'!A:I,7,FALSE)</f>
        <v>800</v>
      </c>
    </row>
    <row r="371" spans="1:11" x14ac:dyDescent="0.35">
      <c r="A371" t="s">
        <v>577</v>
      </c>
      <c r="B371" t="s">
        <v>60</v>
      </c>
      <c r="C371" t="s">
        <v>33</v>
      </c>
      <c r="D371">
        <v>10</v>
      </c>
      <c r="E371" t="s">
        <v>22</v>
      </c>
      <c r="F371" t="s">
        <v>13</v>
      </c>
      <c r="G371">
        <v>1500</v>
      </c>
      <c r="H371">
        <v>45</v>
      </c>
      <c r="I371" t="s">
        <v>34</v>
      </c>
      <c r="J371" t="str">
        <f>_xlfn.XLOOKUP(C371,'product_masterlist(ifs)'!A:A,'product_masterlist(ifs)'!C:C,"N/A",0)</f>
        <v>Surgical</v>
      </c>
      <c r="K371">
        <f>VLOOKUP(C371,'product_masterlist(ifs)'!A:I,7,FALSE)</f>
        <v>15</v>
      </c>
    </row>
    <row r="372" spans="1:11" x14ac:dyDescent="0.35">
      <c r="A372" t="s">
        <v>578</v>
      </c>
      <c r="B372" t="s">
        <v>271</v>
      </c>
      <c r="C372" t="s">
        <v>11</v>
      </c>
      <c r="D372">
        <v>8</v>
      </c>
      <c r="E372" t="s">
        <v>20</v>
      </c>
      <c r="F372" t="s">
        <v>18</v>
      </c>
      <c r="G372">
        <v>680</v>
      </c>
      <c r="H372">
        <v>30</v>
      </c>
      <c r="I372" t="s">
        <v>14</v>
      </c>
      <c r="J372" t="str">
        <f>_xlfn.XLOOKUP(C372,'product_masterlist(ifs)'!A:A,'product_masterlist(ifs)'!C:C,"N/A",0)</f>
        <v>Surgical</v>
      </c>
      <c r="K372">
        <f>VLOOKUP(C372,'product_masterlist(ifs)'!A:I,7,FALSE)</f>
        <v>40</v>
      </c>
    </row>
    <row r="373" spans="1:11" x14ac:dyDescent="0.35">
      <c r="A373" t="s">
        <v>579</v>
      </c>
      <c r="B373" s="1">
        <v>45780</v>
      </c>
      <c r="C373" t="s">
        <v>90</v>
      </c>
      <c r="D373">
        <v>21</v>
      </c>
      <c r="E373" t="s">
        <v>12</v>
      </c>
      <c r="F373" t="s">
        <v>31</v>
      </c>
      <c r="G373" t="s">
        <v>120</v>
      </c>
      <c r="H373">
        <v>30</v>
      </c>
      <c r="I373" t="s">
        <v>14</v>
      </c>
      <c r="J373" t="str">
        <f>_xlfn.XLOOKUP(C373,'product_masterlist(ifs)'!A:A,'product_masterlist(ifs)'!C:C,"N/A",0)</f>
        <v>Frames</v>
      </c>
      <c r="K373">
        <f>VLOOKUP(C373,'product_masterlist(ifs)'!A:I,7,FALSE)</f>
        <v>180</v>
      </c>
    </row>
    <row r="374" spans="1:11" x14ac:dyDescent="0.35">
      <c r="A374" t="s">
        <v>580</v>
      </c>
      <c r="B374" s="1">
        <v>45872</v>
      </c>
      <c r="C374" t="s">
        <v>90</v>
      </c>
      <c r="D374">
        <v>22</v>
      </c>
      <c r="E374" t="s">
        <v>20</v>
      </c>
      <c r="F374" t="s">
        <v>23</v>
      </c>
      <c r="G374">
        <v>1067</v>
      </c>
      <c r="H374">
        <v>30</v>
      </c>
      <c r="I374" t="s">
        <v>14</v>
      </c>
      <c r="J374" t="str">
        <f>_xlfn.XLOOKUP(C374,'product_masterlist(ifs)'!A:A,'product_masterlist(ifs)'!C:C,"N/A",0)</f>
        <v>Frames</v>
      </c>
      <c r="K374">
        <f>VLOOKUP(C374,'product_masterlist(ifs)'!A:I,7,FALSE)</f>
        <v>180</v>
      </c>
    </row>
    <row r="375" spans="1:11" x14ac:dyDescent="0.35">
      <c r="A375" t="s">
        <v>581</v>
      </c>
      <c r="B375" t="s">
        <v>582</v>
      </c>
      <c r="C375" t="s">
        <v>11</v>
      </c>
      <c r="D375">
        <v>13</v>
      </c>
      <c r="E375" t="s">
        <v>20</v>
      </c>
      <c r="F375" t="s">
        <v>18</v>
      </c>
      <c r="G375">
        <v>1105</v>
      </c>
      <c r="H375">
        <v>30</v>
      </c>
      <c r="I375" t="s">
        <v>14</v>
      </c>
      <c r="J375" t="str">
        <f>_xlfn.XLOOKUP(C375,'product_masterlist(ifs)'!A:A,'product_masterlist(ifs)'!C:C,"N/A",0)</f>
        <v>Surgical</v>
      </c>
      <c r="K375">
        <f>VLOOKUP(C375,'product_masterlist(ifs)'!A:I,7,FALSE)</f>
        <v>40</v>
      </c>
    </row>
    <row r="376" spans="1:11" x14ac:dyDescent="0.35">
      <c r="A376" t="s">
        <v>583</v>
      </c>
      <c r="B376" t="s">
        <v>584</v>
      </c>
      <c r="C376" t="s">
        <v>42</v>
      </c>
      <c r="D376">
        <v>23</v>
      </c>
      <c r="E376" t="s">
        <v>20</v>
      </c>
      <c r="F376" t="s">
        <v>31</v>
      </c>
      <c r="G376">
        <v>575</v>
      </c>
      <c r="H376">
        <v>21</v>
      </c>
      <c r="I376" t="s">
        <v>14</v>
      </c>
      <c r="J376" t="str">
        <f>_xlfn.XLOOKUP(C376,'product_masterlist(ifs)'!A:A,'product_masterlist(ifs)'!C:C,"N/A",0)</f>
        <v>Contact Lenses</v>
      </c>
      <c r="K376">
        <f>VLOOKUP(C376,'product_masterlist(ifs)'!A:I,7,FALSE)</f>
        <v>120</v>
      </c>
    </row>
    <row r="377" spans="1:11" x14ac:dyDescent="0.35">
      <c r="A377" t="s">
        <v>585</v>
      </c>
      <c r="B377" t="s">
        <v>379</v>
      </c>
      <c r="C377" t="s">
        <v>42</v>
      </c>
      <c r="D377">
        <v>15</v>
      </c>
      <c r="E377" t="s">
        <v>20</v>
      </c>
      <c r="F377" t="s">
        <v>31</v>
      </c>
      <c r="G377">
        <v>375</v>
      </c>
      <c r="H377">
        <v>21</v>
      </c>
      <c r="I377" t="s">
        <v>14</v>
      </c>
      <c r="J377" t="str">
        <f>_xlfn.XLOOKUP(C377,'product_masterlist(ifs)'!A:A,'product_masterlist(ifs)'!C:C,"N/A",0)</f>
        <v>Contact Lenses</v>
      </c>
      <c r="K377">
        <f>VLOOKUP(C377,'product_masterlist(ifs)'!A:I,7,FALSE)</f>
        <v>120</v>
      </c>
    </row>
    <row r="378" spans="1:11" x14ac:dyDescent="0.35">
      <c r="A378" t="s">
        <v>586</v>
      </c>
      <c r="B378" t="s">
        <v>119</v>
      </c>
      <c r="C378" t="s">
        <v>17</v>
      </c>
      <c r="D378">
        <v>17</v>
      </c>
      <c r="E378" t="s">
        <v>22</v>
      </c>
      <c r="F378" t="s">
        <v>23</v>
      </c>
      <c r="G378">
        <v>765</v>
      </c>
      <c r="H378">
        <v>30</v>
      </c>
      <c r="I378" t="s">
        <v>14</v>
      </c>
      <c r="J378" t="str">
        <f>_xlfn.XLOOKUP(C378,'product_masterlist(ifs)'!A:A,'product_masterlist(ifs)'!C:C,"N/A",0)</f>
        <v>Frames</v>
      </c>
      <c r="K378">
        <f>VLOOKUP(C378,'product_masterlist(ifs)'!A:I,7,FALSE)</f>
        <v>45</v>
      </c>
    </row>
    <row r="379" spans="1:11" x14ac:dyDescent="0.35">
      <c r="A379" t="s">
        <v>587</v>
      </c>
      <c r="B379" t="s">
        <v>588</v>
      </c>
      <c r="C379" t="s">
        <v>17</v>
      </c>
      <c r="D379">
        <v>20</v>
      </c>
      <c r="E379" t="s">
        <v>22</v>
      </c>
      <c r="F379" t="s">
        <v>13</v>
      </c>
      <c r="G379">
        <v>900</v>
      </c>
      <c r="H379">
        <v>30</v>
      </c>
      <c r="I379" t="s">
        <v>14</v>
      </c>
      <c r="J379" t="str">
        <f>_xlfn.XLOOKUP(C379,'product_masterlist(ifs)'!A:A,'product_masterlist(ifs)'!C:C,"N/A",0)</f>
        <v>Frames</v>
      </c>
      <c r="K379">
        <f>VLOOKUP(C379,'product_masterlist(ifs)'!A:I,7,FALSE)</f>
        <v>45</v>
      </c>
    </row>
    <row r="380" spans="1:11" x14ac:dyDescent="0.35">
      <c r="A380" t="s">
        <v>589</v>
      </c>
      <c r="B380" s="1">
        <v>45940</v>
      </c>
      <c r="C380" t="s">
        <v>42</v>
      </c>
      <c r="D380">
        <v>1</v>
      </c>
      <c r="E380" t="s">
        <v>20</v>
      </c>
      <c r="F380" t="s">
        <v>23</v>
      </c>
      <c r="G380">
        <v>25</v>
      </c>
      <c r="H380">
        <v>21</v>
      </c>
      <c r="I380" t="s">
        <v>14</v>
      </c>
      <c r="J380" t="str">
        <f>_xlfn.XLOOKUP(C380,'product_masterlist(ifs)'!A:A,'product_masterlist(ifs)'!C:C,"N/A",0)</f>
        <v>Contact Lenses</v>
      </c>
      <c r="K380">
        <f>VLOOKUP(C380,'product_masterlist(ifs)'!A:I,7,FALSE)</f>
        <v>120</v>
      </c>
    </row>
    <row r="381" spans="1:11" x14ac:dyDescent="0.35">
      <c r="A381" t="s">
        <v>590</v>
      </c>
      <c r="B381" t="s">
        <v>591</v>
      </c>
      <c r="C381" t="s">
        <v>17</v>
      </c>
      <c r="D381">
        <v>15</v>
      </c>
      <c r="E381" t="s">
        <v>22</v>
      </c>
      <c r="F381" t="s">
        <v>13</v>
      </c>
      <c r="G381">
        <v>675</v>
      </c>
      <c r="H381">
        <v>30</v>
      </c>
      <c r="I381" t="s">
        <v>14</v>
      </c>
      <c r="J381" t="str">
        <f>_xlfn.XLOOKUP(C381,'product_masterlist(ifs)'!A:A,'product_masterlist(ifs)'!C:C,"N/A",0)</f>
        <v>Frames</v>
      </c>
      <c r="K381">
        <f>VLOOKUP(C381,'product_masterlist(ifs)'!A:I,7,FALSE)</f>
        <v>45</v>
      </c>
    </row>
    <row r="382" spans="1:11" x14ac:dyDescent="0.35">
      <c r="A382" t="s">
        <v>592</v>
      </c>
      <c r="B382" s="1">
        <v>45784</v>
      </c>
      <c r="C382" t="s">
        <v>11</v>
      </c>
      <c r="D382">
        <v>22</v>
      </c>
      <c r="E382" t="s">
        <v>20</v>
      </c>
      <c r="F382" t="s">
        <v>18</v>
      </c>
      <c r="G382">
        <v>1870</v>
      </c>
      <c r="H382">
        <v>30</v>
      </c>
      <c r="I382" t="s">
        <v>14</v>
      </c>
      <c r="J382" t="str">
        <f>_xlfn.XLOOKUP(C382,'product_masterlist(ifs)'!A:A,'product_masterlist(ifs)'!C:C,"N/A",0)</f>
        <v>Surgical</v>
      </c>
      <c r="K382">
        <f>VLOOKUP(C382,'product_masterlist(ifs)'!A:I,7,FALSE)</f>
        <v>40</v>
      </c>
    </row>
    <row r="383" spans="1:11" x14ac:dyDescent="0.35">
      <c r="A383" t="s">
        <v>593</v>
      </c>
      <c r="B383" t="s">
        <v>62</v>
      </c>
      <c r="C383" t="s">
        <v>11</v>
      </c>
      <c r="D383">
        <v>18</v>
      </c>
      <c r="E383" t="s">
        <v>22</v>
      </c>
      <c r="F383" t="s">
        <v>13</v>
      </c>
      <c r="G383">
        <v>1530</v>
      </c>
      <c r="H383">
        <v>30</v>
      </c>
      <c r="I383" t="s">
        <v>14</v>
      </c>
      <c r="J383" t="str">
        <f>_xlfn.XLOOKUP(C383,'product_masterlist(ifs)'!A:A,'product_masterlist(ifs)'!C:C,"N/A",0)</f>
        <v>Surgical</v>
      </c>
      <c r="K383">
        <f>VLOOKUP(C383,'product_masterlist(ifs)'!A:I,7,FALSE)</f>
        <v>40</v>
      </c>
    </row>
    <row r="384" spans="1:11" x14ac:dyDescent="0.35">
      <c r="A384" t="s">
        <v>594</v>
      </c>
      <c r="B384" t="s">
        <v>135</v>
      </c>
      <c r="C384" t="s">
        <v>42</v>
      </c>
      <c r="D384">
        <v>12</v>
      </c>
      <c r="E384" t="s">
        <v>20</v>
      </c>
      <c r="F384" t="s">
        <v>31</v>
      </c>
      <c r="G384">
        <v>300</v>
      </c>
      <c r="H384">
        <v>21</v>
      </c>
      <c r="I384" t="s">
        <v>14</v>
      </c>
      <c r="J384" t="str">
        <f>_xlfn.XLOOKUP(C384,'product_masterlist(ifs)'!A:A,'product_masterlist(ifs)'!C:C,"N/A",0)</f>
        <v>Contact Lenses</v>
      </c>
      <c r="K384">
        <f>VLOOKUP(C384,'product_masterlist(ifs)'!A:I,7,FALSE)</f>
        <v>120</v>
      </c>
    </row>
    <row r="385" spans="1:11" x14ac:dyDescent="0.35">
      <c r="A385" t="s">
        <v>595</v>
      </c>
      <c r="B385" t="s">
        <v>117</v>
      </c>
      <c r="C385" t="s">
        <v>11</v>
      </c>
      <c r="D385">
        <v>4</v>
      </c>
      <c r="E385" t="s">
        <v>12</v>
      </c>
      <c r="F385" t="s">
        <v>13</v>
      </c>
      <c r="G385">
        <v>340</v>
      </c>
      <c r="H385">
        <v>30</v>
      </c>
      <c r="I385" t="s">
        <v>14</v>
      </c>
      <c r="J385" t="str">
        <f>_xlfn.XLOOKUP(C385,'product_masterlist(ifs)'!A:A,'product_masterlist(ifs)'!C:C,"N/A",0)</f>
        <v>Surgical</v>
      </c>
      <c r="K385">
        <f>VLOOKUP(C385,'product_masterlist(ifs)'!A:I,7,FALSE)</f>
        <v>40</v>
      </c>
    </row>
    <row r="386" spans="1:11" x14ac:dyDescent="0.35">
      <c r="A386" t="s">
        <v>596</v>
      </c>
      <c r="B386" t="s">
        <v>159</v>
      </c>
      <c r="C386" t="s">
        <v>26</v>
      </c>
      <c r="D386">
        <v>21</v>
      </c>
      <c r="E386" t="s">
        <v>37</v>
      </c>
      <c r="F386" t="s">
        <v>18</v>
      </c>
      <c r="G386" t="s">
        <v>366</v>
      </c>
      <c r="H386">
        <v>14</v>
      </c>
      <c r="I386" t="s">
        <v>28</v>
      </c>
      <c r="J386" t="str">
        <f>_xlfn.XLOOKUP(C386,'product_masterlist(ifs)'!A:A,'product_masterlist(ifs)'!C:C,"N/A",0)</f>
        <v>Contact Lenses</v>
      </c>
      <c r="K386">
        <f>VLOOKUP(C386,'product_masterlist(ifs)'!A:I,7,FALSE)</f>
        <v>450</v>
      </c>
    </row>
    <row r="387" spans="1:11" x14ac:dyDescent="0.35">
      <c r="A387" t="s">
        <v>597</v>
      </c>
      <c r="B387" s="1">
        <v>45969</v>
      </c>
      <c r="C387" t="s">
        <v>42</v>
      </c>
      <c r="D387">
        <v>22</v>
      </c>
      <c r="E387" t="s">
        <v>37</v>
      </c>
      <c r="F387" t="s">
        <v>31</v>
      </c>
      <c r="G387">
        <v>550</v>
      </c>
      <c r="H387">
        <v>21</v>
      </c>
      <c r="I387" t="s">
        <v>14</v>
      </c>
      <c r="J387" t="str">
        <f>_xlfn.XLOOKUP(C387,'product_masterlist(ifs)'!A:A,'product_masterlist(ifs)'!C:C,"N/A",0)</f>
        <v>Contact Lenses</v>
      </c>
      <c r="K387">
        <f>VLOOKUP(C387,'product_masterlist(ifs)'!A:I,7,FALSE)</f>
        <v>120</v>
      </c>
    </row>
    <row r="388" spans="1:11" x14ac:dyDescent="0.35">
      <c r="A388" t="s">
        <v>598</v>
      </c>
      <c r="B388" t="s">
        <v>599</v>
      </c>
      <c r="C388" t="s">
        <v>33</v>
      </c>
      <c r="D388">
        <v>20</v>
      </c>
      <c r="E388" t="s">
        <v>22</v>
      </c>
      <c r="F388" t="s">
        <v>13</v>
      </c>
      <c r="G388">
        <v>3000</v>
      </c>
      <c r="H388">
        <v>45</v>
      </c>
      <c r="I388" t="s">
        <v>34</v>
      </c>
      <c r="J388" t="str">
        <f>_xlfn.XLOOKUP(C388,'product_masterlist(ifs)'!A:A,'product_masterlist(ifs)'!C:C,"N/A",0)</f>
        <v>Surgical</v>
      </c>
      <c r="K388">
        <f>VLOOKUP(C388,'product_masterlist(ifs)'!A:I,7,FALSE)</f>
        <v>15</v>
      </c>
    </row>
    <row r="389" spans="1:11" x14ac:dyDescent="0.35">
      <c r="A389" t="s">
        <v>600</v>
      </c>
      <c r="B389" s="1">
        <v>45692</v>
      </c>
      <c r="C389" t="s">
        <v>11</v>
      </c>
      <c r="D389">
        <v>14</v>
      </c>
      <c r="E389" t="s">
        <v>12</v>
      </c>
      <c r="F389" t="s">
        <v>13</v>
      </c>
      <c r="G389">
        <v>1190</v>
      </c>
      <c r="H389">
        <v>30</v>
      </c>
      <c r="I389" t="s">
        <v>14</v>
      </c>
      <c r="J389" t="str">
        <f>_xlfn.XLOOKUP(C389,'product_masterlist(ifs)'!A:A,'product_masterlist(ifs)'!C:C,"N/A",0)</f>
        <v>Surgical</v>
      </c>
      <c r="K389">
        <f>VLOOKUP(C389,'product_masterlist(ifs)'!A:I,7,FALSE)</f>
        <v>40</v>
      </c>
    </row>
    <row r="390" spans="1:11" x14ac:dyDescent="0.35">
      <c r="A390" t="s">
        <v>601</v>
      </c>
      <c r="B390" t="s">
        <v>499</v>
      </c>
      <c r="C390" t="s">
        <v>33</v>
      </c>
      <c r="D390">
        <v>12</v>
      </c>
      <c r="E390" t="s">
        <v>22</v>
      </c>
      <c r="F390" t="s">
        <v>23</v>
      </c>
      <c r="G390">
        <v>1800</v>
      </c>
      <c r="H390">
        <v>45</v>
      </c>
      <c r="I390" t="s">
        <v>34</v>
      </c>
      <c r="J390" t="str">
        <f>_xlfn.XLOOKUP(C390,'product_masterlist(ifs)'!A:A,'product_masterlist(ifs)'!C:C,"N/A",0)</f>
        <v>Surgical</v>
      </c>
      <c r="K390">
        <f>VLOOKUP(C390,'product_masterlist(ifs)'!A:I,7,FALSE)</f>
        <v>15</v>
      </c>
    </row>
    <row r="391" spans="1:11" x14ac:dyDescent="0.35">
      <c r="A391" t="s">
        <v>602</v>
      </c>
      <c r="B391" t="s">
        <v>462</v>
      </c>
      <c r="C391" t="s">
        <v>90</v>
      </c>
      <c r="D391">
        <v>6</v>
      </c>
      <c r="E391" t="s">
        <v>12</v>
      </c>
      <c r="F391" t="s">
        <v>18</v>
      </c>
      <c r="G391">
        <v>291</v>
      </c>
      <c r="H391">
        <v>30</v>
      </c>
      <c r="I391" t="s">
        <v>14</v>
      </c>
      <c r="J391" t="str">
        <f>_xlfn.XLOOKUP(C391,'product_masterlist(ifs)'!A:A,'product_masterlist(ifs)'!C:C,"N/A",0)</f>
        <v>Frames</v>
      </c>
      <c r="K391">
        <f>VLOOKUP(C391,'product_masterlist(ifs)'!A:I,7,FALSE)</f>
        <v>180</v>
      </c>
    </row>
    <row r="392" spans="1:11" x14ac:dyDescent="0.35">
      <c r="A392" t="s">
        <v>603</v>
      </c>
      <c r="B392" s="1">
        <v>45875</v>
      </c>
      <c r="C392" t="s">
        <v>11</v>
      </c>
      <c r="D392">
        <v>4</v>
      </c>
      <c r="E392" t="s">
        <v>12</v>
      </c>
      <c r="F392" t="s">
        <v>13</v>
      </c>
      <c r="G392">
        <v>340</v>
      </c>
      <c r="H392">
        <v>30</v>
      </c>
      <c r="I392" t="s">
        <v>14</v>
      </c>
      <c r="J392" t="str">
        <f>_xlfn.XLOOKUP(C392,'product_masterlist(ifs)'!A:A,'product_masterlist(ifs)'!C:C,"N/A",0)</f>
        <v>Surgical</v>
      </c>
      <c r="K392">
        <f>VLOOKUP(C392,'product_masterlist(ifs)'!A:I,7,FALSE)</f>
        <v>40</v>
      </c>
    </row>
    <row r="393" spans="1:11" x14ac:dyDescent="0.35">
      <c r="A393" t="s">
        <v>604</v>
      </c>
      <c r="B393" s="1">
        <v>45935</v>
      </c>
      <c r="C393" t="s">
        <v>53</v>
      </c>
      <c r="D393">
        <v>25</v>
      </c>
      <c r="E393" t="s">
        <v>22</v>
      </c>
      <c r="F393" t="s">
        <v>23</v>
      </c>
      <c r="G393" t="s">
        <v>304</v>
      </c>
      <c r="H393">
        <v>7</v>
      </c>
      <c r="I393" t="s">
        <v>28</v>
      </c>
      <c r="J393" t="str">
        <f>_xlfn.XLOOKUP(C393,'product_masterlist(ifs)'!A:A,'product_masterlist(ifs)'!C:C,"N/A",0)</f>
        <v>Solutions</v>
      </c>
      <c r="K393">
        <f>VLOOKUP(C393,'product_masterlist(ifs)'!A:I,7,FALSE)</f>
        <v>800</v>
      </c>
    </row>
    <row r="394" spans="1:11" x14ac:dyDescent="0.35">
      <c r="A394" t="s">
        <v>605</v>
      </c>
      <c r="B394" t="s">
        <v>97</v>
      </c>
      <c r="C394" t="s">
        <v>90</v>
      </c>
      <c r="D394">
        <v>18</v>
      </c>
      <c r="E394" t="s">
        <v>22</v>
      </c>
      <c r="F394" t="s">
        <v>18</v>
      </c>
      <c r="G394">
        <v>873</v>
      </c>
      <c r="H394">
        <v>30</v>
      </c>
      <c r="I394" t="s">
        <v>14</v>
      </c>
      <c r="J394" t="str">
        <f>_xlfn.XLOOKUP(C394,'product_masterlist(ifs)'!A:A,'product_masterlist(ifs)'!C:C,"N/A",0)</f>
        <v>Frames</v>
      </c>
      <c r="K394">
        <f>VLOOKUP(C394,'product_masterlist(ifs)'!A:I,7,FALSE)</f>
        <v>180</v>
      </c>
    </row>
    <row r="395" spans="1:11" x14ac:dyDescent="0.35">
      <c r="A395" t="s">
        <v>606</v>
      </c>
      <c r="B395" t="s">
        <v>379</v>
      </c>
      <c r="C395" t="s">
        <v>17</v>
      </c>
      <c r="D395">
        <v>4</v>
      </c>
      <c r="E395" t="s">
        <v>20</v>
      </c>
      <c r="F395" t="s">
        <v>23</v>
      </c>
      <c r="G395">
        <v>180</v>
      </c>
      <c r="H395">
        <v>30</v>
      </c>
      <c r="I395" t="s">
        <v>14</v>
      </c>
      <c r="J395" t="str">
        <f>_xlfn.XLOOKUP(C395,'product_masterlist(ifs)'!A:A,'product_masterlist(ifs)'!C:C,"N/A",0)</f>
        <v>Frames</v>
      </c>
      <c r="K395">
        <f>VLOOKUP(C395,'product_masterlist(ifs)'!A:I,7,FALSE)</f>
        <v>45</v>
      </c>
    </row>
    <row r="396" spans="1:11" x14ac:dyDescent="0.35">
      <c r="A396" t="s">
        <v>607</v>
      </c>
      <c r="B396" s="1">
        <v>45756</v>
      </c>
      <c r="C396" t="s">
        <v>11</v>
      </c>
      <c r="D396">
        <v>8</v>
      </c>
      <c r="E396" t="s">
        <v>12</v>
      </c>
      <c r="F396" t="s">
        <v>18</v>
      </c>
      <c r="G396">
        <v>680</v>
      </c>
      <c r="H396">
        <v>30</v>
      </c>
      <c r="I396" t="s">
        <v>14</v>
      </c>
      <c r="J396" t="str">
        <f>_xlfn.XLOOKUP(C396,'product_masterlist(ifs)'!A:A,'product_masterlist(ifs)'!C:C,"N/A",0)</f>
        <v>Surgical</v>
      </c>
      <c r="K396">
        <f>VLOOKUP(C396,'product_masterlist(ifs)'!A:I,7,FALSE)</f>
        <v>40</v>
      </c>
    </row>
    <row r="397" spans="1:11" x14ac:dyDescent="0.35">
      <c r="A397" t="s">
        <v>608</v>
      </c>
      <c r="B397" s="1">
        <v>45754</v>
      </c>
      <c r="C397" t="s">
        <v>26</v>
      </c>
      <c r="D397">
        <v>10</v>
      </c>
      <c r="E397" t="s">
        <v>37</v>
      </c>
      <c r="F397" t="s">
        <v>13</v>
      </c>
      <c r="G397">
        <v>125</v>
      </c>
      <c r="H397">
        <v>14</v>
      </c>
      <c r="I397" t="s">
        <v>28</v>
      </c>
      <c r="J397" t="str">
        <f>_xlfn.XLOOKUP(C397,'product_masterlist(ifs)'!A:A,'product_masterlist(ifs)'!C:C,"N/A",0)</f>
        <v>Contact Lenses</v>
      </c>
      <c r="K397">
        <f>VLOOKUP(C397,'product_masterlist(ifs)'!A:I,7,FALSE)</f>
        <v>450</v>
      </c>
    </row>
    <row r="398" spans="1:11" x14ac:dyDescent="0.35">
      <c r="A398" t="s">
        <v>609</v>
      </c>
      <c r="B398" t="s">
        <v>115</v>
      </c>
      <c r="C398" t="s">
        <v>90</v>
      </c>
      <c r="D398">
        <v>23</v>
      </c>
      <c r="E398" t="s">
        <v>12</v>
      </c>
      <c r="F398" t="s">
        <v>18</v>
      </c>
      <c r="G398" t="s">
        <v>123</v>
      </c>
      <c r="H398">
        <v>30</v>
      </c>
      <c r="I398" t="s">
        <v>14</v>
      </c>
      <c r="J398" t="str">
        <f>_xlfn.XLOOKUP(C398,'product_masterlist(ifs)'!A:A,'product_masterlist(ifs)'!C:C,"N/A",0)</f>
        <v>Frames</v>
      </c>
      <c r="K398">
        <f>VLOOKUP(C398,'product_masterlist(ifs)'!A:I,7,FALSE)</f>
        <v>180</v>
      </c>
    </row>
    <row r="399" spans="1:11" x14ac:dyDescent="0.35">
      <c r="A399" t="s">
        <v>610</v>
      </c>
      <c r="B399" t="s">
        <v>62</v>
      </c>
      <c r="C399" t="s">
        <v>33</v>
      </c>
      <c r="D399">
        <v>4</v>
      </c>
      <c r="E399" t="s">
        <v>37</v>
      </c>
      <c r="F399" t="s">
        <v>23</v>
      </c>
      <c r="G399">
        <v>600</v>
      </c>
      <c r="H399">
        <v>45</v>
      </c>
      <c r="I399" t="s">
        <v>34</v>
      </c>
      <c r="J399" t="str">
        <f>_xlfn.XLOOKUP(C399,'product_masterlist(ifs)'!A:A,'product_masterlist(ifs)'!C:C,"N/A",0)</f>
        <v>Surgical</v>
      </c>
      <c r="K399">
        <f>VLOOKUP(C399,'product_masterlist(ifs)'!A:I,7,FALSE)</f>
        <v>15</v>
      </c>
    </row>
    <row r="400" spans="1:11" x14ac:dyDescent="0.35">
      <c r="A400" t="s">
        <v>611</v>
      </c>
      <c r="B400" t="s">
        <v>612</v>
      </c>
      <c r="C400" t="s">
        <v>53</v>
      </c>
      <c r="D400">
        <v>23</v>
      </c>
      <c r="E400" t="s">
        <v>20</v>
      </c>
      <c r="F400" t="s">
        <v>23</v>
      </c>
      <c r="G400" t="s">
        <v>576</v>
      </c>
      <c r="H400">
        <v>7</v>
      </c>
      <c r="I400" t="s">
        <v>28</v>
      </c>
      <c r="J400" t="str">
        <f>_xlfn.XLOOKUP(C400,'product_masterlist(ifs)'!A:A,'product_masterlist(ifs)'!C:C,"N/A",0)</f>
        <v>Solutions</v>
      </c>
      <c r="K400">
        <f>VLOOKUP(C400,'product_masterlist(ifs)'!A:I,7,FALSE)</f>
        <v>800</v>
      </c>
    </row>
    <row r="401" spans="1:11" x14ac:dyDescent="0.35">
      <c r="A401" t="s">
        <v>613</v>
      </c>
      <c r="B401" s="1">
        <v>45908</v>
      </c>
      <c r="C401" t="s">
        <v>26</v>
      </c>
      <c r="D401">
        <v>12</v>
      </c>
      <c r="E401" t="s">
        <v>22</v>
      </c>
      <c r="F401" t="s">
        <v>23</v>
      </c>
      <c r="G401">
        <v>150</v>
      </c>
      <c r="H401">
        <v>14</v>
      </c>
      <c r="I401" t="s">
        <v>28</v>
      </c>
      <c r="J401" t="str">
        <f>_xlfn.XLOOKUP(C401,'product_masterlist(ifs)'!A:A,'product_masterlist(ifs)'!C:C,"N/A",0)</f>
        <v>Contact Lenses</v>
      </c>
      <c r="K401">
        <f>VLOOKUP(C401,'product_masterlist(ifs)'!A:I,7,FALSE)</f>
        <v>450</v>
      </c>
    </row>
    <row r="402" spans="1:11" x14ac:dyDescent="0.35">
      <c r="A402" t="s">
        <v>614</v>
      </c>
      <c r="B402" s="1">
        <v>45992</v>
      </c>
      <c r="C402" t="s">
        <v>26</v>
      </c>
      <c r="D402">
        <v>12</v>
      </c>
      <c r="E402" t="s">
        <v>20</v>
      </c>
      <c r="F402" t="s">
        <v>31</v>
      </c>
      <c r="G402">
        <v>150</v>
      </c>
      <c r="H402">
        <v>14</v>
      </c>
      <c r="I402" t="s">
        <v>28</v>
      </c>
      <c r="J402" t="str">
        <f>_xlfn.XLOOKUP(C402,'product_masterlist(ifs)'!A:A,'product_masterlist(ifs)'!C:C,"N/A",0)</f>
        <v>Contact Lenses</v>
      </c>
      <c r="K402">
        <f>VLOOKUP(C402,'product_masterlist(ifs)'!A:I,7,FALSE)</f>
        <v>450</v>
      </c>
    </row>
    <row r="403" spans="1:11" x14ac:dyDescent="0.35">
      <c r="A403" t="s">
        <v>615</v>
      </c>
      <c r="B403" s="1">
        <v>45819</v>
      </c>
      <c r="C403" t="s">
        <v>33</v>
      </c>
      <c r="D403">
        <v>3</v>
      </c>
      <c r="E403" t="s">
        <v>20</v>
      </c>
      <c r="F403" t="s">
        <v>31</v>
      </c>
      <c r="G403">
        <v>450</v>
      </c>
      <c r="H403">
        <v>45</v>
      </c>
      <c r="I403" t="s">
        <v>34</v>
      </c>
      <c r="J403" t="str">
        <f>_xlfn.XLOOKUP(C403,'product_masterlist(ifs)'!A:A,'product_masterlist(ifs)'!C:C,"N/A",0)</f>
        <v>Surgical</v>
      </c>
      <c r="K403">
        <f>VLOOKUP(C403,'product_masterlist(ifs)'!A:I,7,FALSE)</f>
        <v>15</v>
      </c>
    </row>
    <row r="404" spans="1:11" x14ac:dyDescent="0.35">
      <c r="A404" t="s">
        <v>616</v>
      </c>
      <c r="B404" s="1">
        <v>45872</v>
      </c>
      <c r="C404" t="s">
        <v>11</v>
      </c>
      <c r="D404">
        <v>4</v>
      </c>
      <c r="E404" t="s">
        <v>22</v>
      </c>
      <c r="F404" t="s">
        <v>31</v>
      </c>
      <c r="G404">
        <v>340</v>
      </c>
      <c r="H404">
        <v>30</v>
      </c>
      <c r="I404" t="s">
        <v>14</v>
      </c>
      <c r="J404" t="str">
        <f>_xlfn.XLOOKUP(C404,'product_masterlist(ifs)'!A:A,'product_masterlist(ifs)'!C:C,"N/A",0)</f>
        <v>Surgical</v>
      </c>
      <c r="K404">
        <f>VLOOKUP(C404,'product_masterlist(ifs)'!A:I,7,FALSE)</f>
        <v>40</v>
      </c>
    </row>
    <row r="405" spans="1:11" x14ac:dyDescent="0.35">
      <c r="A405" t="s">
        <v>617</v>
      </c>
      <c r="B405" s="1">
        <v>45699</v>
      </c>
      <c r="C405" t="s">
        <v>11</v>
      </c>
      <c r="D405">
        <v>7</v>
      </c>
      <c r="E405" t="s">
        <v>22</v>
      </c>
      <c r="F405" t="s">
        <v>23</v>
      </c>
      <c r="G405">
        <v>595</v>
      </c>
      <c r="H405">
        <v>30</v>
      </c>
      <c r="I405" t="s">
        <v>14</v>
      </c>
      <c r="J405" t="str">
        <f>_xlfn.XLOOKUP(C405,'product_masterlist(ifs)'!A:A,'product_masterlist(ifs)'!C:C,"N/A",0)</f>
        <v>Surgical</v>
      </c>
      <c r="K405">
        <f>VLOOKUP(C405,'product_masterlist(ifs)'!A:I,7,FALSE)</f>
        <v>40</v>
      </c>
    </row>
    <row r="406" spans="1:11" x14ac:dyDescent="0.35">
      <c r="A406" t="s">
        <v>618</v>
      </c>
      <c r="B406" t="s">
        <v>619</v>
      </c>
      <c r="C406" t="s">
        <v>26</v>
      </c>
      <c r="D406">
        <v>3</v>
      </c>
      <c r="E406" t="s">
        <v>22</v>
      </c>
      <c r="F406" t="s">
        <v>18</v>
      </c>
      <c r="G406" t="s">
        <v>40</v>
      </c>
      <c r="H406">
        <v>14</v>
      </c>
      <c r="I406" t="s">
        <v>28</v>
      </c>
      <c r="J406" t="str">
        <f>_xlfn.XLOOKUP(C406,'product_masterlist(ifs)'!A:A,'product_masterlist(ifs)'!C:C,"N/A",0)</f>
        <v>Contact Lenses</v>
      </c>
      <c r="K406">
        <f>VLOOKUP(C406,'product_masterlist(ifs)'!A:I,7,FALSE)</f>
        <v>450</v>
      </c>
    </row>
    <row r="407" spans="1:11" x14ac:dyDescent="0.35">
      <c r="A407" t="s">
        <v>620</v>
      </c>
      <c r="B407" s="1">
        <v>45844</v>
      </c>
      <c r="C407" t="s">
        <v>17</v>
      </c>
      <c r="D407">
        <v>24</v>
      </c>
      <c r="E407" t="s">
        <v>12</v>
      </c>
      <c r="F407" t="s">
        <v>31</v>
      </c>
      <c r="G407">
        <v>1080</v>
      </c>
      <c r="H407">
        <v>30</v>
      </c>
      <c r="I407" t="s">
        <v>14</v>
      </c>
      <c r="J407" t="str">
        <f>_xlfn.XLOOKUP(C407,'product_masterlist(ifs)'!A:A,'product_masterlist(ifs)'!C:C,"N/A",0)</f>
        <v>Frames</v>
      </c>
      <c r="K407">
        <f>VLOOKUP(C407,'product_masterlist(ifs)'!A:I,7,FALSE)</f>
        <v>45</v>
      </c>
    </row>
    <row r="408" spans="1:11" x14ac:dyDescent="0.35">
      <c r="A408" t="s">
        <v>621</v>
      </c>
      <c r="B408" s="1">
        <v>45813</v>
      </c>
      <c r="C408" t="s">
        <v>33</v>
      </c>
      <c r="D408">
        <v>18</v>
      </c>
      <c r="E408" t="s">
        <v>22</v>
      </c>
      <c r="F408" t="s">
        <v>23</v>
      </c>
      <c r="G408">
        <v>2700</v>
      </c>
      <c r="H408">
        <v>45</v>
      </c>
      <c r="I408" t="s">
        <v>34</v>
      </c>
      <c r="J408" t="str">
        <f>_xlfn.XLOOKUP(C408,'product_masterlist(ifs)'!A:A,'product_masterlist(ifs)'!C:C,"N/A",0)</f>
        <v>Surgical</v>
      </c>
      <c r="K408">
        <f>VLOOKUP(C408,'product_masterlist(ifs)'!A:I,7,FALSE)</f>
        <v>15</v>
      </c>
    </row>
    <row r="409" spans="1:11" x14ac:dyDescent="0.35">
      <c r="A409" t="s">
        <v>622</v>
      </c>
      <c r="B409" s="1">
        <v>45725</v>
      </c>
      <c r="C409" t="s">
        <v>53</v>
      </c>
      <c r="D409">
        <v>18</v>
      </c>
      <c r="E409" t="s">
        <v>12</v>
      </c>
      <c r="F409" t="s">
        <v>31</v>
      </c>
      <c r="G409" t="s">
        <v>336</v>
      </c>
      <c r="H409">
        <v>7</v>
      </c>
      <c r="I409" t="s">
        <v>28</v>
      </c>
      <c r="J409" t="str">
        <f>_xlfn.XLOOKUP(C409,'product_masterlist(ifs)'!A:A,'product_masterlist(ifs)'!C:C,"N/A",0)</f>
        <v>Solutions</v>
      </c>
      <c r="K409">
        <f>VLOOKUP(C409,'product_masterlist(ifs)'!A:I,7,FALSE)</f>
        <v>800</v>
      </c>
    </row>
    <row r="410" spans="1:11" x14ac:dyDescent="0.35">
      <c r="A410" t="s">
        <v>623</v>
      </c>
      <c r="B410" t="s">
        <v>419</v>
      </c>
      <c r="C410" t="s">
        <v>26</v>
      </c>
      <c r="D410">
        <v>24</v>
      </c>
      <c r="E410" t="s">
        <v>37</v>
      </c>
      <c r="F410" t="s">
        <v>23</v>
      </c>
      <c r="G410">
        <v>300</v>
      </c>
      <c r="H410">
        <v>14</v>
      </c>
      <c r="I410" t="s">
        <v>28</v>
      </c>
      <c r="J410" t="str">
        <f>_xlfn.XLOOKUP(C410,'product_masterlist(ifs)'!A:A,'product_masterlist(ifs)'!C:C,"N/A",0)</f>
        <v>Contact Lenses</v>
      </c>
      <c r="K410">
        <f>VLOOKUP(C410,'product_masterlist(ifs)'!A:I,7,FALSE)</f>
        <v>450</v>
      </c>
    </row>
    <row r="411" spans="1:11" x14ac:dyDescent="0.35">
      <c r="A411" t="s">
        <v>624</v>
      </c>
      <c r="B411" t="s">
        <v>625</v>
      </c>
      <c r="C411" t="s">
        <v>11</v>
      </c>
      <c r="D411">
        <v>6</v>
      </c>
      <c r="E411" t="s">
        <v>20</v>
      </c>
      <c r="F411" t="s">
        <v>31</v>
      </c>
      <c r="G411">
        <v>510</v>
      </c>
      <c r="H411">
        <v>30</v>
      </c>
      <c r="I411" t="s">
        <v>14</v>
      </c>
      <c r="J411" t="str">
        <f>_xlfn.XLOOKUP(C411,'product_masterlist(ifs)'!A:A,'product_masterlist(ifs)'!C:C,"N/A",0)</f>
        <v>Surgical</v>
      </c>
      <c r="K411">
        <f>VLOOKUP(C411,'product_masterlist(ifs)'!A:I,7,FALSE)</f>
        <v>40</v>
      </c>
    </row>
    <row r="412" spans="1:11" x14ac:dyDescent="0.35">
      <c r="A412" t="s">
        <v>626</v>
      </c>
      <c r="B412" t="s">
        <v>87</v>
      </c>
      <c r="C412" t="s">
        <v>17</v>
      </c>
      <c r="D412">
        <v>25</v>
      </c>
      <c r="E412" t="s">
        <v>20</v>
      </c>
      <c r="F412" t="s">
        <v>23</v>
      </c>
      <c r="G412">
        <v>1125</v>
      </c>
      <c r="H412">
        <v>30</v>
      </c>
      <c r="I412" t="s">
        <v>14</v>
      </c>
      <c r="J412" t="str">
        <f>_xlfn.XLOOKUP(C412,'product_masterlist(ifs)'!A:A,'product_masterlist(ifs)'!C:C,"N/A",0)</f>
        <v>Frames</v>
      </c>
      <c r="K412">
        <f>VLOOKUP(C412,'product_masterlist(ifs)'!A:I,7,FALSE)</f>
        <v>45</v>
      </c>
    </row>
    <row r="413" spans="1:11" x14ac:dyDescent="0.35">
      <c r="A413" t="s">
        <v>627</v>
      </c>
      <c r="B413" t="s">
        <v>180</v>
      </c>
      <c r="C413" t="s">
        <v>53</v>
      </c>
      <c r="D413">
        <v>11</v>
      </c>
      <c r="E413" t="s">
        <v>37</v>
      </c>
      <c r="F413" t="s">
        <v>31</v>
      </c>
      <c r="G413" t="s">
        <v>240</v>
      </c>
      <c r="H413">
        <v>7</v>
      </c>
      <c r="I413" t="s">
        <v>28</v>
      </c>
      <c r="J413" t="str">
        <f>_xlfn.XLOOKUP(C413,'product_masterlist(ifs)'!A:A,'product_masterlist(ifs)'!C:C,"N/A",0)</f>
        <v>Solutions</v>
      </c>
      <c r="K413">
        <f>VLOOKUP(C413,'product_masterlist(ifs)'!A:I,7,FALSE)</f>
        <v>800</v>
      </c>
    </row>
    <row r="414" spans="1:11" x14ac:dyDescent="0.35">
      <c r="A414" t="s">
        <v>628</v>
      </c>
      <c r="B414" s="1">
        <v>45904</v>
      </c>
      <c r="C414" t="s">
        <v>11</v>
      </c>
      <c r="D414">
        <v>19</v>
      </c>
      <c r="E414" t="s">
        <v>12</v>
      </c>
      <c r="F414" t="s">
        <v>31</v>
      </c>
      <c r="G414">
        <v>1615</v>
      </c>
      <c r="H414">
        <v>30</v>
      </c>
      <c r="I414" t="s">
        <v>14</v>
      </c>
      <c r="J414" t="str">
        <f>_xlfn.XLOOKUP(C414,'product_masterlist(ifs)'!A:A,'product_masterlist(ifs)'!C:C,"N/A",0)</f>
        <v>Surgical</v>
      </c>
      <c r="K414">
        <f>VLOOKUP(C414,'product_masterlist(ifs)'!A:I,7,FALSE)</f>
        <v>40</v>
      </c>
    </row>
    <row r="415" spans="1:11" x14ac:dyDescent="0.35">
      <c r="A415" t="s">
        <v>629</v>
      </c>
      <c r="B415" s="1">
        <v>45757</v>
      </c>
      <c r="C415" t="s">
        <v>90</v>
      </c>
      <c r="D415">
        <v>8</v>
      </c>
      <c r="E415" t="s">
        <v>37</v>
      </c>
      <c r="F415" t="s">
        <v>23</v>
      </c>
      <c r="G415">
        <v>388</v>
      </c>
      <c r="H415">
        <v>30</v>
      </c>
      <c r="I415" t="s">
        <v>14</v>
      </c>
      <c r="J415" t="str">
        <f>_xlfn.XLOOKUP(C415,'product_masterlist(ifs)'!A:A,'product_masterlist(ifs)'!C:C,"N/A",0)</f>
        <v>Frames</v>
      </c>
      <c r="K415">
        <f>VLOOKUP(C415,'product_masterlist(ifs)'!A:I,7,FALSE)</f>
        <v>180</v>
      </c>
    </row>
    <row r="416" spans="1:11" x14ac:dyDescent="0.35">
      <c r="A416" t="s">
        <v>630</v>
      </c>
      <c r="B416" t="s">
        <v>103</v>
      </c>
      <c r="C416" t="s">
        <v>33</v>
      </c>
      <c r="D416">
        <v>25</v>
      </c>
      <c r="E416" t="s">
        <v>22</v>
      </c>
      <c r="F416" t="s">
        <v>18</v>
      </c>
      <c r="G416">
        <v>3750</v>
      </c>
      <c r="H416">
        <v>45</v>
      </c>
      <c r="I416" t="s">
        <v>34</v>
      </c>
      <c r="J416" t="str">
        <f>_xlfn.XLOOKUP(C416,'product_masterlist(ifs)'!A:A,'product_masterlist(ifs)'!C:C,"N/A",0)</f>
        <v>Surgical</v>
      </c>
      <c r="K416">
        <f>VLOOKUP(C416,'product_masterlist(ifs)'!A:I,7,FALSE)</f>
        <v>15</v>
      </c>
    </row>
    <row r="417" spans="1:11" x14ac:dyDescent="0.35">
      <c r="A417" t="s">
        <v>631</v>
      </c>
      <c r="B417" t="s">
        <v>25</v>
      </c>
      <c r="C417" t="s">
        <v>17</v>
      </c>
      <c r="D417">
        <v>20</v>
      </c>
      <c r="E417" t="s">
        <v>22</v>
      </c>
      <c r="F417" t="s">
        <v>23</v>
      </c>
      <c r="G417">
        <v>900</v>
      </c>
      <c r="H417">
        <v>30</v>
      </c>
      <c r="I417" t="s">
        <v>14</v>
      </c>
      <c r="J417" t="str">
        <f>_xlfn.XLOOKUP(C417,'product_masterlist(ifs)'!A:A,'product_masterlist(ifs)'!C:C,"N/A",0)</f>
        <v>Frames</v>
      </c>
      <c r="K417">
        <f>VLOOKUP(C417,'product_masterlist(ifs)'!A:I,7,FALSE)</f>
        <v>45</v>
      </c>
    </row>
    <row r="418" spans="1:11" x14ac:dyDescent="0.35">
      <c r="A418" t="s">
        <v>632</v>
      </c>
      <c r="B418" s="1">
        <v>45696</v>
      </c>
      <c r="C418" t="s">
        <v>11</v>
      </c>
      <c r="D418">
        <v>11</v>
      </c>
      <c r="E418" t="s">
        <v>12</v>
      </c>
      <c r="F418" t="s">
        <v>13</v>
      </c>
      <c r="G418">
        <v>935</v>
      </c>
      <c r="H418">
        <v>30</v>
      </c>
      <c r="I418" t="s">
        <v>14</v>
      </c>
      <c r="J418" t="str">
        <f>_xlfn.XLOOKUP(C418,'product_masterlist(ifs)'!A:A,'product_masterlist(ifs)'!C:C,"N/A",0)</f>
        <v>Surgical</v>
      </c>
      <c r="K418">
        <f>VLOOKUP(C418,'product_masterlist(ifs)'!A:I,7,FALSE)</f>
        <v>40</v>
      </c>
    </row>
    <row r="419" spans="1:11" x14ac:dyDescent="0.35">
      <c r="A419" t="s">
        <v>633</v>
      </c>
      <c r="B419" s="1">
        <v>45690</v>
      </c>
      <c r="C419" t="s">
        <v>26</v>
      </c>
      <c r="D419">
        <v>25</v>
      </c>
      <c r="E419" t="s">
        <v>20</v>
      </c>
      <c r="F419" t="s">
        <v>31</v>
      </c>
      <c r="G419" t="s">
        <v>285</v>
      </c>
      <c r="H419">
        <v>14</v>
      </c>
      <c r="I419" t="s">
        <v>28</v>
      </c>
      <c r="J419" t="str">
        <f>_xlfn.XLOOKUP(C419,'product_masterlist(ifs)'!A:A,'product_masterlist(ifs)'!C:C,"N/A",0)</f>
        <v>Contact Lenses</v>
      </c>
      <c r="K419">
        <f>VLOOKUP(C419,'product_masterlist(ifs)'!A:I,7,FALSE)</f>
        <v>450</v>
      </c>
    </row>
    <row r="420" spans="1:11" x14ac:dyDescent="0.35">
      <c r="A420" t="s">
        <v>634</v>
      </c>
      <c r="B420" s="1">
        <v>45933</v>
      </c>
      <c r="C420" t="s">
        <v>26</v>
      </c>
      <c r="D420">
        <v>14</v>
      </c>
      <c r="E420" t="s">
        <v>12</v>
      </c>
      <c r="F420" t="s">
        <v>31</v>
      </c>
      <c r="G420">
        <v>175</v>
      </c>
      <c r="H420">
        <v>14</v>
      </c>
      <c r="I420" t="s">
        <v>28</v>
      </c>
      <c r="J420" t="str">
        <f>_xlfn.XLOOKUP(C420,'product_masterlist(ifs)'!A:A,'product_masterlist(ifs)'!C:C,"N/A",0)</f>
        <v>Contact Lenses</v>
      </c>
      <c r="K420">
        <f>VLOOKUP(C420,'product_masterlist(ifs)'!A:I,7,FALSE)</f>
        <v>450</v>
      </c>
    </row>
    <row r="421" spans="1:11" x14ac:dyDescent="0.35">
      <c r="A421" t="s">
        <v>635</v>
      </c>
      <c r="B421" t="s">
        <v>636</v>
      </c>
      <c r="C421" t="s">
        <v>42</v>
      </c>
      <c r="D421">
        <v>23</v>
      </c>
      <c r="E421" t="s">
        <v>22</v>
      </c>
      <c r="F421" t="s">
        <v>23</v>
      </c>
      <c r="G421">
        <v>575</v>
      </c>
      <c r="H421">
        <v>21</v>
      </c>
      <c r="I421" t="s">
        <v>14</v>
      </c>
      <c r="J421" t="str">
        <f>_xlfn.XLOOKUP(C421,'product_masterlist(ifs)'!A:A,'product_masterlist(ifs)'!C:C,"N/A",0)</f>
        <v>Contact Lenses</v>
      </c>
      <c r="K421">
        <f>VLOOKUP(C421,'product_masterlist(ifs)'!A:I,7,FALSE)</f>
        <v>120</v>
      </c>
    </row>
    <row r="422" spans="1:11" x14ac:dyDescent="0.35">
      <c r="A422" t="s">
        <v>637</v>
      </c>
      <c r="B422" t="s">
        <v>208</v>
      </c>
      <c r="C422" t="s">
        <v>42</v>
      </c>
      <c r="D422">
        <v>23</v>
      </c>
      <c r="E422" t="s">
        <v>12</v>
      </c>
      <c r="F422" t="s">
        <v>23</v>
      </c>
      <c r="G422">
        <v>575</v>
      </c>
      <c r="H422">
        <v>21</v>
      </c>
      <c r="I422" t="s">
        <v>14</v>
      </c>
      <c r="J422" t="str">
        <f>_xlfn.XLOOKUP(C422,'product_masterlist(ifs)'!A:A,'product_masterlist(ifs)'!C:C,"N/A",0)</f>
        <v>Contact Lenses</v>
      </c>
      <c r="K422">
        <f>VLOOKUP(C422,'product_masterlist(ifs)'!A:I,7,FALSE)</f>
        <v>120</v>
      </c>
    </row>
    <row r="423" spans="1:11" x14ac:dyDescent="0.35">
      <c r="A423" t="s">
        <v>638</v>
      </c>
      <c r="B423" t="s">
        <v>30</v>
      </c>
      <c r="C423" t="s">
        <v>33</v>
      </c>
      <c r="D423">
        <v>3</v>
      </c>
      <c r="E423" t="s">
        <v>20</v>
      </c>
      <c r="F423" t="s">
        <v>23</v>
      </c>
      <c r="G423">
        <v>450</v>
      </c>
      <c r="H423">
        <v>45</v>
      </c>
      <c r="I423" t="s">
        <v>34</v>
      </c>
      <c r="J423" t="str">
        <f>_xlfn.XLOOKUP(C423,'product_masterlist(ifs)'!A:A,'product_masterlist(ifs)'!C:C,"N/A",0)</f>
        <v>Surgical</v>
      </c>
      <c r="K423">
        <f>VLOOKUP(C423,'product_masterlist(ifs)'!A:I,7,FALSE)</f>
        <v>15</v>
      </c>
    </row>
    <row r="424" spans="1:11" x14ac:dyDescent="0.35">
      <c r="A424" t="s">
        <v>639</v>
      </c>
      <c r="B424" t="s">
        <v>60</v>
      </c>
      <c r="C424" t="s">
        <v>42</v>
      </c>
      <c r="D424">
        <v>13</v>
      </c>
      <c r="E424" t="s">
        <v>37</v>
      </c>
      <c r="F424" t="s">
        <v>13</v>
      </c>
      <c r="G424">
        <v>325</v>
      </c>
      <c r="H424">
        <v>21</v>
      </c>
      <c r="I424" t="s">
        <v>14</v>
      </c>
      <c r="J424" t="str">
        <f>_xlfn.XLOOKUP(C424,'product_masterlist(ifs)'!A:A,'product_masterlist(ifs)'!C:C,"N/A",0)</f>
        <v>Contact Lenses</v>
      </c>
      <c r="K424">
        <f>VLOOKUP(C424,'product_masterlist(ifs)'!A:I,7,FALSE)</f>
        <v>120</v>
      </c>
    </row>
    <row r="425" spans="1:11" x14ac:dyDescent="0.35">
      <c r="A425" t="s">
        <v>640</v>
      </c>
      <c r="B425" s="1">
        <v>45789</v>
      </c>
      <c r="C425" t="s">
        <v>33</v>
      </c>
      <c r="D425">
        <v>19</v>
      </c>
      <c r="E425" t="s">
        <v>37</v>
      </c>
      <c r="F425" t="s">
        <v>13</v>
      </c>
      <c r="G425">
        <v>2850</v>
      </c>
      <c r="H425">
        <v>45</v>
      </c>
      <c r="I425" t="s">
        <v>34</v>
      </c>
      <c r="J425" t="str">
        <f>_xlfn.XLOOKUP(C425,'product_masterlist(ifs)'!A:A,'product_masterlist(ifs)'!C:C,"N/A",0)</f>
        <v>Surgical</v>
      </c>
      <c r="K425">
        <f>VLOOKUP(C425,'product_masterlist(ifs)'!A:I,7,FALSE)</f>
        <v>15</v>
      </c>
    </row>
    <row r="426" spans="1:11" x14ac:dyDescent="0.35">
      <c r="A426" t="s">
        <v>641</v>
      </c>
      <c r="B426" s="1">
        <v>45818</v>
      </c>
      <c r="C426" t="s">
        <v>33</v>
      </c>
      <c r="D426">
        <v>2</v>
      </c>
      <c r="E426" t="s">
        <v>22</v>
      </c>
      <c r="F426" t="s">
        <v>23</v>
      </c>
      <c r="G426">
        <v>300</v>
      </c>
      <c r="H426">
        <v>45</v>
      </c>
      <c r="I426" t="s">
        <v>34</v>
      </c>
      <c r="J426" t="str">
        <f>_xlfn.XLOOKUP(C426,'product_masterlist(ifs)'!A:A,'product_masterlist(ifs)'!C:C,"N/A",0)</f>
        <v>Surgical</v>
      </c>
      <c r="K426">
        <f>VLOOKUP(C426,'product_masterlist(ifs)'!A:I,7,FALSE)</f>
        <v>15</v>
      </c>
    </row>
    <row r="427" spans="1:11" x14ac:dyDescent="0.35">
      <c r="A427" t="s">
        <v>642</v>
      </c>
      <c r="B427" s="1">
        <v>45912</v>
      </c>
      <c r="C427" t="s">
        <v>90</v>
      </c>
      <c r="D427">
        <v>18</v>
      </c>
      <c r="E427" t="s">
        <v>12</v>
      </c>
      <c r="F427" t="s">
        <v>13</v>
      </c>
      <c r="G427">
        <v>873</v>
      </c>
      <c r="H427">
        <v>30</v>
      </c>
      <c r="I427" t="s">
        <v>14</v>
      </c>
      <c r="J427" t="str">
        <f>_xlfn.XLOOKUP(C427,'product_masterlist(ifs)'!A:A,'product_masterlist(ifs)'!C:C,"N/A",0)</f>
        <v>Frames</v>
      </c>
      <c r="K427">
        <f>VLOOKUP(C427,'product_masterlist(ifs)'!A:I,7,FALSE)</f>
        <v>180</v>
      </c>
    </row>
    <row r="428" spans="1:11" x14ac:dyDescent="0.35">
      <c r="A428" t="s">
        <v>643</v>
      </c>
      <c r="B428" t="s">
        <v>547</v>
      </c>
      <c r="C428" t="s">
        <v>26</v>
      </c>
      <c r="D428">
        <v>9</v>
      </c>
      <c r="E428" t="s">
        <v>22</v>
      </c>
      <c r="F428" t="s">
        <v>13</v>
      </c>
      <c r="G428" t="s">
        <v>170</v>
      </c>
      <c r="H428">
        <v>14</v>
      </c>
      <c r="I428" t="s">
        <v>28</v>
      </c>
      <c r="J428" t="str">
        <f>_xlfn.XLOOKUP(C428,'product_masterlist(ifs)'!A:A,'product_masterlist(ifs)'!C:C,"N/A",0)</f>
        <v>Contact Lenses</v>
      </c>
      <c r="K428">
        <f>VLOOKUP(C428,'product_masterlist(ifs)'!A:I,7,FALSE)</f>
        <v>450</v>
      </c>
    </row>
    <row r="429" spans="1:11" x14ac:dyDescent="0.35">
      <c r="A429" t="s">
        <v>644</v>
      </c>
      <c r="B429" s="1">
        <v>45819</v>
      </c>
      <c r="C429" t="s">
        <v>53</v>
      </c>
      <c r="D429">
        <v>10</v>
      </c>
      <c r="E429" t="s">
        <v>37</v>
      </c>
      <c r="F429" t="s">
        <v>13</v>
      </c>
      <c r="G429" t="s">
        <v>95</v>
      </c>
      <c r="H429">
        <v>7</v>
      </c>
      <c r="I429" t="s">
        <v>28</v>
      </c>
      <c r="J429" t="str">
        <f>_xlfn.XLOOKUP(C429,'product_masterlist(ifs)'!A:A,'product_masterlist(ifs)'!C:C,"N/A",0)</f>
        <v>Solutions</v>
      </c>
      <c r="K429">
        <f>VLOOKUP(C429,'product_masterlist(ifs)'!A:I,7,FALSE)</f>
        <v>800</v>
      </c>
    </row>
    <row r="430" spans="1:11" x14ac:dyDescent="0.35">
      <c r="A430" t="s">
        <v>645</v>
      </c>
      <c r="B430" s="1">
        <v>45843</v>
      </c>
      <c r="C430" t="s">
        <v>17</v>
      </c>
      <c r="D430">
        <v>6</v>
      </c>
      <c r="E430" t="s">
        <v>22</v>
      </c>
      <c r="F430" t="s">
        <v>31</v>
      </c>
      <c r="G430">
        <v>270</v>
      </c>
      <c r="H430">
        <v>30</v>
      </c>
      <c r="I430" t="s">
        <v>14</v>
      </c>
      <c r="J430" t="str">
        <f>_xlfn.XLOOKUP(C430,'product_masterlist(ifs)'!A:A,'product_masterlist(ifs)'!C:C,"N/A",0)</f>
        <v>Frames</v>
      </c>
      <c r="K430">
        <f>VLOOKUP(C430,'product_masterlist(ifs)'!A:I,7,FALSE)</f>
        <v>45</v>
      </c>
    </row>
    <row r="431" spans="1:11" x14ac:dyDescent="0.35">
      <c r="A431" t="s">
        <v>646</v>
      </c>
      <c r="B431" t="s">
        <v>323</v>
      </c>
      <c r="C431" t="s">
        <v>11</v>
      </c>
      <c r="D431">
        <v>25</v>
      </c>
      <c r="E431" t="s">
        <v>12</v>
      </c>
      <c r="F431" t="s">
        <v>31</v>
      </c>
      <c r="G431">
        <v>2125</v>
      </c>
      <c r="H431">
        <v>30</v>
      </c>
      <c r="I431" t="s">
        <v>14</v>
      </c>
      <c r="J431" t="str">
        <f>_xlfn.XLOOKUP(C431,'product_masterlist(ifs)'!A:A,'product_masterlist(ifs)'!C:C,"N/A",0)</f>
        <v>Surgical</v>
      </c>
      <c r="K431">
        <f>VLOOKUP(C431,'product_masterlist(ifs)'!A:I,7,FALSE)</f>
        <v>40</v>
      </c>
    </row>
    <row r="432" spans="1:11" x14ac:dyDescent="0.35">
      <c r="A432" t="s">
        <v>647</v>
      </c>
      <c r="B432" t="s">
        <v>446</v>
      </c>
      <c r="C432" t="s">
        <v>11</v>
      </c>
      <c r="D432">
        <v>14</v>
      </c>
      <c r="E432" t="s">
        <v>37</v>
      </c>
      <c r="F432" t="s">
        <v>13</v>
      </c>
      <c r="G432">
        <v>1190</v>
      </c>
      <c r="H432">
        <v>30</v>
      </c>
      <c r="I432" t="s">
        <v>14</v>
      </c>
      <c r="J432" t="str">
        <f>_xlfn.XLOOKUP(C432,'product_masterlist(ifs)'!A:A,'product_masterlist(ifs)'!C:C,"N/A",0)</f>
        <v>Surgical</v>
      </c>
      <c r="K432">
        <f>VLOOKUP(C432,'product_masterlist(ifs)'!A:I,7,FALSE)</f>
        <v>40</v>
      </c>
    </row>
    <row r="433" spans="1:11" x14ac:dyDescent="0.35">
      <c r="A433" t="s">
        <v>648</v>
      </c>
      <c r="B433" t="s">
        <v>186</v>
      </c>
      <c r="C433" t="s">
        <v>26</v>
      </c>
      <c r="D433">
        <v>13</v>
      </c>
      <c r="E433" t="s">
        <v>22</v>
      </c>
      <c r="F433" t="s">
        <v>13</v>
      </c>
      <c r="G433" t="s">
        <v>437</v>
      </c>
      <c r="H433">
        <v>14</v>
      </c>
      <c r="I433" t="s">
        <v>28</v>
      </c>
      <c r="J433" t="str">
        <f>_xlfn.XLOOKUP(C433,'product_masterlist(ifs)'!A:A,'product_masterlist(ifs)'!C:C,"N/A",0)</f>
        <v>Contact Lenses</v>
      </c>
      <c r="K433">
        <f>VLOOKUP(C433,'product_masterlist(ifs)'!A:I,7,FALSE)</f>
        <v>450</v>
      </c>
    </row>
    <row r="434" spans="1:11" x14ac:dyDescent="0.35">
      <c r="A434" t="s">
        <v>649</v>
      </c>
      <c r="B434" t="s">
        <v>10</v>
      </c>
      <c r="C434" t="s">
        <v>33</v>
      </c>
      <c r="D434">
        <v>4</v>
      </c>
      <c r="E434" t="s">
        <v>20</v>
      </c>
      <c r="F434" t="s">
        <v>31</v>
      </c>
      <c r="G434">
        <v>600</v>
      </c>
      <c r="H434">
        <v>45</v>
      </c>
      <c r="I434" t="s">
        <v>34</v>
      </c>
      <c r="J434" t="str">
        <f>_xlfn.XLOOKUP(C434,'product_masterlist(ifs)'!A:A,'product_masterlist(ifs)'!C:C,"N/A",0)</f>
        <v>Surgical</v>
      </c>
      <c r="K434">
        <f>VLOOKUP(C434,'product_masterlist(ifs)'!A:I,7,FALSE)</f>
        <v>15</v>
      </c>
    </row>
    <row r="435" spans="1:11" x14ac:dyDescent="0.35">
      <c r="A435" t="s">
        <v>650</v>
      </c>
      <c r="B435" t="s">
        <v>651</v>
      </c>
      <c r="C435" t="s">
        <v>42</v>
      </c>
      <c r="D435">
        <v>21</v>
      </c>
      <c r="E435" t="s">
        <v>37</v>
      </c>
      <c r="F435" t="s">
        <v>13</v>
      </c>
      <c r="G435">
        <v>525</v>
      </c>
      <c r="H435">
        <v>21</v>
      </c>
      <c r="I435" t="s">
        <v>14</v>
      </c>
      <c r="J435" t="str">
        <f>_xlfn.XLOOKUP(C435,'product_masterlist(ifs)'!A:A,'product_masterlist(ifs)'!C:C,"N/A",0)</f>
        <v>Contact Lenses</v>
      </c>
      <c r="K435">
        <f>VLOOKUP(C435,'product_masterlist(ifs)'!A:I,7,FALSE)</f>
        <v>120</v>
      </c>
    </row>
    <row r="436" spans="1:11" x14ac:dyDescent="0.35">
      <c r="A436" t="s">
        <v>652</v>
      </c>
      <c r="B436" s="1">
        <v>45999</v>
      </c>
      <c r="C436" t="s">
        <v>90</v>
      </c>
      <c r="D436">
        <v>15</v>
      </c>
      <c r="E436" t="s">
        <v>22</v>
      </c>
      <c r="F436" t="s">
        <v>31</v>
      </c>
      <c r="G436" t="s">
        <v>250</v>
      </c>
      <c r="H436">
        <v>30</v>
      </c>
      <c r="I436" t="s">
        <v>14</v>
      </c>
      <c r="J436" t="str">
        <f>_xlfn.XLOOKUP(C436,'product_masterlist(ifs)'!A:A,'product_masterlist(ifs)'!C:C,"N/A",0)</f>
        <v>Frames</v>
      </c>
      <c r="K436">
        <f>VLOOKUP(C436,'product_masterlist(ifs)'!A:I,7,FALSE)</f>
        <v>180</v>
      </c>
    </row>
    <row r="437" spans="1:11" x14ac:dyDescent="0.35">
      <c r="A437" t="s">
        <v>653</v>
      </c>
      <c r="B437" t="s">
        <v>654</v>
      </c>
      <c r="C437" t="s">
        <v>26</v>
      </c>
      <c r="D437">
        <v>2</v>
      </c>
      <c r="E437" t="s">
        <v>37</v>
      </c>
      <c r="F437" t="s">
        <v>18</v>
      </c>
      <c r="G437">
        <v>25</v>
      </c>
      <c r="H437">
        <v>14</v>
      </c>
      <c r="I437" t="s">
        <v>28</v>
      </c>
      <c r="J437" t="str">
        <f>_xlfn.XLOOKUP(C437,'product_masterlist(ifs)'!A:A,'product_masterlist(ifs)'!C:C,"N/A",0)</f>
        <v>Contact Lenses</v>
      </c>
      <c r="K437">
        <f>VLOOKUP(C437,'product_masterlist(ifs)'!A:I,7,FALSE)</f>
        <v>450</v>
      </c>
    </row>
    <row r="438" spans="1:11" x14ac:dyDescent="0.35">
      <c r="A438" t="s">
        <v>655</v>
      </c>
      <c r="B438" t="s">
        <v>16</v>
      </c>
      <c r="C438" t="s">
        <v>26</v>
      </c>
      <c r="D438">
        <v>10</v>
      </c>
      <c r="E438" t="s">
        <v>22</v>
      </c>
      <c r="F438" t="s">
        <v>13</v>
      </c>
      <c r="G438">
        <v>125</v>
      </c>
      <c r="H438">
        <v>14</v>
      </c>
      <c r="I438" t="s">
        <v>28</v>
      </c>
      <c r="J438" t="str">
        <f>_xlfn.XLOOKUP(C438,'product_masterlist(ifs)'!A:A,'product_masterlist(ifs)'!C:C,"N/A",0)</f>
        <v>Contact Lenses</v>
      </c>
      <c r="K438">
        <f>VLOOKUP(C438,'product_masterlist(ifs)'!A:I,7,FALSE)</f>
        <v>450</v>
      </c>
    </row>
    <row r="439" spans="1:11" x14ac:dyDescent="0.35">
      <c r="A439" t="s">
        <v>656</v>
      </c>
      <c r="B439" s="1">
        <v>45723</v>
      </c>
      <c r="C439" t="s">
        <v>11</v>
      </c>
      <c r="D439">
        <v>1</v>
      </c>
      <c r="E439" t="s">
        <v>12</v>
      </c>
      <c r="F439" t="s">
        <v>13</v>
      </c>
      <c r="G439">
        <v>85</v>
      </c>
      <c r="H439">
        <v>30</v>
      </c>
      <c r="I439" t="s">
        <v>14</v>
      </c>
      <c r="J439" t="str">
        <f>_xlfn.XLOOKUP(C439,'product_masterlist(ifs)'!A:A,'product_masterlist(ifs)'!C:C,"N/A",0)</f>
        <v>Surgical</v>
      </c>
      <c r="K439">
        <f>VLOOKUP(C439,'product_masterlist(ifs)'!A:I,7,FALSE)</f>
        <v>40</v>
      </c>
    </row>
    <row r="440" spans="1:11" x14ac:dyDescent="0.35">
      <c r="A440" t="s">
        <v>657</v>
      </c>
      <c r="B440" t="s">
        <v>658</v>
      </c>
      <c r="C440" t="s">
        <v>53</v>
      </c>
      <c r="D440">
        <v>24</v>
      </c>
      <c r="E440" t="s">
        <v>12</v>
      </c>
      <c r="F440" t="s">
        <v>18</v>
      </c>
      <c r="G440">
        <v>102</v>
      </c>
      <c r="H440">
        <v>7</v>
      </c>
      <c r="I440" t="s">
        <v>28</v>
      </c>
      <c r="J440" t="str">
        <f>_xlfn.XLOOKUP(C440,'product_masterlist(ifs)'!A:A,'product_masterlist(ifs)'!C:C,"N/A",0)</f>
        <v>Solutions</v>
      </c>
      <c r="K440">
        <f>VLOOKUP(C440,'product_masterlist(ifs)'!A:I,7,FALSE)</f>
        <v>800</v>
      </c>
    </row>
    <row r="441" spans="1:11" x14ac:dyDescent="0.35">
      <c r="A441" t="s">
        <v>659</v>
      </c>
      <c r="B441" t="s">
        <v>660</v>
      </c>
      <c r="C441" t="s">
        <v>26</v>
      </c>
      <c r="D441">
        <v>18</v>
      </c>
      <c r="E441" t="s">
        <v>22</v>
      </c>
      <c r="F441" t="s">
        <v>23</v>
      </c>
      <c r="G441">
        <v>225</v>
      </c>
      <c r="H441">
        <v>14</v>
      </c>
      <c r="I441" t="s">
        <v>28</v>
      </c>
      <c r="J441" t="str">
        <f>_xlfn.XLOOKUP(C441,'product_masterlist(ifs)'!A:A,'product_masterlist(ifs)'!C:C,"N/A",0)</f>
        <v>Contact Lenses</v>
      </c>
      <c r="K441">
        <f>VLOOKUP(C441,'product_masterlist(ifs)'!A:I,7,FALSE)</f>
        <v>450</v>
      </c>
    </row>
    <row r="442" spans="1:11" x14ac:dyDescent="0.35">
      <c r="A442" t="s">
        <v>661</v>
      </c>
      <c r="B442" t="s">
        <v>80</v>
      </c>
      <c r="C442" t="s">
        <v>17</v>
      </c>
      <c r="D442">
        <v>19</v>
      </c>
      <c r="E442" t="s">
        <v>22</v>
      </c>
      <c r="F442" t="s">
        <v>23</v>
      </c>
      <c r="G442">
        <v>855</v>
      </c>
      <c r="H442">
        <v>30</v>
      </c>
      <c r="I442" t="s">
        <v>14</v>
      </c>
      <c r="J442" t="str">
        <f>_xlfn.XLOOKUP(C442,'product_masterlist(ifs)'!A:A,'product_masterlist(ifs)'!C:C,"N/A",0)</f>
        <v>Frames</v>
      </c>
      <c r="K442">
        <f>VLOOKUP(C442,'product_masterlist(ifs)'!A:I,7,FALSE)</f>
        <v>45</v>
      </c>
    </row>
    <row r="443" spans="1:11" x14ac:dyDescent="0.35">
      <c r="A443" t="s">
        <v>662</v>
      </c>
      <c r="B443" s="1">
        <v>45789</v>
      </c>
      <c r="C443" t="s">
        <v>53</v>
      </c>
      <c r="D443">
        <v>7</v>
      </c>
      <c r="E443" t="s">
        <v>22</v>
      </c>
      <c r="F443" t="s">
        <v>23</v>
      </c>
      <c r="G443" t="s">
        <v>320</v>
      </c>
      <c r="H443">
        <v>7</v>
      </c>
      <c r="I443" t="s">
        <v>28</v>
      </c>
      <c r="J443" t="str">
        <f>_xlfn.XLOOKUP(C443,'product_masterlist(ifs)'!A:A,'product_masterlist(ifs)'!C:C,"N/A",0)</f>
        <v>Solutions</v>
      </c>
      <c r="K443">
        <f>VLOOKUP(C443,'product_masterlist(ifs)'!A:I,7,FALSE)</f>
        <v>800</v>
      </c>
    </row>
    <row r="444" spans="1:11" x14ac:dyDescent="0.35">
      <c r="A444" t="s">
        <v>663</v>
      </c>
      <c r="B444" t="s">
        <v>414</v>
      </c>
      <c r="C444" t="s">
        <v>53</v>
      </c>
      <c r="D444">
        <v>3</v>
      </c>
      <c r="E444" t="s">
        <v>37</v>
      </c>
      <c r="F444" t="s">
        <v>13</v>
      </c>
      <c r="G444" t="s">
        <v>278</v>
      </c>
      <c r="H444">
        <v>7</v>
      </c>
      <c r="I444" t="s">
        <v>28</v>
      </c>
      <c r="J444" t="str">
        <f>_xlfn.XLOOKUP(C444,'product_masterlist(ifs)'!A:A,'product_masterlist(ifs)'!C:C,"N/A",0)</f>
        <v>Solutions</v>
      </c>
      <c r="K444">
        <f>VLOOKUP(C444,'product_masterlist(ifs)'!A:I,7,FALSE)</f>
        <v>800</v>
      </c>
    </row>
    <row r="445" spans="1:11" x14ac:dyDescent="0.35">
      <c r="A445" t="s">
        <v>664</v>
      </c>
      <c r="B445" t="s">
        <v>212</v>
      </c>
      <c r="C445" t="s">
        <v>42</v>
      </c>
      <c r="D445">
        <v>7</v>
      </c>
      <c r="E445" t="s">
        <v>12</v>
      </c>
      <c r="F445" t="s">
        <v>18</v>
      </c>
      <c r="G445">
        <v>175</v>
      </c>
      <c r="H445">
        <v>21</v>
      </c>
      <c r="I445" t="s">
        <v>14</v>
      </c>
      <c r="J445" t="str">
        <f>_xlfn.XLOOKUP(C445,'product_masterlist(ifs)'!A:A,'product_masterlist(ifs)'!C:C,"N/A",0)</f>
        <v>Contact Lenses</v>
      </c>
      <c r="K445">
        <f>VLOOKUP(C445,'product_masterlist(ifs)'!A:I,7,FALSE)</f>
        <v>120</v>
      </c>
    </row>
    <row r="446" spans="1:11" x14ac:dyDescent="0.35">
      <c r="A446" t="s">
        <v>665</v>
      </c>
      <c r="B446" t="s">
        <v>271</v>
      </c>
      <c r="C446" t="s">
        <v>11</v>
      </c>
      <c r="D446">
        <v>24</v>
      </c>
      <c r="E446" t="s">
        <v>22</v>
      </c>
      <c r="F446" t="s">
        <v>23</v>
      </c>
      <c r="G446">
        <v>2040</v>
      </c>
      <c r="H446">
        <v>30</v>
      </c>
      <c r="I446" t="s">
        <v>14</v>
      </c>
      <c r="J446" t="str">
        <f>_xlfn.XLOOKUP(C446,'product_masterlist(ifs)'!A:A,'product_masterlist(ifs)'!C:C,"N/A",0)</f>
        <v>Surgical</v>
      </c>
      <c r="K446">
        <f>VLOOKUP(C446,'product_masterlist(ifs)'!A:I,7,FALSE)</f>
        <v>40</v>
      </c>
    </row>
    <row r="447" spans="1:11" x14ac:dyDescent="0.35">
      <c r="A447" t="s">
        <v>666</v>
      </c>
      <c r="B447" t="s">
        <v>667</v>
      </c>
      <c r="C447" t="s">
        <v>42</v>
      </c>
      <c r="D447">
        <v>7</v>
      </c>
      <c r="E447" t="s">
        <v>12</v>
      </c>
      <c r="F447" t="s">
        <v>18</v>
      </c>
      <c r="G447">
        <v>175</v>
      </c>
      <c r="H447">
        <v>21</v>
      </c>
      <c r="I447" t="s">
        <v>14</v>
      </c>
      <c r="J447" t="str">
        <f>_xlfn.XLOOKUP(C447,'product_masterlist(ifs)'!A:A,'product_masterlist(ifs)'!C:C,"N/A",0)</f>
        <v>Contact Lenses</v>
      </c>
      <c r="K447">
        <f>VLOOKUP(C447,'product_masterlist(ifs)'!A:I,7,FALSE)</f>
        <v>120</v>
      </c>
    </row>
    <row r="448" spans="1:11" x14ac:dyDescent="0.35">
      <c r="A448" t="s">
        <v>668</v>
      </c>
      <c r="B448" s="1">
        <v>46001</v>
      </c>
      <c r="C448" t="s">
        <v>90</v>
      </c>
      <c r="D448">
        <v>14</v>
      </c>
      <c r="E448" t="s">
        <v>37</v>
      </c>
      <c r="F448" t="s">
        <v>18</v>
      </c>
      <c r="G448">
        <v>679</v>
      </c>
      <c r="H448">
        <v>30</v>
      </c>
      <c r="I448" t="s">
        <v>14</v>
      </c>
      <c r="J448" t="str">
        <f>_xlfn.XLOOKUP(C448,'product_masterlist(ifs)'!A:A,'product_masterlist(ifs)'!C:C,"N/A",0)</f>
        <v>Frames</v>
      </c>
      <c r="K448">
        <f>VLOOKUP(C448,'product_masterlist(ifs)'!A:I,7,FALSE)</f>
        <v>180</v>
      </c>
    </row>
    <row r="449" spans="1:11" x14ac:dyDescent="0.35">
      <c r="A449" t="s">
        <v>669</v>
      </c>
      <c r="B449" t="s">
        <v>242</v>
      </c>
      <c r="C449" t="s">
        <v>26</v>
      </c>
      <c r="D449">
        <v>23</v>
      </c>
      <c r="E449" t="s">
        <v>22</v>
      </c>
      <c r="F449" t="s">
        <v>31</v>
      </c>
      <c r="G449" t="s">
        <v>162</v>
      </c>
      <c r="H449">
        <v>14</v>
      </c>
      <c r="I449" t="s">
        <v>28</v>
      </c>
      <c r="J449" t="str">
        <f>_xlfn.XLOOKUP(C449,'product_masterlist(ifs)'!A:A,'product_masterlist(ifs)'!C:C,"N/A",0)</f>
        <v>Contact Lenses</v>
      </c>
      <c r="K449">
        <f>VLOOKUP(C449,'product_masterlist(ifs)'!A:I,7,FALSE)</f>
        <v>450</v>
      </c>
    </row>
    <row r="450" spans="1:11" x14ac:dyDescent="0.35">
      <c r="A450" t="s">
        <v>670</v>
      </c>
      <c r="B450" t="s">
        <v>129</v>
      </c>
      <c r="C450" t="s">
        <v>42</v>
      </c>
      <c r="D450">
        <v>7</v>
      </c>
      <c r="E450" t="s">
        <v>22</v>
      </c>
      <c r="F450" t="s">
        <v>23</v>
      </c>
      <c r="G450">
        <v>175</v>
      </c>
      <c r="H450">
        <v>21</v>
      </c>
      <c r="I450" t="s">
        <v>14</v>
      </c>
      <c r="J450" t="str">
        <f>_xlfn.XLOOKUP(C450,'product_masterlist(ifs)'!A:A,'product_masterlist(ifs)'!C:C,"N/A",0)</f>
        <v>Contact Lenses</v>
      </c>
      <c r="K450">
        <f>VLOOKUP(C450,'product_masterlist(ifs)'!A:I,7,FALSE)</f>
        <v>120</v>
      </c>
    </row>
    <row r="451" spans="1:11" x14ac:dyDescent="0.35">
      <c r="A451" t="s">
        <v>671</v>
      </c>
      <c r="B451" s="1">
        <v>45820</v>
      </c>
      <c r="C451" t="s">
        <v>90</v>
      </c>
      <c r="D451">
        <v>20</v>
      </c>
      <c r="E451" t="s">
        <v>22</v>
      </c>
      <c r="F451" t="s">
        <v>13</v>
      </c>
      <c r="G451">
        <v>970</v>
      </c>
      <c r="H451">
        <v>30</v>
      </c>
      <c r="I451" t="s">
        <v>14</v>
      </c>
      <c r="J451" t="str">
        <f>_xlfn.XLOOKUP(C451,'product_masterlist(ifs)'!A:A,'product_masterlist(ifs)'!C:C,"N/A",0)</f>
        <v>Frames</v>
      </c>
      <c r="K451">
        <f>VLOOKUP(C451,'product_masterlist(ifs)'!A:I,7,FALSE)</f>
        <v>180</v>
      </c>
    </row>
    <row r="452" spans="1:11" x14ac:dyDescent="0.35">
      <c r="A452" t="s">
        <v>672</v>
      </c>
      <c r="B452" s="1">
        <v>45722</v>
      </c>
      <c r="C452" t="s">
        <v>42</v>
      </c>
      <c r="D452">
        <v>21</v>
      </c>
      <c r="E452" t="s">
        <v>37</v>
      </c>
      <c r="F452" t="s">
        <v>31</v>
      </c>
      <c r="G452">
        <v>525</v>
      </c>
      <c r="H452">
        <v>21</v>
      </c>
      <c r="I452" t="s">
        <v>14</v>
      </c>
      <c r="J452" t="str">
        <f>_xlfn.XLOOKUP(C452,'product_masterlist(ifs)'!A:A,'product_masterlist(ifs)'!C:C,"N/A",0)</f>
        <v>Contact Lenses</v>
      </c>
      <c r="K452">
        <f>VLOOKUP(C452,'product_masterlist(ifs)'!A:I,7,FALSE)</f>
        <v>120</v>
      </c>
    </row>
    <row r="453" spans="1:11" x14ac:dyDescent="0.35">
      <c r="A453" t="s">
        <v>673</v>
      </c>
      <c r="B453" t="s">
        <v>674</v>
      </c>
      <c r="C453" t="s">
        <v>42</v>
      </c>
      <c r="D453">
        <v>12</v>
      </c>
      <c r="E453" t="s">
        <v>22</v>
      </c>
      <c r="F453" t="s">
        <v>23</v>
      </c>
      <c r="G453">
        <v>300</v>
      </c>
      <c r="H453">
        <v>21</v>
      </c>
      <c r="I453" t="s">
        <v>14</v>
      </c>
      <c r="J453" t="str">
        <f>_xlfn.XLOOKUP(C453,'product_masterlist(ifs)'!A:A,'product_masterlist(ifs)'!C:C,"N/A",0)</f>
        <v>Contact Lenses</v>
      </c>
      <c r="K453">
        <f>VLOOKUP(C453,'product_masterlist(ifs)'!A:I,7,FALSE)</f>
        <v>120</v>
      </c>
    </row>
    <row r="454" spans="1:11" x14ac:dyDescent="0.35">
      <c r="A454" t="s">
        <v>675</v>
      </c>
      <c r="B454" t="s">
        <v>393</v>
      </c>
      <c r="C454" t="s">
        <v>17</v>
      </c>
      <c r="D454">
        <v>12</v>
      </c>
      <c r="E454" t="s">
        <v>12</v>
      </c>
      <c r="F454" t="s">
        <v>18</v>
      </c>
      <c r="G454">
        <v>540</v>
      </c>
      <c r="H454">
        <v>30</v>
      </c>
      <c r="I454" t="s">
        <v>14</v>
      </c>
      <c r="J454" t="str">
        <f>_xlfn.XLOOKUP(C454,'product_masterlist(ifs)'!A:A,'product_masterlist(ifs)'!C:C,"N/A",0)</f>
        <v>Frames</v>
      </c>
      <c r="K454">
        <f>VLOOKUP(C454,'product_masterlist(ifs)'!A:I,7,FALSE)</f>
        <v>45</v>
      </c>
    </row>
    <row r="455" spans="1:11" x14ac:dyDescent="0.35">
      <c r="A455" t="s">
        <v>676</v>
      </c>
      <c r="B455" s="1">
        <v>45662</v>
      </c>
      <c r="C455" t="s">
        <v>33</v>
      </c>
      <c r="D455">
        <v>21</v>
      </c>
      <c r="E455" t="s">
        <v>22</v>
      </c>
      <c r="F455" t="s">
        <v>13</v>
      </c>
      <c r="G455">
        <v>3150</v>
      </c>
      <c r="H455">
        <v>45</v>
      </c>
      <c r="I455" t="s">
        <v>34</v>
      </c>
      <c r="J455" t="str">
        <f>_xlfn.XLOOKUP(C455,'product_masterlist(ifs)'!A:A,'product_masterlist(ifs)'!C:C,"N/A",0)</f>
        <v>Surgical</v>
      </c>
      <c r="K455">
        <f>VLOOKUP(C455,'product_masterlist(ifs)'!A:I,7,FALSE)</f>
        <v>15</v>
      </c>
    </row>
    <row r="456" spans="1:11" x14ac:dyDescent="0.35">
      <c r="A456" t="s">
        <v>677</v>
      </c>
      <c r="B456" s="1">
        <v>45660</v>
      </c>
      <c r="C456" t="s">
        <v>90</v>
      </c>
      <c r="D456">
        <v>17</v>
      </c>
      <c r="E456" t="s">
        <v>37</v>
      </c>
      <c r="F456" t="s">
        <v>23</v>
      </c>
      <c r="G456" t="s">
        <v>362</v>
      </c>
      <c r="H456">
        <v>30</v>
      </c>
      <c r="I456" t="s">
        <v>14</v>
      </c>
      <c r="J456" t="str">
        <f>_xlfn.XLOOKUP(C456,'product_masterlist(ifs)'!A:A,'product_masterlist(ifs)'!C:C,"N/A",0)</f>
        <v>Frames</v>
      </c>
      <c r="K456">
        <f>VLOOKUP(C456,'product_masterlist(ifs)'!A:I,7,FALSE)</f>
        <v>180</v>
      </c>
    </row>
    <row r="457" spans="1:11" x14ac:dyDescent="0.35">
      <c r="A457" t="s">
        <v>678</v>
      </c>
      <c r="B457" t="s">
        <v>477</v>
      </c>
      <c r="C457" t="s">
        <v>26</v>
      </c>
      <c r="D457">
        <v>21</v>
      </c>
      <c r="E457" t="s">
        <v>12</v>
      </c>
      <c r="F457" t="s">
        <v>31</v>
      </c>
      <c r="G457" t="s">
        <v>366</v>
      </c>
      <c r="H457">
        <v>14</v>
      </c>
      <c r="I457" t="s">
        <v>28</v>
      </c>
      <c r="J457" t="str">
        <f>_xlfn.XLOOKUP(C457,'product_masterlist(ifs)'!A:A,'product_masterlist(ifs)'!C:C,"N/A",0)</f>
        <v>Contact Lenses</v>
      </c>
      <c r="K457">
        <f>VLOOKUP(C457,'product_masterlist(ifs)'!A:I,7,FALSE)</f>
        <v>450</v>
      </c>
    </row>
    <row r="458" spans="1:11" x14ac:dyDescent="0.35">
      <c r="A458" t="s">
        <v>679</v>
      </c>
      <c r="B458" t="s">
        <v>654</v>
      </c>
      <c r="C458" t="s">
        <v>53</v>
      </c>
      <c r="D458">
        <v>6</v>
      </c>
      <c r="E458" t="s">
        <v>22</v>
      </c>
      <c r="F458" t="s">
        <v>18</v>
      </c>
      <c r="G458" t="s">
        <v>369</v>
      </c>
      <c r="H458">
        <v>7</v>
      </c>
      <c r="I458" t="s">
        <v>28</v>
      </c>
      <c r="J458" t="str">
        <f>_xlfn.XLOOKUP(C458,'product_masterlist(ifs)'!A:A,'product_masterlist(ifs)'!C:C,"N/A",0)</f>
        <v>Solutions</v>
      </c>
      <c r="K458">
        <f>VLOOKUP(C458,'product_masterlist(ifs)'!A:I,7,FALSE)</f>
        <v>800</v>
      </c>
    </row>
    <row r="459" spans="1:11" x14ac:dyDescent="0.35">
      <c r="A459" t="s">
        <v>680</v>
      </c>
      <c r="B459" s="1">
        <v>45723</v>
      </c>
      <c r="C459" t="s">
        <v>11</v>
      </c>
      <c r="D459">
        <v>24</v>
      </c>
      <c r="E459" t="s">
        <v>37</v>
      </c>
      <c r="F459" t="s">
        <v>23</v>
      </c>
      <c r="G459">
        <v>2040</v>
      </c>
      <c r="H459">
        <v>30</v>
      </c>
      <c r="I459" t="s">
        <v>14</v>
      </c>
      <c r="J459" t="str">
        <f>_xlfn.XLOOKUP(C459,'product_masterlist(ifs)'!A:A,'product_masterlist(ifs)'!C:C,"N/A",0)</f>
        <v>Surgical</v>
      </c>
      <c r="K459">
        <f>VLOOKUP(C459,'product_masterlist(ifs)'!A:I,7,FALSE)</f>
        <v>40</v>
      </c>
    </row>
    <row r="460" spans="1:11" x14ac:dyDescent="0.35">
      <c r="A460" t="s">
        <v>681</v>
      </c>
      <c r="B460" t="s">
        <v>97</v>
      </c>
      <c r="C460" t="s">
        <v>53</v>
      </c>
      <c r="D460">
        <v>1</v>
      </c>
      <c r="E460" t="s">
        <v>12</v>
      </c>
      <c r="F460" t="s">
        <v>18</v>
      </c>
      <c r="G460" t="s">
        <v>372</v>
      </c>
      <c r="H460">
        <v>7</v>
      </c>
      <c r="I460" t="s">
        <v>28</v>
      </c>
      <c r="J460" t="str">
        <f>_xlfn.XLOOKUP(C460,'product_masterlist(ifs)'!A:A,'product_masterlist(ifs)'!C:C,"N/A",0)</f>
        <v>Solutions</v>
      </c>
      <c r="K460">
        <f>VLOOKUP(C460,'product_masterlist(ifs)'!A:I,7,FALSE)</f>
        <v>800</v>
      </c>
    </row>
    <row r="461" spans="1:11" x14ac:dyDescent="0.35">
      <c r="A461" t="s">
        <v>682</v>
      </c>
      <c r="B461" t="s">
        <v>683</v>
      </c>
      <c r="C461" t="s">
        <v>53</v>
      </c>
      <c r="D461">
        <v>4</v>
      </c>
      <c r="E461" t="s">
        <v>22</v>
      </c>
      <c r="F461" t="s">
        <v>31</v>
      </c>
      <c r="G461">
        <v>17</v>
      </c>
      <c r="H461">
        <v>7</v>
      </c>
      <c r="I461" t="s">
        <v>28</v>
      </c>
      <c r="J461" t="str">
        <f>_xlfn.XLOOKUP(C461,'product_masterlist(ifs)'!A:A,'product_masterlist(ifs)'!C:C,"N/A",0)</f>
        <v>Solutions</v>
      </c>
      <c r="K461">
        <f>VLOOKUP(C461,'product_masterlist(ifs)'!A:I,7,FALSE)</f>
        <v>800</v>
      </c>
    </row>
    <row r="462" spans="1:11" x14ac:dyDescent="0.35">
      <c r="A462" t="s">
        <v>684</v>
      </c>
      <c r="B462" t="s">
        <v>588</v>
      </c>
      <c r="C462" t="s">
        <v>42</v>
      </c>
      <c r="D462">
        <v>11</v>
      </c>
      <c r="E462" t="s">
        <v>12</v>
      </c>
      <c r="F462" t="s">
        <v>23</v>
      </c>
      <c r="G462">
        <v>275</v>
      </c>
      <c r="H462">
        <v>21</v>
      </c>
      <c r="I462" t="s">
        <v>14</v>
      </c>
      <c r="J462" t="str">
        <f>_xlfn.XLOOKUP(C462,'product_masterlist(ifs)'!A:A,'product_masterlist(ifs)'!C:C,"N/A",0)</f>
        <v>Contact Lenses</v>
      </c>
      <c r="K462">
        <f>VLOOKUP(C462,'product_masterlist(ifs)'!A:I,7,FALSE)</f>
        <v>120</v>
      </c>
    </row>
    <row r="463" spans="1:11" x14ac:dyDescent="0.35">
      <c r="A463" t="s">
        <v>685</v>
      </c>
      <c r="B463" t="s">
        <v>271</v>
      </c>
      <c r="C463" t="s">
        <v>53</v>
      </c>
      <c r="D463">
        <v>2</v>
      </c>
      <c r="E463" t="s">
        <v>12</v>
      </c>
      <c r="F463" t="s">
        <v>13</v>
      </c>
      <c r="G463" t="s">
        <v>291</v>
      </c>
      <c r="H463">
        <v>7</v>
      </c>
      <c r="I463" t="s">
        <v>28</v>
      </c>
      <c r="J463" t="str">
        <f>_xlfn.XLOOKUP(C463,'product_masterlist(ifs)'!A:A,'product_masterlist(ifs)'!C:C,"N/A",0)</f>
        <v>Solutions</v>
      </c>
      <c r="K463">
        <f>VLOOKUP(C463,'product_masterlist(ifs)'!A:I,7,FALSE)</f>
        <v>800</v>
      </c>
    </row>
    <row r="464" spans="1:11" x14ac:dyDescent="0.35">
      <c r="A464" t="s">
        <v>686</v>
      </c>
      <c r="B464" t="s">
        <v>561</v>
      </c>
      <c r="C464" t="s">
        <v>17</v>
      </c>
      <c r="D464">
        <v>19</v>
      </c>
      <c r="E464" t="s">
        <v>22</v>
      </c>
      <c r="F464" t="s">
        <v>18</v>
      </c>
      <c r="G464">
        <v>855</v>
      </c>
      <c r="H464">
        <v>30</v>
      </c>
      <c r="I464" t="s">
        <v>14</v>
      </c>
      <c r="J464" t="str">
        <f>_xlfn.XLOOKUP(C464,'product_masterlist(ifs)'!A:A,'product_masterlist(ifs)'!C:C,"N/A",0)</f>
        <v>Frames</v>
      </c>
      <c r="K464">
        <f>VLOOKUP(C464,'product_masterlist(ifs)'!A:I,7,FALSE)</f>
        <v>45</v>
      </c>
    </row>
    <row r="465" spans="1:11" x14ac:dyDescent="0.35">
      <c r="A465" t="s">
        <v>687</v>
      </c>
      <c r="B465" t="s">
        <v>688</v>
      </c>
      <c r="C465" t="s">
        <v>53</v>
      </c>
      <c r="D465">
        <v>20</v>
      </c>
      <c r="E465" t="s">
        <v>22</v>
      </c>
      <c r="F465" t="s">
        <v>23</v>
      </c>
      <c r="G465">
        <v>85</v>
      </c>
      <c r="H465">
        <v>7</v>
      </c>
      <c r="I465" t="s">
        <v>28</v>
      </c>
      <c r="J465" t="str">
        <f>_xlfn.XLOOKUP(C465,'product_masterlist(ifs)'!A:A,'product_masterlist(ifs)'!C:C,"N/A",0)</f>
        <v>Solutions</v>
      </c>
      <c r="K465">
        <f>VLOOKUP(C465,'product_masterlist(ifs)'!A:I,7,FALSE)</f>
        <v>800</v>
      </c>
    </row>
    <row r="466" spans="1:11" x14ac:dyDescent="0.35">
      <c r="A466" t="s">
        <v>689</v>
      </c>
      <c r="B466" t="s">
        <v>690</v>
      </c>
      <c r="C466" t="s">
        <v>53</v>
      </c>
      <c r="D466">
        <v>1</v>
      </c>
      <c r="E466" t="s">
        <v>22</v>
      </c>
      <c r="F466" t="s">
        <v>13</v>
      </c>
      <c r="G466" t="s">
        <v>372</v>
      </c>
      <c r="H466">
        <v>7</v>
      </c>
      <c r="I466" t="s">
        <v>28</v>
      </c>
      <c r="J466" t="str">
        <f>_xlfn.XLOOKUP(C466,'product_masterlist(ifs)'!A:A,'product_masterlist(ifs)'!C:C,"N/A",0)</f>
        <v>Solutions</v>
      </c>
      <c r="K466">
        <f>VLOOKUP(C466,'product_masterlist(ifs)'!A:I,7,FALSE)</f>
        <v>800</v>
      </c>
    </row>
    <row r="467" spans="1:11" x14ac:dyDescent="0.35">
      <c r="A467" t="s">
        <v>691</v>
      </c>
      <c r="B467" s="1">
        <v>45750</v>
      </c>
      <c r="C467" t="s">
        <v>53</v>
      </c>
      <c r="D467">
        <v>16</v>
      </c>
      <c r="E467" t="s">
        <v>37</v>
      </c>
      <c r="F467" t="s">
        <v>13</v>
      </c>
      <c r="G467">
        <v>68</v>
      </c>
      <c r="H467">
        <v>7</v>
      </c>
      <c r="I467" t="s">
        <v>28</v>
      </c>
      <c r="J467" t="str">
        <f>_xlfn.XLOOKUP(C467,'product_masterlist(ifs)'!A:A,'product_masterlist(ifs)'!C:C,"N/A",0)</f>
        <v>Solutions</v>
      </c>
      <c r="K467">
        <f>VLOOKUP(C467,'product_masterlist(ifs)'!A:I,7,FALSE)</f>
        <v>800</v>
      </c>
    </row>
    <row r="468" spans="1:11" x14ac:dyDescent="0.35">
      <c r="A468" t="s">
        <v>692</v>
      </c>
      <c r="B468" t="s">
        <v>89</v>
      </c>
      <c r="C468" t="s">
        <v>11</v>
      </c>
      <c r="D468">
        <v>12</v>
      </c>
      <c r="E468" t="s">
        <v>37</v>
      </c>
      <c r="F468" t="s">
        <v>18</v>
      </c>
      <c r="G468">
        <v>1020</v>
      </c>
      <c r="H468">
        <v>30</v>
      </c>
      <c r="I468" t="s">
        <v>14</v>
      </c>
      <c r="J468" t="str">
        <f>_xlfn.XLOOKUP(C468,'product_masterlist(ifs)'!A:A,'product_masterlist(ifs)'!C:C,"N/A",0)</f>
        <v>Surgical</v>
      </c>
      <c r="K468">
        <f>VLOOKUP(C468,'product_masterlist(ifs)'!A:I,7,FALSE)</f>
        <v>40</v>
      </c>
    </row>
    <row r="469" spans="1:11" x14ac:dyDescent="0.35">
      <c r="A469" t="s">
        <v>693</v>
      </c>
      <c r="B469" s="1">
        <v>45662</v>
      </c>
      <c r="C469" t="s">
        <v>33</v>
      </c>
      <c r="D469">
        <v>21</v>
      </c>
      <c r="E469" t="s">
        <v>37</v>
      </c>
      <c r="F469" t="s">
        <v>18</v>
      </c>
      <c r="G469">
        <v>3150</v>
      </c>
      <c r="H469">
        <v>45</v>
      </c>
      <c r="I469" t="s">
        <v>34</v>
      </c>
      <c r="J469" t="str">
        <f>_xlfn.XLOOKUP(C469,'product_masterlist(ifs)'!A:A,'product_masterlist(ifs)'!C:C,"N/A",0)</f>
        <v>Surgical</v>
      </c>
      <c r="K469">
        <f>VLOOKUP(C469,'product_masterlist(ifs)'!A:I,7,FALSE)</f>
        <v>15</v>
      </c>
    </row>
    <row r="470" spans="1:11" x14ac:dyDescent="0.35">
      <c r="A470" t="s">
        <v>694</v>
      </c>
      <c r="B470" t="s">
        <v>281</v>
      </c>
      <c r="C470" t="s">
        <v>17</v>
      </c>
      <c r="D470">
        <v>12</v>
      </c>
      <c r="E470" t="s">
        <v>22</v>
      </c>
      <c r="F470" t="s">
        <v>18</v>
      </c>
      <c r="G470">
        <v>540</v>
      </c>
      <c r="H470">
        <v>30</v>
      </c>
      <c r="I470" t="s">
        <v>14</v>
      </c>
      <c r="J470" t="str">
        <f>_xlfn.XLOOKUP(C470,'product_masterlist(ifs)'!A:A,'product_masterlist(ifs)'!C:C,"N/A",0)</f>
        <v>Frames</v>
      </c>
      <c r="K470">
        <f>VLOOKUP(C470,'product_masterlist(ifs)'!A:I,7,FALSE)</f>
        <v>45</v>
      </c>
    </row>
    <row r="471" spans="1:11" x14ac:dyDescent="0.35">
      <c r="A471" t="s">
        <v>695</v>
      </c>
      <c r="B471" s="1">
        <v>45939</v>
      </c>
      <c r="C471" t="s">
        <v>90</v>
      </c>
      <c r="D471">
        <v>7</v>
      </c>
      <c r="E471" t="s">
        <v>22</v>
      </c>
      <c r="F471" t="s">
        <v>13</v>
      </c>
      <c r="G471" t="s">
        <v>181</v>
      </c>
      <c r="H471">
        <v>30</v>
      </c>
      <c r="I471" t="s">
        <v>14</v>
      </c>
      <c r="J471" t="str">
        <f>_xlfn.XLOOKUP(C471,'product_masterlist(ifs)'!A:A,'product_masterlist(ifs)'!C:C,"N/A",0)</f>
        <v>Frames</v>
      </c>
      <c r="K471">
        <f>VLOOKUP(C471,'product_masterlist(ifs)'!A:I,7,FALSE)</f>
        <v>180</v>
      </c>
    </row>
    <row r="472" spans="1:11" x14ac:dyDescent="0.35">
      <c r="A472" t="s">
        <v>696</v>
      </c>
      <c r="B472" s="1">
        <v>45718</v>
      </c>
      <c r="C472" t="s">
        <v>11</v>
      </c>
      <c r="D472">
        <v>14</v>
      </c>
      <c r="E472" t="s">
        <v>37</v>
      </c>
      <c r="F472" t="s">
        <v>13</v>
      </c>
      <c r="G472">
        <v>1190</v>
      </c>
      <c r="H472">
        <v>30</v>
      </c>
      <c r="I472" t="s">
        <v>14</v>
      </c>
      <c r="J472" t="str">
        <f>_xlfn.XLOOKUP(C472,'product_masterlist(ifs)'!A:A,'product_masterlist(ifs)'!C:C,"N/A",0)</f>
        <v>Surgical</v>
      </c>
      <c r="K472">
        <f>VLOOKUP(C472,'product_masterlist(ifs)'!A:I,7,FALSE)</f>
        <v>40</v>
      </c>
    </row>
    <row r="473" spans="1:11" x14ac:dyDescent="0.35">
      <c r="A473" t="s">
        <v>697</v>
      </c>
      <c r="B473" s="1">
        <v>45778</v>
      </c>
      <c r="C473" t="s">
        <v>53</v>
      </c>
      <c r="D473">
        <v>17</v>
      </c>
      <c r="E473" t="s">
        <v>20</v>
      </c>
      <c r="F473" t="s">
        <v>31</v>
      </c>
      <c r="G473" t="s">
        <v>698</v>
      </c>
      <c r="H473">
        <v>7</v>
      </c>
      <c r="I473" t="s">
        <v>28</v>
      </c>
      <c r="J473" t="str">
        <f>_xlfn.XLOOKUP(C473,'product_masterlist(ifs)'!A:A,'product_masterlist(ifs)'!C:C,"N/A",0)</f>
        <v>Solutions</v>
      </c>
      <c r="K473">
        <f>VLOOKUP(C473,'product_masterlist(ifs)'!A:I,7,FALSE)</f>
        <v>800</v>
      </c>
    </row>
    <row r="474" spans="1:11" x14ac:dyDescent="0.35">
      <c r="A474" t="s">
        <v>699</v>
      </c>
      <c r="B474" t="s">
        <v>700</v>
      </c>
      <c r="C474" t="s">
        <v>11</v>
      </c>
      <c r="D474">
        <v>1</v>
      </c>
      <c r="E474" t="s">
        <v>20</v>
      </c>
      <c r="F474" t="s">
        <v>31</v>
      </c>
      <c r="G474">
        <v>85</v>
      </c>
      <c r="H474">
        <v>30</v>
      </c>
      <c r="I474" t="s">
        <v>14</v>
      </c>
      <c r="J474" t="str">
        <f>_xlfn.XLOOKUP(C474,'product_masterlist(ifs)'!A:A,'product_masterlist(ifs)'!C:C,"N/A",0)</f>
        <v>Surgical</v>
      </c>
      <c r="K474">
        <f>VLOOKUP(C474,'product_masterlist(ifs)'!A:I,7,FALSE)</f>
        <v>40</v>
      </c>
    </row>
    <row r="475" spans="1:11" x14ac:dyDescent="0.35">
      <c r="A475" t="s">
        <v>701</v>
      </c>
      <c r="B475" s="1">
        <v>45720</v>
      </c>
      <c r="C475" t="s">
        <v>42</v>
      </c>
      <c r="D475">
        <v>23</v>
      </c>
      <c r="E475" t="s">
        <v>37</v>
      </c>
      <c r="F475" t="s">
        <v>23</v>
      </c>
      <c r="G475">
        <v>575</v>
      </c>
      <c r="H475">
        <v>21</v>
      </c>
      <c r="I475" t="s">
        <v>14</v>
      </c>
      <c r="J475" t="str">
        <f>_xlfn.XLOOKUP(C475,'product_masterlist(ifs)'!A:A,'product_masterlist(ifs)'!C:C,"N/A",0)</f>
        <v>Contact Lenses</v>
      </c>
      <c r="K475">
        <f>VLOOKUP(C475,'product_masterlist(ifs)'!A:I,7,FALSE)</f>
        <v>120</v>
      </c>
    </row>
    <row r="476" spans="1:11" x14ac:dyDescent="0.35">
      <c r="A476" t="s">
        <v>702</v>
      </c>
      <c r="B476" t="s">
        <v>457</v>
      </c>
      <c r="C476" t="s">
        <v>11</v>
      </c>
      <c r="D476">
        <v>12</v>
      </c>
      <c r="E476" t="s">
        <v>12</v>
      </c>
      <c r="F476" t="s">
        <v>18</v>
      </c>
      <c r="G476">
        <v>1020</v>
      </c>
      <c r="H476">
        <v>30</v>
      </c>
      <c r="I476" t="s">
        <v>14</v>
      </c>
      <c r="J476" t="str">
        <f>_xlfn.XLOOKUP(C476,'product_masterlist(ifs)'!A:A,'product_masterlist(ifs)'!C:C,"N/A",0)</f>
        <v>Surgical</v>
      </c>
      <c r="K476">
        <f>VLOOKUP(C476,'product_masterlist(ifs)'!A:I,7,FALSE)</f>
        <v>40</v>
      </c>
    </row>
    <row r="477" spans="1:11" x14ac:dyDescent="0.35">
      <c r="A477" t="s">
        <v>703</v>
      </c>
      <c r="B477" t="s">
        <v>704</v>
      </c>
      <c r="C477" t="s">
        <v>90</v>
      </c>
      <c r="D477">
        <v>11</v>
      </c>
      <c r="E477" t="s">
        <v>20</v>
      </c>
      <c r="F477" t="s">
        <v>31</v>
      </c>
      <c r="G477" t="s">
        <v>238</v>
      </c>
      <c r="H477">
        <v>30</v>
      </c>
      <c r="I477" t="s">
        <v>14</v>
      </c>
      <c r="J477" t="str">
        <f>_xlfn.XLOOKUP(C477,'product_masterlist(ifs)'!A:A,'product_masterlist(ifs)'!C:C,"N/A",0)</f>
        <v>Frames</v>
      </c>
      <c r="K477">
        <f>VLOOKUP(C477,'product_masterlist(ifs)'!A:I,7,FALSE)</f>
        <v>180</v>
      </c>
    </row>
    <row r="478" spans="1:11" x14ac:dyDescent="0.35">
      <c r="A478" t="s">
        <v>705</v>
      </c>
      <c r="B478" t="s">
        <v>706</v>
      </c>
      <c r="C478" t="s">
        <v>11</v>
      </c>
      <c r="D478">
        <v>13</v>
      </c>
      <c r="E478" t="s">
        <v>20</v>
      </c>
      <c r="F478" t="s">
        <v>23</v>
      </c>
      <c r="G478">
        <v>1105</v>
      </c>
      <c r="H478">
        <v>30</v>
      </c>
      <c r="I478" t="s">
        <v>14</v>
      </c>
      <c r="J478" t="str">
        <f>_xlfn.XLOOKUP(C478,'product_masterlist(ifs)'!A:A,'product_masterlist(ifs)'!C:C,"N/A",0)</f>
        <v>Surgical</v>
      </c>
      <c r="K478">
        <f>VLOOKUP(C478,'product_masterlist(ifs)'!A:I,7,FALSE)</f>
        <v>40</v>
      </c>
    </row>
    <row r="479" spans="1:11" x14ac:dyDescent="0.35">
      <c r="A479" t="s">
        <v>707</v>
      </c>
      <c r="B479" t="s">
        <v>708</v>
      </c>
      <c r="C479" t="s">
        <v>53</v>
      </c>
      <c r="D479">
        <v>21</v>
      </c>
      <c r="E479" t="s">
        <v>12</v>
      </c>
      <c r="F479" t="s">
        <v>18</v>
      </c>
      <c r="G479" t="s">
        <v>197</v>
      </c>
      <c r="H479">
        <v>7</v>
      </c>
      <c r="I479" t="s">
        <v>28</v>
      </c>
      <c r="J479" t="str">
        <f>_xlfn.XLOOKUP(C479,'product_masterlist(ifs)'!A:A,'product_masterlist(ifs)'!C:C,"N/A",0)</f>
        <v>Solutions</v>
      </c>
      <c r="K479">
        <f>VLOOKUP(C479,'product_masterlist(ifs)'!A:I,7,FALSE)</f>
        <v>800</v>
      </c>
    </row>
    <row r="480" spans="1:11" x14ac:dyDescent="0.35">
      <c r="A480" t="s">
        <v>709</v>
      </c>
      <c r="B480" s="1">
        <v>46002</v>
      </c>
      <c r="C480" t="s">
        <v>90</v>
      </c>
      <c r="D480">
        <v>17</v>
      </c>
      <c r="E480" t="s">
        <v>22</v>
      </c>
      <c r="F480" t="s">
        <v>23</v>
      </c>
      <c r="G480" t="s">
        <v>362</v>
      </c>
      <c r="H480">
        <v>30</v>
      </c>
      <c r="I480" t="s">
        <v>14</v>
      </c>
      <c r="J480" t="str">
        <f>_xlfn.XLOOKUP(C480,'product_masterlist(ifs)'!A:A,'product_masterlist(ifs)'!C:C,"N/A",0)</f>
        <v>Frames</v>
      </c>
      <c r="K480">
        <f>VLOOKUP(C480,'product_masterlist(ifs)'!A:I,7,FALSE)</f>
        <v>180</v>
      </c>
    </row>
    <row r="481" spans="1:11" x14ac:dyDescent="0.35">
      <c r="A481" t="s">
        <v>710</v>
      </c>
      <c r="B481" t="s">
        <v>711</v>
      </c>
      <c r="C481" t="s">
        <v>42</v>
      </c>
      <c r="D481">
        <v>7</v>
      </c>
      <c r="E481" t="s">
        <v>22</v>
      </c>
      <c r="F481" t="s">
        <v>13</v>
      </c>
      <c r="G481">
        <v>175</v>
      </c>
      <c r="H481">
        <v>21</v>
      </c>
      <c r="I481" t="s">
        <v>14</v>
      </c>
      <c r="J481" t="str">
        <f>_xlfn.XLOOKUP(C481,'product_masterlist(ifs)'!A:A,'product_masterlist(ifs)'!C:C,"N/A",0)</f>
        <v>Contact Lenses</v>
      </c>
      <c r="K481">
        <f>VLOOKUP(C481,'product_masterlist(ifs)'!A:I,7,FALSE)</f>
        <v>120</v>
      </c>
    </row>
    <row r="482" spans="1:11" x14ac:dyDescent="0.35">
      <c r="A482" t="s">
        <v>712</v>
      </c>
      <c r="B482" t="s">
        <v>599</v>
      </c>
      <c r="C482" t="s">
        <v>11</v>
      </c>
      <c r="D482">
        <v>23</v>
      </c>
      <c r="E482" t="s">
        <v>37</v>
      </c>
      <c r="F482" t="s">
        <v>18</v>
      </c>
      <c r="G482">
        <v>1955</v>
      </c>
      <c r="H482">
        <v>30</v>
      </c>
      <c r="I482" t="s">
        <v>14</v>
      </c>
      <c r="J482" t="str">
        <f>_xlfn.XLOOKUP(C482,'product_masterlist(ifs)'!A:A,'product_masterlist(ifs)'!C:C,"N/A",0)</f>
        <v>Surgical</v>
      </c>
      <c r="K482">
        <f>VLOOKUP(C482,'product_masterlist(ifs)'!A:I,7,FALSE)</f>
        <v>40</v>
      </c>
    </row>
    <row r="483" spans="1:11" x14ac:dyDescent="0.35">
      <c r="A483" t="s">
        <v>713</v>
      </c>
      <c r="B483" t="s">
        <v>688</v>
      </c>
      <c r="C483" t="s">
        <v>53</v>
      </c>
      <c r="D483">
        <v>20</v>
      </c>
      <c r="E483" t="s">
        <v>37</v>
      </c>
      <c r="F483" t="s">
        <v>18</v>
      </c>
      <c r="G483">
        <v>85</v>
      </c>
      <c r="H483">
        <v>7</v>
      </c>
      <c r="I483" t="s">
        <v>28</v>
      </c>
      <c r="J483" t="str">
        <f>_xlfn.XLOOKUP(C483,'product_masterlist(ifs)'!A:A,'product_masterlist(ifs)'!C:C,"N/A",0)</f>
        <v>Solutions</v>
      </c>
      <c r="K483">
        <f>VLOOKUP(C483,'product_masterlist(ifs)'!A:I,7,FALSE)</f>
        <v>800</v>
      </c>
    </row>
    <row r="484" spans="1:11" x14ac:dyDescent="0.35">
      <c r="A484" t="s">
        <v>714</v>
      </c>
      <c r="B484" s="1">
        <v>45789</v>
      </c>
      <c r="C484" t="s">
        <v>90</v>
      </c>
      <c r="D484">
        <v>19</v>
      </c>
      <c r="E484" t="s">
        <v>12</v>
      </c>
      <c r="F484" t="s">
        <v>31</v>
      </c>
      <c r="G484" t="s">
        <v>504</v>
      </c>
      <c r="H484">
        <v>30</v>
      </c>
      <c r="I484" t="s">
        <v>14</v>
      </c>
      <c r="J484" t="str">
        <f>_xlfn.XLOOKUP(C484,'product_masterlist(ifs)'!A:A,'product_masterlist(ifs)'!C:C,"N/A",0)</f>
        <v>Frames</v>
      </c>
      <c r="K484">
        <f>VLOOKUP(C484,'product_masterlist(ifs)'!A:I,7,FALSE)</f>
        <v>180</v>
      </c>
    </row>
    <row r="485" spans="1:11" x14ac:dyDescent="0.35">
      <c r="A485" t="s">
        <v>715</v>
      </c>
      <c r="B485" t="s">
        <v>716</v>
      </c>
      <c r="C485" t="s">
        <v>11</v>
      </c>
      <c r="D485">
        <v>7</v>
      </c>
      <c r="E485" t="s">
        <v>22</v>
      </c>
      <c r="F485" t="s">
        <v>31</v>
      </c>
      <c r="G485">
        <v>595</v>
      </c>
      <c r="H485">
        <v>30</v>
      </c>
      <c r="I485" t="s">
        <v>14</v>
      </c>
      <c r="J485" t="str">
        <f>_xlfn.XLOOKUP(C485,'product_masterlist(ifs)'!A:A,'product_masterlist(ifs)'!C:C,"N/A",0)</f>
        <v>Surgical</v>
      </c>
      <c r="K485">
        <f>VLOOKUP(C485,'product_masterlist(ifs)'!A:I,7,FALSE)</f>
        <v>40</v>
      </c>
    </row>
    <row r="486" spans="1:11" x14ac:dyDescent="0.35">
      <c r="A486" t="s">
        <v>717</v>
      </c>
      <c r="B486" t="s">
        <v>186</v>
      </c>
      <c r="C486" t="s">
        <v>90</v>
      </c>
      <c r="D486">
        <v>2</v>
      </c>
      <c r="E486" t="s">
        <v>12</v>
      </c>
      <c r="F486" t="s">
        <v>31</v>
      </c>
      <c r="G486">
        <v>97</v>
      </c>
      <c r="H486">
        <v>30</v>
      </c>
      <c r="I486" t="s">
        <v>14</v>
      </c>
      <c r="J486" t="str">
        <f>_xlfn.XLOOKUP(C486,'product_masterlist(ifs)'!A:A,'product_masterlist(ifs)'!C:C,"N/A",0)</f>
        <v>Frames</v>
      </c>
      <c r="K486">
        <f>VLOOKUP(C486,'product_masterlist(ifs)'!A:I,7,FALSE)</f>
        <v>180</v>
      </c>
    </row>
    <row r="487" spans="1:11" x14ac:dyDescent="0.35">
      <c r="A487" t="s">
        <v>718</v>
      </c>
      <c r="B487" s="1">
        <v>45911</v>
      </c>
      <c r="C487" t="s">
        <v>11</v>
      </c>
      <c r="D487">
        <v>11</v>
      </c>
      <c r="E487" t="s">
        <v>20</v>
      </c>
      <c r="F487" t="s">
        <v>13</v>
      </c>
      <c r="G487">
        <v>935</v>
      </c>
      <c r="H487">
        <v>30</v>
      </c>
      <c r="I487" t="s">
        <v>14</v>
      </c>
      <c r="J487" t="str">
        <f>_xlfn.XLOOKUP(C487,'product_masterlist(ifs)'!A:A,'product_masterlist(ifs)'!C:C,"N/A",0)</f>
        <v>Surgical</v>
      </c>
      <c r="K487">
        <f>VLOOKUP(C487,'product_masterlist(ifs)'!A:I,7,FALSE)</f>
        <v>40</v>
      </c>
    </row>
    <row r="488" spans="1:11" x14ac:dyDescent="0.35">
      <c r="A488" t="s">
        <v>719</v>
      </c>
      <c r="B488" t="s">
        <v>315</v>
      </c>
      <c r="C488" t="s">
        <v>26</v>
      </c>
      <c r="D488">
        <v>12</v>
      </c>
      <c r="E488" t="s">
        <v>37</v>
      </c>
      <c r="F488" t="s">
        <v>23</v>
      </c>
      <c r="G488">
        <v>150</v>
      </c>
      <c r="H488">
        <v>14</v>
      </c>
      <c r="I488" t="s">
        <v>28</v>
      </c>
      <c r="J488" t="str">
        <f>_xlfn.XLOOKUP(C488,'product_masterlist(ifs)'!A:A,'product_masterlist(ifs)'!C:C,"N/A",0)</f>
        <v>Contact Lenses</v>
      </c>
      <c r="K488">
        <f>VLOOKUP(C488,'product_masterlist(ifs)'!A:I,7,FALSE)</f>
        <v>450</v>
      </c>
    </row>
    <row r="489" spans="1:11" x14ac:dyDescent="0.35">
      <c r="A489" t="s">
        <v>720</v>
      </c>
      <c r="B489" s="1">
        <v>45880</v>
      </c>
      <c r="C489" t="s">
        <v>26</v>
      </c>
      <c r="D489">
        <v>20</v>
      </c>
      <c r="E489" t="s">
        <v>20</v>
      </c>
      <c r="F489" t="s">
        <v>31</v>
      </c>
      <c r="G489">
        <v>250</v>
      </c>
      <c r="H489">
        <v>14</v>
      </c>
      <c r="I489" t="s">
        <v>28</v>
      </c>
      <c r="J489" t="str">
        <f>_xlfn.XLOOKUP(C489,'product_masterlist(ifs)'!A:A,'product_masterlist(ifs)'!C:C,"N/A",0)</f>
        <v>Contact Lenses</v>
      </c>
      <c r="K489">
        <f>VLOOKUP(C489,'product_masterlist(ifs)'!A:I,7,FALSE)</f>
        <v>450</v>
      </c>
    </row>
    <row r="490" spans="1:11" x14ac:dyDescent="0.35">
      <c r="A490" t="s">
        <v>721</v>
      </c>
      <c r="B490" s="1">
        <v>45875</v>
      </c>
      <c r="C490" t="s">
        <v>11</v>
      </c>
      <c r="D490">
        <v>11</v>
      </c>
      <c r="E490" t="s">
        <v>37</v>
      </c>
      <c r="F490" t="s">
        <v>13</v>
      </c>
      <c r="G490">
        <v>935</v>
      </c>
      <c r="H490">
        <v>30</v>
      </c>
      <c r="I490" t="s">
        <v>14</v>
      </c>
      <c r="J490" t="str">
        <f>_xlfn.XLOOKUP(C490,'product_masterlist(ifs)'!A:A,'product_masterlist(ifs)'!C:C,"N/A",0)</f>
        <v>Surgical</v>
      </c>
      <c r="K490">
        <f>VLOOKUP(C490,'product_masterlist(ifs)'!A:I,7,FALSE)</f>
        <v>40</v>
      </c>
    </row>
    <row r="491" spans="1:11" x14ac:dyDescent="0.35">
      <c r="A491" t="s">
        <v>722</v>
      </c>
      <c r="B491" t="s">
        <v>723</v>
      </c>
      <c r="C491" t="s">
        <v>90</v>
      </c>
      <c r="D491">
        <v>13</v>
      </c>
      <c r="E491" t="s">
        <v>12</v>
      </c>
      <c r="F491" t="s">
        <v>18</v>
      </c>
      <c r="G491" t="s">
        <v>262</v>
      </c>
      <c r="H491">
        <v>30</v>
      </c>
      <c r="I491" t="s">
        <v>14</v>
      </c>
      <c r="J491" t="str">
        <f>_xlfn.XLOOKUP(C491,'product_masterlist(ifs)'!A:A,'product_masterlist(ifs)'!C:C,"N/A",0)</f>
        <v>Frames</v>
      </c>
      <c r="K491">
        <f>VLOOKUP(C491,'product_masterlist(ifs)'!A:I,7,FALSE)</f>
        <v>180</v>
      </c>
    </row>
    <row r="492" spans="1:11" x14ac:dyDescent="0.35">
      <c r="A492" t="s">
        <v>724</v>
      </c>
      <c r="B492" s="1">
        <v>45818</v>
      </c>
      <c r="C492" t="s">
        <v>42</v>
      </c>
      <c r="D492">
        <v>18</v>
      </c>
      <c r="E492" t="s">
        <v>37</v>
      </c>
      <c r="F492" t="s">
        <v>31</v>
      </c>
      <c r="G492">
        <v>450</v>
      </c>
      <c r="H492">
        <v>21</v>
      </c>
      <c r="I492" t="s">
        <v>14</v>
      </c>
      <c r="J492" t="str">
        <f>_xlfn.XLOOKUP(C492,'product_masterlist(ifs)'!A:A,'product_masterlist(ifs)'!C:C,"N/A",0)</f>
        <v>Contact Lenses</v>
      </c>
      <c r="K492">
        <f>VLOOKUP(C492,'product_masterlist(ifs)'!A:I,7,FALSE)</f>
        <v>120</v>
      </c>
    </row>
    <row r="493" spans="1:11" x14ac:dyDescent="0.35">
      <c r="A493" t="s">
        <v>725</v>
      </c>
      <c r="B493" s="1">
        <v>45997</v>
      </c>
      <c r="C493" t="s">
        <v>17</v>
      </c>
      <c r="D493">
        <v>13</v>
      </c>
      <c r="E493" t="s">
        <v>22</v>
      </c>
      <c r="F493" t="s">
        <v>13</v>
      </c>
      <c r="G493">
        <v>585</v>
      </c>
      <c r="H493">
        <v>30</v>
      </c>
      <c r="I493" t="s">
        <v>14</v>
      </c>
      <c r="J493" t="str">
        <f>_xlfn.XLOOKUP(C493,'product_masterlist(ifs)'!A:A,'product_masterlist(ifs)'!C:C,"N/A",0)</f>
        <v>Frames</v>
      </c>
      <c r="K493">
        <f>VLOOKUP(C493,'product_masterlist(ifs)'!A:I,7,FALSE)</f>
        <v>45</v>
      </c>
    </row>
    <row r="494" spans="1:11" x14ac:dyDescent="0.35">
      <c r="A494" t="s">
        <v>726</v>
      </c>
      <c r="B494" s="1">
        <v>45843</v>
      </c>
      <c r="C494" t="s">
        <v>53</v>
      </c>
      <c r="D494">
        <v>3</v>
      </c>
      <c r="E494" t="s">
        <v>12</v>
      </c>
      <c r="F494" t="s">
        <v>13</v>
      </c>
      <c r="G494" t="s">
        <v>278</v>
      </c>
      <c r="H494">
        <v>7</v>
      </c>
      <c r="I494" t="s">
        <v>28</v>
      </c>
      <c r="J494" t="str">
        <f>_xlfn.XLOOKUP(C494,'product_masterlist(ifs)'!A:A,'product_masterlist(ifs)'!C:C,"N/A",0)</f>
        <v>Solutions</v>
      </c>
      <c r="K494">
        <f>VLOOKUP(C494,'product_masterlist(ifs)'!A:I,7,FALSE)</f>
        <v>800</v>
      </c>
    </row>
    <row r="495" spans="1:11" x14ac:dyDescent="0.35">
      <c r="A495" t="s">
        <v>727</v>
      </c>
      <c r="B495" s="1">
        <v>45724</v>
      </c>
      <c r="C495" t="s">
        <v>53</v>
      </c>
      <c r="D495">
        <v>3</v>
      </c>
      <c r="E495" t="s">
        <v>20</v>
      </c>
      <c r="F495" t="s">
        <v>13</v>
      </c>
      <c r="G495" t="s">
        <v>278</v>
      </c>
      <c r="H495">
        <v>7</v>
      </c>
      <c r="I495" t="s">
        <v>28</v>
      </c>
      <c r="J495" t="str">
        <f>_xlfn.XLOOKUP(C495,'product_masterlist(ifs)'!A:A,'product_masterlist(ifs)'!C:C,"N/A",0)</f>
        <v>Solutions</v>
      </c>
      <c r="K495">
        <f>VLOOKUP(C495,'product_masterlist(ifs)'!A:I,7,FALSE)</f>
        <v>800</v>
      </c>
    </row>
    <row r="496" spans="1:11" x14ac:dyDescent="0.35">
      <c r="A496" t="s">
        <v>728</v>
      </c>
      <c r="B496" t="s">
        <v>65</v>
      </c>
      <c r="C496" t="s">
        <v>17</v>
      </c>
      <c r="D496">
        <v>7</v>
      </c>
      <c r="E496" t="s">
        <v>20</v>
      </c>
      <c r="F496" t="s">
        <v>13</v>
      </c>
      <c r="G496">
        <v>315</v>
      </c>
      <c r="H496">
        <v>30</v>
      </c>
      <c r="I496" t="s">
        <v>14</v>
      </c>
      <c r="J496" t="str">
        <f>_xlfn.XLOOKUP(C496,'product_masterlist(ifs)'!A:A,'product_masterlist(ifs)'!C:C,"N/A",0)</f>
        <v>Frames</v>
      </c>
      <c r="K496">
        <f>VLOOKUP(C496,'product_masterlist(ifs)'!A:I,7,FALSE)</f>
        <v>45</v>
      </c>
    </row>
    <row r="497" spans="1:11" x14ac:dyDescent="0.35">
      <c r="A497" t="s">
        <v>729</v>
      </c>
      <c r="B497" t="s">
        <v>242</v>
      </c>
      <c r="C497" t="s">
        <v>11</v>
      </c>
      <c r="D497">
        <v>11</v>
      </c>
      <c r="E497" t="s">
        <v>37</v>
      </c>
      <c r="F497" t="s">
        <v>23</v>
      </c>
      <c r="G497">
        <v>935</v>
      </c>
      <c r="H497">
        <v>30</v>
      </c>
      <c r="I497" t="s">
        <v>14</v>
      </c>
      <c r="J497" t="str">
        <f>_xlfn.XLOOKUP(C497,'product_masterlist(ifs)'!A:A,'product_masterlist(ifs)'!C:C,"N/A",0)</f>
        <v>Surgical</v>
      </c>
      <c r="K497">
        <f>VLOOKUP(C497,'product_masterlist(ifs)'!A:I,7,FALSE)</f>
        <v>40</v>
      </c>
    </row>
    <row r="498" spans="1:11" x14ac:dyDescent="0.35">
      <c r="A498" t="s">
        <v>730</v>
      </c>
      <c r="B498" s="1">
        <v>45965</v>
      </c>
      <c r="C498" t="s">
        <v>33</v>
      </c>
      <c r="D498">
        <v>17</v>
      </c>
      <c r="E498" t="s">
        <v>22</v>
      </c>
      <c r="F498" t="s">
        <v>31</v>
      </c>
      <c r="G498">
        <v>2550</v>
      </c>
      <c r="H498">
        <v>45</v>
      </c>
      <c r="I498" t="s">
        <v>34</v>
      </c>
      <c r="J498" t="str">
        <f>_xlfn.XLOOKUP(C498,'product_masterlist(ifs)'!A:A,'product_masterlist(ifs)'!C:C,"N/A",0)</f>
        <v>Surgical</v>
      </c>
      <c r="K498">
        <f>VLOOKUP(C498,'product_masterlist(ifs)'!A:I,7,FALSE)</f>
        <v>15</v>
      </c>
    </row>
    <row r="499" spans="1:11" x14ac:dyDescent="0.35">
      <c r="A499" t="s">
        <v>731</v>
      </c>
      <c r="B499" s="1">
        <v>45840</v>
      </c>
      <c r="C499" t="s">
        <v>26</v>
      </c>
      <c r="D499">
        <v>22</v>
      </c>
      <c r="E499" t="s">
        <v>22</v>
      </c>
      <c r="F499" t="s">
        <v>13</v>
      </c>
      <c r="G499">
        <v>275</v>
      </c>
      <c r="H499">
        <v>14</v>
      </c>
      <c r="I499" t="s">
        <v>28</v>
      </c>
      <c r="J499" t="str">
        <f>_xlfn.XLOOKUP(C499,'product_masterlist(ifs)'!A:A,'product_masterlist(ifs)'!C:C,"N/A",0)</f>
        <v>Contact Lenses</v>
      </c>
      <c r="K499">
        <f>VLOOKUP(C499,'product_masterlist(ifs)'!A:I,7,FALSE)</f>
        <v>450</v>
      </c>
    </row>
    <row r="500" spans="1:11" x14ac:dyDescent="0.35">
      <c r="A500" t="s">
        <v>732</v>
      </c>
      <c r="B500" t="s">
        <v>436</v>
      </c>
      <c r="C500" t="s">
        <v>90</v>
      </c>
      <c r="D500">
        <v>19</v>
      </c>
      <c r="E500" t="s">
        <v>22</v>
      </c>
      <c r="F500" t="s">
        <v>23</v>
      </c>
      <c r="G500" t="s">
        <v>504</v>
      </c>
      <c r="H500">
        <v>30</v>
      </c>
      <c r="I500" t="s">
        <v>14</v>
      </c>
      <c r="J500" t="str">
        <f>_xlfn.XLOOKUP(C500,'product_masterlist(ifs)'!A:A,'product_masterlist(ifs)'!C:C,"N/A",0)</f>
        <v>Frames</v>
      </c>
      <c r="K500">
        <f>VLOOKUP(C500,'product_masterlist(ifs)'!A:I,7,FALSE)</f>
        <v>180</v>
      </c>
    </row>
    <row r="501" spans="1:11" x14ac:dyDescent="0.35">
      <c r="A501" t="s">
        <v>733</v>
      </c>
      <c r="B501" t="s">
        <v>310</v>
      </c>
      <c r="C501" t="s">
        <v>33</v>
      </c>
      <c r="D501">
        <v>22</v>
      </c>
      <c r="E501" t="s">
        <v>20</v>
      </c>
      <c r="F501" t="s">
        <v>31</v>
      </c>
      <c r="G501">
        <v>3300</v>
      </c>
      <c r="H501">
        <v>45</v>
      </c>
      <c r="I501" t="s">
        <v>34</v>
      </c>
      <c r="J501" t="str">
        <f>_xlfn.XLOOKUP(C501,'product_masterlist(ifs)'!A:A,'product_masterlist(ifs)'!C:C,"N/A",0)</f>
        <v>Surgical</v>
      </c>
      <c r="K501">
        <f>VLOOKUP(C501,'product_masterlist(ifs)'!A:I,7,FALSE)</f>
        <v>15</v>
      </c>
    </row>
    <row r="502" spans="1:11" x14ac:dyDescent="0.35">
      <c r="A502" t="s">
        <v>734</v>
      </c>
      <c r="B502" s="1">
        <v>45813</v>
      </c>
      <c r="C502" t="s">
        <v>42</v>
      </c>
      <c r="D502">
        <v>25</v>
      </c>
      <c r="E502" t="s">
        <v>22</v>
      </c>
      <c r="F502" t="s">
        <v>31</v>
      </c>
      <c r="G502">
        <v>625</v>
      </c>
      <c r="H502">
        <v>21</v>
      </c>
      <c r="I502" t="s">
        <v>14</v>
      </c>
      <c r="J502" t="str">
        <f>_xlfn.XLOOKUP(C502,'product_masterlist(ifs)'!A:A,'product_masterlist(ifs)'!C:C,"N/A",0)</f>
        <v>Contact Lenses</v>
      </c>
      <c r="K502">
        <f>VLOOKUP(C502,'product_masterlist(ifs)'!A:I,7,FALSE)</f>
        <v>120</v>
      </c>
    </row>
    <row r="503" spans="1:11" x14ac:dyDescent="0.35">
      <c r="A503" t="s">
        <v>735</v>
      </c>
      <c r="B503" s="1">
        <v>45667</v>
      </c>
      <c r="C503" t="s">
        <v>11</v>
      </c>
      <c r="D503">
        <v>12</v>
      </c>
      <c r="E503" t="s">
        <v>20</v>
      </c>
      <c r="F503" t="s">
        <v>18</v>
      </c>
      <c r="G503">
        <v>1020</v>
      </c>
      <c r="H503">
        <v>30</v>
      </c>
      <c r="I503" t="s">
        <v>14</v>
      </c>
      <c r="J503" t="str">
        <f>_xlfn.XLOOKUP(C503,'product_masterlist(ifs)'!A:A,'product_masterlist(ifs)'!C:C,"N/A",0)</f>
        <v>Surgical</v>
      </c>
      <c r="K503">
        <f>VLOOKUP(C503,'product_masterlist(ifs)'!A:I,7,FALSE)</f>
        <v>40</v>
      </c>
    </row>
    <row r="504" spans="1:11" x14ac:dyDescent="0.35">
      <c r="A504" t="s">
        <v>736</v>
      </c>
      <c r="B504" t="s">
        <v>737</v>
      </c>
      <c r="C504" t="s">
        <v>26</v>
      </c>
      <c r="D504">
        <v>3</v>
      </c>
      <c r="E504" t="s">
        <v>22</v>
      </c>
      <c r="F504" t="s">
        <v>13</v>
      </c>
      <c r="G504" t="s">
        <v>40</v>
      </c>
      <c r="H504">
        <v>14</v>
      </c>
      <c r="I504" t="s">
        <v>28</v>
      </c>
      <c r="J504" t="str">
        <f>_xlfn.XLOOKUP(C504,'product_masterlist(ifs)'!A:A,'product_masterlist(ifs)'!C:C,"N/A",0)</f>
        <v>Contact Lenses</v>
      </c>
      <c r="K504">
        <f>VLOOKUP(C504,'product_masterlist(ifs)'!A:I,7,FALSE)</f>
        <v>450</v>
      </c>
    </row>
    <row r="505" spans="1:11" x14ac:dyDescent="0.35">
      <c r="A505" t="s">
        <v>738</v>
      </c>
      <c r="B505" s="1">
        <v>45871</v>
      </c>
      <c r="C505" t="s">
        <v>90</v>
      </c>
      <c r="D505">
        <v>25</v>
      </c>
      <c r="E505" t="s">
        <v>20</v>
      </c>
      <c r="F505" t="s">
        <v>23</v>
      </c>
      <c r="G505" t="s">
        <v>308</v>
      </c>
      <c r="H505">
        <v>30</v>
      </c>
      <c r="I505" t="s">
        <v>14</v>
      </c>
      <c r="J505" t="str">
        <f>_xlfn.XLOOKUP(C505,'product_masterlist(ifs)'!A:A,'product_masterlist(ifs)'!C:C,"N/A",0)</f>
        <v>Frames</v>
      </c>
      <c r="K505">
        <f>VLOOKUP(C505,'product_masterlist(ifs)'!A:I,7,FALSE)</f>
        <v>180</v>
      </c>
    </row>
    <row r="506" spans="1:11" x14ac:dyDescent="0.35">
      <c r="A506" t="s">
        <v>739</v>
      </c>
      <c r="B506" t="s">
        <v>231</v>
      </c>
      <c r="C506" t="s">
        <v>17</v>
      </c>
      <c r="D506">
        <v>14</v>
      </c>
      <c r="E506" t="s">
        <v>20</v>
      </c>
      <c r="F506" t="s">
        <v>13</v>
      </c>
      <c r="G506">
        <v>630</v>
      </c>
      <c r="H506">
        <v>30</v>
      </c>
      <c r="I506" t="s">
        <v>14</v>
      </c>
      <c r="J506" t="str">
        <f>_xlfn.XLOOKUP(C506,'product_masterlist(ifs)'!A:A,'product_masterlist(ifs)'!C:C,"N/A",0)</f>
        <v>Frames</v>
      </c>
      <c r="K506">
        <f>VLOOKUP(C506,'product_masterlist(ifs)'!A:I,7,FALSE)</f>
        <v>45</v>
      </c>
    </row>
    <row r="507" spans="1:11" x14ac:dyDescent="0.35">
      <c r="A507" t="s">
        <v>740</v>
      </c>
      <c r="B507" t="s">
        <v>379</v>
      </c>
      <c r="C507" t="s">
        <v>42</v>
      </c>
      <c r="D507">
        <v>11</v>
      </c>
      <c r="E507" t="s">
        <v>20</v>
      </c>
      <c r="F507" t="s">
        <v>23</v>
      </c>
      <c r="G507">
        <v>275</v>
      </c>
      <c r="H507">
        <v>21</v>
      </c>
      <c r="I507" t="s">
        <v>14</v>
      </c>
      <c r="J507" t="str">
        <f>_xlfn.XLOOKUP(C507,'product_masterlist(ifs)'!A:A,'product_masterlist(ifs)'!C:C,"N/A",0)</f>
        <v>Contact Lenses</v>
      </c>
      <c r="K507">
        <f>VLOOKUP(C507,'product_masterlist(ifs)'!A:I,7,FALSE)</f>
        <v>120</v>
      </c>
    </row>
    <row r="508" spans="1:11" x14ac:dyDescent="0.35">
      <c r="A508" t="s">
        <v>741</v>
      </c>
      <c r="B508" t="s">
        <v>742</v>
      </c>
      <c r="C508" t="s">
        <v>26</v>
      </c>
      <c r="D508">
        <v>12</v>
      </c>
      <c r="E508" t="s">
        <v>20</v>
      </c>
      <c r="F508" t="s">
        <v>18</v>
      </c>
      <c r="G508">
        <v>150</v>
      </c>
      <c r="H508">
        <v>14</v>
      </c>
      <c r="I508" t="s">
        <v>28</v>
      </c>
      <c r="J508" t="str">
        <f>_xlfn.XLOOKUP(C508,'product_masterlist(ifs)'!A:A,'product_masterlist(ifs)'!C:C,"N/A",0)</f>
        <v>Contact Lenses</v>
      </c>
      <c r="K508">
        <f>VLOOKUP(C508,'product_masterlist(ifs)'!A:I,7,FALSE)</f>
        <v>450</v>
      </c>
    </row>
    <row r="509" spans="1:11" x14ac:dyDescent="0.35">
      <c r="A509" t="s">
        <v>743</v>
      </c>
      <c r="B509" t="s">
        <v>744</v>
      </c>
      <c r="C509" t="s">
        <v>53</v>
      </c>
      <c r="D509">
        <v>9</v>
      </c>
      <c r="E509" t="s">
        <v>22</v>
      </c>
      <c r="F509" t="s">
        <v>23</v>
      </c>
      <c r="G509" t="s">
        <v>75</v>
      </c>
      <c r="H509">
        <v>7</v>
      </c>
      <c r="I509" t="s">
        <v>28</v>
      </c>
      <c r="J509" t="str">
        <f>_xlfn.XLOOKUP(C509,'product_masterlist(ifs)'!A:A,'product_masterlist(ifs)'!C:C,"N/A",0)</f>
        <v>Solutions</v>
      </c>
      <c r="K509">
        <f>VLOOKUP(C509,'product_masterlist(ifs)'!A:I,7,FALSE)</f>
        <v>800</v>
      </c>
    </row>
    <row r="510" spans="1:11" x14ac:dyDescent="0.35">
      <c r="A510" t="s">
        <v>745</v>
      </c>
      <c r="B510" s="1">
        <v>45758</v>
      </c>
      <c r="C510" t="s">
        <v>26</v>
      </c>
      <c r="D510">
        <v>1</v>
      </c>
      <c r="E510" t="s">
        <v>22</v>
      </c>
      <c r="F510" t="s">
        <v>13</v>
      </c>
      <c r="G510" t="s">
        <v>101</v>
      </c>
      <c r="H510">
        <v>14</v>
      </c>
      <c r="I510" t="s">
        <v>28</v>
      </c>
      <c r="J510" t="str">
        <f>_xlfn.XLOOKUP(C510,'product_masterlist(ifs)'!A:A,'product_masterlist(ifs)'!C:C,"N/A",0)</f>
        <v>Contact Lenses</v>
      </c>
      <c r="K510">
        <f>VLOOKUP(C510,'product_masterlist(ifs)'!A:I,7,FALSE)</f>
        <v>450</v>
      </c>
    </row>
    <row r="511" spans="1:11" x14ac:dyDescent="0.35">
      <c r="A511" t="s">
        <v>746</v>
      </c>
      <c r="B511" t="s">
        <v>747</v>
      </c>
      <c r="C511" t="s">
        <v>17</v>
      </c>
      <c r="D511">
        <v>6</v>
      </c>
      <c r="E511" t="s">
        <v>37</v>
      </c>
      <c r="F511" t="s">
        <v>31</v>
      </c>
      <c r="G511">
        <v>270</v>
      </c>
      <c r="H511">
        <v>30</v>
      </c>
      <c r="I511" t="s">
        <v>14</v>
      </c>
      <c r="J511" t="str">
        <f>_xlfn.XLOOKUP(C511,'product_masterlist(ifs)'!A:A,'product_masterlist(ifs)'!C:C,"N/A",0)</f>
        <v>Frames</v>
      </c>
      <c r="K511">
        <f>VLOOKUP(C511,'product_masterlist(ifs)'!A:I,7,FALSE)</f>
        <v>45</v>
      </c>
    </row>
    <row r="512" spans="1:11" x14ac:dyDescent="0.35">
      <c r="A512" t="s">
        <v>748</v>
      </c>
      <c r="B512" t="s">
        <v>323</v>
      </c>
      <c r="C512" t="s">
        <v>90</v>
      </c>
      <c r="D512">
        <v>3</v>
      </c>
      <c r="E512" t="s">
        <v>20</v>
      </c>
      <c r="F512" t="s">
        <v>31</v>
      </c>
      <c r="G512" t="s">
        <v>375</v>
      </c>
      <c r="H512">
        <v>30</v>
      </c>
      <c r="I512" t="s">
        <v>14</v>
      </c>
      <c r="J512" t="str">
        <f>_xlfn.XLOOKUP(C512,'product_masterlist(ifs)'!A:A,'product_masterlist(ifs)'!C:C,"N/A",0)</f>
        <v>Frames</v>
      </c>
      <c r="K512">
        <f>VLOOKUP(C512,'product_masterlist(ifs)'!A:I,7,FALSE)</f>
        <v>180</v>
      </c>
    </row>
    <row r="513" spans="1:11" x14ac:dyDescent="0.35">
      <c r="A513" t="s">
        <v>749</v>
      </c>
      <c r="B513" s="1">
        <v>45964</v>
      </c>
      <c r="C513" t="s">
        <v>90</v>
      </c>
      <c r="D513">
        <v>25</v>
      </c>
      <c r="E513" t="s">
        <v>22</v>
      </c>
      <c r="F513" t="s">
        <v>23</v>
      </c>
      <c r="G513" t="s">
        <v>308</v>
      </c>
      <c r="H513">
        <v>30</v>
      </c>
      <c r="I513" t="s">
        <v>14</v>
      </c>
      <c r="J513" t="str">
        <f>_xlfn.XLOOKUP(C513,'product_masterlist(ifs)'!A:A,'product_masterlist(ifs)'!C:C,"N/A",0)</f>
        <v>Frames</v>
      </c>
      <c r="K513">
        <f>VLOOKUP(C513,'product_masterlist(ifs)'!A:I,7,FALSE)</f>
        <v>180</v>
      </c>
    </row>
    <row r="514" spans="1:11" x14ac:dyDescent="0.35">
      <c r="A514" t="s">
        <v>750</v>
      </c>
      <c r="B514" s="1">
        <v>45973</v>
      </c>
      <c r="C514" t="s">
        <v>53</v>
      </c>
      <c r="D514">
        <v>20</v>
      </c>
      <c r="E514" t="s">
        <v>12</v>
      </c>
      <c r="F514" t="s">
        <v>31</v>
      </c>
      <c r="G514">
        <v>85</v>
      </c>
      <c r="H514">
        <v>7</v>
      </c>
      <c r="I514" t="s">
        <v>28</v>
      </c>
      <c r="J514" t="str">
        <f>_xlfn.XLOOKUP(C514,'product_masterlist(ifs)'!A:A,'product_masterlist(ifs)'!C:C,"N/A",0)</f>
        <v>Solutions</v>
      </c>
      <c r="K514">
        <f>VLOOKUP(C514,'product_masterlist(ifs)'!A:I,7,FALSE)</f>
        <v>800</v>
      </c>
    </row>
    <row r="515" spans="1:11" x14ac:dyDescent="0.35">
      <c r="A515" t="s">
        <v>751</v>
      </c>
      <c r="B515" t="s">
        <v>752</v>
      </c>
      <c r="C515" t="s">
        <v>53</v>
      </c>
      <c r="D515">
        <v>20</v>
      </c>
      <c r="E515" t="s">
        <v>20</v>
      </c>
      <c r="F515" t="s">
        <v>31</v>
      </c>
      <c r="G515">
        <v>85</v>
      </c>
      <c r="H515">
        <v>7</v>
      </c>
      <c r="I515" t="s">
        <v>28</v>
      </c>
      <c r="J515" t="str">
        <f>_xlfn.XLOOKUP(C515,'product_masterlist(ifs)'!A:A,'product_masterlist(ifs)'!C:C,"N/A",0)</f>
        <v>Solutions</v>
      </c>
      <c r="K515">
        <f>VLOOKUP(C515,'product_masterlist(ifs)'!A:I,7,FALSE)</f>
        <v>800</v>
      </c>
    </row>
    <row r="516" spans="1:11" x14ac:dyDescent="0.35">
      <c r="A516" t="s">
        <v>753</v>
      </c>
      <c r="B516" t="s">
        <v>165</v>
      </c>
      <c r="C516" t="s">
        <v>26</v>
      </c>
      <c r="D516">
        <v>13</v>
      </c>
      <c r="E516" t="s">
        <v>37</v>
      </c>
      <c r="F516" t="s">
        <v>18</v>
      </c>
      <c r="G516" t="s">
        <v>437</v>
      </c>
      <c r="H516">
        <v>14</v>
      </c>
      <c r="I516" t="s">
        <v>28</v>
      </c>
      <c r="J516" t="str">
        <f>_xlfn.XLOOKUP(C516,'product_masterlist(ifs)'!A:A,'product_masterlist(ifs)'!C:C,"N/A",0)</f>
        <v>Contact Lenses</v>
      </c>
      <c r="K516">
        <f>VLOOKUP(C516,'product_masterlist(ifs)'!A:I,7,FALSE)</f>
        <v>450</v>
      </c>
    </row>
    <row r="517" spans="1:11" x14ac:dyDescent="0.35">
      <c r="A517" t="s">
        <v>754</v>
      </c>
      <c r="B517" t="s">
        <v>196</v>
      </c>
      <c r="C517" t="s">
        <v>26</v>
      </c>
      <c r="D517">
        <v>6</v>
      </c>
      <c r="E517" t="s">
        <v>12</v>
      </c>
      <c r="F517" t="s">
        <v>18</v>
      </c>
      <c r="G517">
        <v>75</v>
      </c>
      <c r="H517">
        <v>14</v>
      </c>
      <c r="I517" t="s">
        <v>28</v>
      </c>
      <c r="J517" t="str">
        <f>_xlfn.XLOOKUP(C517,'product_masterlist(ifs)'!A:A,'product_masterlist(ifs)'!C:C,"N/A",0)</f>
        <v>Contact Lenses</v>
      </c>
      <c r="K517">
        <f>VLOOKUP(C517,'product_masterlist(ifs)'!A:I,7,FALSE)</f>
        <v>450</v>
      </c>
    </row>
    <row r="518" spans="1:11" x14ac:dyDescent="0.35">
      <c r="A518" t="s">
        <v>755</v>
      </c>
      <c r="B518" s="1">
        <v>45724</v>
      </c>
      <c r="C518" t="s">
        <v>53</v>
      </c>
      <c r="D518">
        <v>7</v>
      </c>
      <c r="E518" t="s">
        <v>22</v>
      </c>
      <c r="F518" t="s">
        <v>13</v>
      </c>
      <c r="G518" t="s">
        <v>320</v>
      </c>
      <c r="H518">
        <v>7</v>
      </c>
      <c r="I518" t="s">
        <v>28</v>
      </c>
      <c r="J518" t="str">
        <f>_xlfn.XLOOKUP(C518,'product_masterlist(ifs)'!A:A,'product_masterlist(ifs)'!C:C,"N/A",0)</f>
        <v>Solutions</v>
      </c>
      <c r="K518">
        <f>VLOOKUP(C518,'product_masterlist(ifs)'!A:I,7,FALSE)</f>
        <v>800</v>
      </c>
    </row>
    <row r="519" spans="1:11" x14ac:dyDescent="0.35">
      <c r="A519" t="s">
        <v>756</v>
      </c>
      <c r="B519" t="s">
        <v>757</v>
      </c>
      <c r="C519" t="s">
        <v>53</v>
      </c>
      <c r="D519">
        <v>25</v>
      </c>
      <c r="E519" t="s">
        <v>22</v>
      </c>
      <c r="F519" t="s">
        <v>13</v>
      </c>
      <c r="G519" t="s">
        <v>304</v>
      </c>
      <c r="H519">
        <v>7</v>
      </c>
      <c r="I519" t="s">
        <v>28</v>
      </c>
      <c r="J519" t="str">
        <f>_xlfn.XLOOKUP(C519,'product_masterlist(ifs)'!A:A,'product_masterlist(ifs)'!C:C,"N/A",0)</f>
        <v>Solutions</v>
      </c>
      <c r="K519">
        <f>VLOOKUP(C519,'product_masterlist(ifs)'!A:I,7,FALSE)</f>
        <v>800</v>
      </c>
    </row>
    <row r="520" spans="1:11" x14ac:dyDescent="0.35">
      <c r="A520" t="s">
        <v>758</v>
      </c>
      <c r="B520" t="s">
        <v>192</v>
      </c>
      <c r="C520" t="s">
        <v>17</v>
      </c>
      <c r="D520">
        <v>10</v>
      </c>
      <c r="E520" t="s">
        <v>20</v>
      </c>
      <c r="F520" t="s">
        <v>31</v>
      </c>
      <c r="G520">
        <v>450</v>
      </c>
      <c r="H520">
        <v>30</v>
      </c>
      <c r="I520" t="s">
        <v>14</v>
      </c>
      <c r="J520" t="str">
        <f>_xlfn.XLOOKUP(C520,'product_masterlist(ifs)'!A:A,'product_masterlist(ifs)'!C:C,"N/A",0)</f>
        <v>Frames</v>
      </c>
      <c r="K520">
        <f>VLOOKUP(C520,'product_masterlist(ifs)'!A:I,7,FALSE)</f>
        <v>45</v>
      </c>
    </row>
    <row r="521" spans="1:11" x14ac:dyDescent="0.35">
      <c r="A521" t="s">
        <v>759</v>
      </c>
      <c r="B521" t="s">
        <v>135</v>
      </c>
      <c r="C521" t="s">
        <v>26</v>
      </c>
      <c r="D521">
        <v>17</v>
      </c>
      <c r="E521" t="s">
        <v>12</v>
      </c>
      <c r="F521" t="s">
        <v>31</v>
      </c>
      <c r="G521" t="s">
        <v>152</v>
      </c>
      <c r="H521">
        <v>14</v>
      </c>
      <c r="I521" t="s">
        <v>28</v>
      </c>
      <c r="J521" t="str">
        <f>_xlfn.XLOOKUP(C521,'product_masterlist(ifs)'!A:A,'product_masterlist(ifs)'!C:C,"N/A",0)</f>
        <v>Contact Lenses</v>
      </c>
      <c r="K521">
        <f>VLOOKUP(C521,'product_masterlist(ifs)'!A:I,7,FALSE)</f>
        <v>450</v>
      </c>
    </row>
    <row r="522" spans="1:11" x14ac:dyDescent="0.35">
      <c r="A522" t="s">
        <v>760</v>
      </c>
      <c r="B522" t="s">
        <v>168</v>
      </c>
      <c r="C522" t="s">
        <v>90</v>
      </c>
      <c r="D522">
        <v>9</v>
      </c>
      <c r="E522" t="s">
        <v>20</v>
      </c>
      <c r="F522" t="s">
        <v>18</v>
      </c>
      <c r="G522" t="s">
        <v>91</v>
      </c>
      <c r="H522">
        <v>30</v>
      </c>
      <c r="I522" t="s">
        <v>14</v>
      </c>
      <c r="J522" t="str">
        <f>_xlfn.XLOOKUP(C522,'product_masterlist(ifs)'!A:A,'product_masterlist(ifs)'!C:C,"N/A",0)</f>
        <v>Frames</v>
      </c>
      <c r="K522">
        <f>VLOOKUP(C522,'product_masterlist(ifs)'!A:I,7,FALSE)</f>
        <v>180</v>
      </c>
    </row>
    <row r="523" spans="1:11" x14ac:dyDescent="0.35">
      <c r="A523" t="s">
        <v>761</v>
      </c>
      <c r="B523" t="s">
        <v>575</v>
      </c>
      <c r="C523" t="s">
        <v>42</v>
      </c>
      <c r="D523">
        <v>15</v>
      </c>
      <c r="E523" t="s">
        <v>37</v>
      </c>
      <c r="F523" t="s">
        <v>23</v>
      </c>
      <c r="G523">
        <v>375</v>
      </c>
      <c r="H523">
        <v>21</v>
      </c>
      <c r="I523" t="s">
        <v>14</v>
      </c>
      <c r="J523" t="str">
        <f>_xlfn.XLOOKUP(C523,'product_masterlist(ifs)'!A:A,'product_masterlist(ifs)'!C:C,"N/A",0)</f>
        <v>Contact Lenses</v>
      </c>
      <c r="K523">
        <f>VLOOKUP(C523,'product_masterlist(ifs)'!A:I,7,FALSE)</f>
        <v>120</v>
      </c>
    </row>
    <row r="524" spans="1:11" x14ac:dyDescent="0.35">
      <c r="A524" t="s">
        <v>762</v>
      </c>
      <c r="B524" t="s">
        <v>763</v>
      </c>
      <c r="C524" t="s">
        <v>26</v>
      </c>
      <c r="D524">
        <v>15</v>
      </c>
      <c r="E524" t="s">
        <v>22</v>
      </c>
      <c r="F524" t="s">
        <v>13</v>
      </c>
      <c r="G524" t="s">
        <v>513</v>
      </c>
      <c r="H524">
        <v>14</v>
      </c>
      <c r="I524" t="s">
        <v>28</v>
      </c>
      <c r="J524" t="str">
        <f>_xlfn.XLOOKUP(C524,'product_masterlist(ifs)'!A:A,'product_masterlist(ifs)'!C:C,"N/A",0)</f>
        <v>Contact Lenses</v>
      </c>
      <c r="K524">
        <f>VLOOKUP(C524,'product_masterlist(ifs)'!A:I,7,FALSE)</f>
        <v>450</v>
      </c>
    </row>
    <row r="525" spans="1:11" x14ac:dyDescent="0.35">
      <c r="A525" t="s">
        <v>764</v>
      </c>
      <c r="B525" t="s">
        <v>612</v>
      </c>
      <c r="C525" t="s">
        <v>42</v>
      </c>
      <c r="D525">
        <v>24</v>
      </c>
      <c r="E525" t="s">
        <v>20</v>
      </c>
      <c r="F525" t="s">
        <v>31</v>
      </c>
      <c r="G525">
        <v>600</v>
      </c>
      <c r="H525">
        <v>21</v>
      </c>
      <c r="I525" t="s">
        <v>14</v>
      </c>
      <c r="J525" t="str">
        <f>_xlfn.XLOOKUP(C525,'product_masterlist(ifs)'!A:A,'product_masterlist(ifs)'!C:C,"N/A",0)</f>
        <v>Contact Lenses</v>
      </c>
      <c r="K525">
        <f>VLOOKUP(C525,'product_masterlist(ifs)'!A:I,7,FALSE)</f>
        <v>120</v>
      </c>
    </row>
    <row r="526" spans="1:11" x14ac:dyDescent="0.35">
      <c r="A526" t="s">
        <v>765</v>
      </c>
      <c r="B526" t="s">
        <v>186</v>
      </c>
      <c r="C526" t="s">
        <v>26</v>
      </c>
      <c r="D526">
        <v>11</v>
      </c>
      <c r="E526" t="s">
        <v>22</v>
      </c>
      <c r="F526" t="s">
        <v>13</v>
      </c>
      <c r="G526" t="s">
        <v>47</v>
      </c>
      <c r="H526">
        <v>14</v>
      </c>
      <c r="I526" t="s">
        <v>28</v>
      </c>
      <c r="J526" t="str">
        <f>_xlfn.XLOOKUP(C526,'product_masterlist(ifs)'!A:A,'product_masterlist(ifs)'!C:C,"N/A",0)</f>
        <v>Contact Lenses</v>
      </c>
      <c r="K526">
        <f>VLOOKUP(C526,'product_masterlist(ifs)'!A:I,7,FALSE)</f>
        <v>450</v>
      </c>
    </row>
    <row r="527" spans="1:11" x14ac:dyDescent="0.35">
      <c r="A527" t="s">
        <v>766</v>
      </c>
      <c r="B527" t="s">
        <v>651</v>
      </c>
      <c r="C527" t="s">
        <v>33</v>
      </c>
      <c r="D527">
        <v>23</v>
      </c>
      <c r="E527" t="s">
        <v>20</v>
      </c>
      <c r="F527" t="s">
        <v>23</v>
      </c>
      <c r="G527">
        <v>3450</v>
      </c>
      <c r="H527">
        <v>45</v>
      </c>
      <c r="I527" t="s">
        <v>34</v>
      </c>
      <c r="J527" t="str">
        <f>_xlfn.XLOOKUP(C527,'product_masterlist(ifs)'!A:A,'product_masterlist(ifs)'!C:C,"N/A",0)</f>
        <v>Surgical</v>
      </c>
      <c r="K527">
        <f>VLOOKUP(C527,'product_masterlist(ifs)'!A:I,7,FALSE)</f>
        <v>15</v>
      </c>
    </row>
    <row r="528" spans="1:11" x14ac:dyDescent="0.35">
      <c r="A528" t="s">
        <v>767</v>
      </c>
      <c r="B528" t="s">
        <v>146</v>
      </c>
      <c r="C528" t="s">
        <v>53</v>
      </c>
      <c r="D528">
        <v>24</v>
      </c>
      <c r="E528" t="s">
        <v>12</v>
      </c>
      <c r="F528" t="s">
        <v>18</v>
      </c>
      <c r="G528">
        <v>102</v>
      </c>
      <c r="H528">
        <v>7</v>
      </c>
      <c r="I528" t="s">
        <v>28</v>
      </c>
      <c r="J528" t="str">
        <f>_xlfn.XLOOKUP(C528,'product_masterlist(ifs)'!A:A,'product_masterlist(ifs)'!C:C,"N/A",0)</f>
        <v>Solutions</v>
      </c>
      <c r="K528">
        <f>VLOOKUP(C528,'product_masterlist(ifs)'!A:I,7,FALSE)</f>
        <v>800</v>
      </c>
    </row>
    <row r="529" spans="1:11" x14ac:dyDescent="0.35">
      <c r="A529" t="s">
        <v>768</v>
      </c>
      <c r="B529" s="1">
        <v>45870</v>
      </c>
      <c r="C529" t="s">
        <v>90</v>
      </c>
      <c r="D529">
        <v>1</v>
      </c>
      <c r="E529" t="s">
        <v>12</v>
      </c>
      <c r="F529" t="s">
        <v>18</v>
      </c>
      <c r="G529" t="s">
        <v>109</v>
      </c>
      <c r="H529">
        <v>30</v>
      </c>
      <c r="I529" t="s">
        <v>14</v>
      </c>
      <c r="J529" t="str">
        <f>_xlfn.XLOOKUP(C529,'product_masterlist(ifs)'!A:A,'product_masterlist(ifs)'!C:C,"N/A",0)</f>
        <v>Frames</v>
      </c>
      <c r="K529">
        <f>VLOOKUP(C529,'product_masterlist(ifs)'!A:I,7,FALSE)</f>
        <v>180</v>
      </c>
    </row>
    <row r="530" spans="1:11" x14ac:dyDescent="0.35">
      <c r="A530" t="s">
        <v>769</v>
      </c>
      <c r="B530" t="s">
        <v>770</v>
      </c>
      <c r="C530" t="s">
        <v>26</v>
      </c>
      <c r="D530">
        <v>24</v>
      </c>
      <c r="E530" t="s">
        <v>20</v>
      </c>
      <c r="F530" t="s">
        <v>31</v>
      </c>
      <c r="G530">
        <v>300</v>
      </c>
      <c r="H530">
        <v>14</v>
      </c>
      <c r="I530" t="s">
        <v>28</v>
      </c>
      <c r="J530" t="str">
        <f>_xlfn.XLOOKUP(C530,'product_masterlist(ifs)'!A:A,'product_masterlist(ifs)'!C:C,"N/A",0)</f>
        <v>Contact Lenses</v>
      </c>
      <c r="K530">
        <f>VLOOKUP(C530,'product_masterlist(ifs)'!A:I,7,FALSE)</f>
        <v>450</v>
      </c>
    </row>
    <row r="531" spans="1:11" x14ac:dyDescent="0.35">
      <c r="A531" t="s">
        <v>771</v>
      </c>
      <c r="B531" s="1">
        <v>45973</v>
      </c>
      <c r="C531" t="s">
        <v>53</v>
      </c>
      <c r="D531">
        <v>19</v>
      </c>
      <c r="E531" t="s">
        <v>22</v>
      </c>
      <c r="F531" t="s">
        <v>31</v>
      </c>
      <c r="G531" t="s">
        <v>54</v>
      </c>
      <c r="H531">
        <v>7</v>
      </c>
      <c r="I531" t="s">
        <v>28</v>
      </c>
      <c r="J531" t="str">
        <f>_xlfn.XLOOKUP(C531,'product_masterlist(ifs)'!A:A,'product_masterlist(ifs)'!C:C,"N/A",0)</f>
        <v>Solutions</v>
      </c>
      <c r="K531">
        <f>VLOOKUP(C531,'product_masterlist(ifs)'!A:I,7,FALSE)</f>
        <v>800</v>
      </c>
    </row>
    <row r="532" spans="1:11" x14ac:dyDescent="0.35">
      <c r="A532" t="s">
        <v>772</v>
      </c>
      <c r="B532" t="s">
        <v>408</v>
      </c>
      <c r="C532" t="s">
        <v>42</v>
      </c>
      <c r="D532">
        <v>10</v>
      </c>
      <c r="E532" t="s">
        <v>22</v>
      </c>
      <c r="F532" t="s">
        <v>13</v>
      </c>
      <c r="G532">
        <v>250</v>
      </c>
      <c r="H532">
        <v>21</v>
      </c>
      <c r="I532" t="s">
        <v>14</v>
      </c>
      <c r="J532" t="str">
        <f>_xlfn.XLOOKUP(C532,'product_masterlist(ifs)'!A:A,'product_masterlist(ifs)'!C:C,"N/A",0)</f>
        <v>Contact Lenses</v>
      </c>
      <c r="K532">
        <f>VLOOKUP(C532,'product_masterlist(ifs)'!A:I,7,FALSE)</f>
        <v>120</v>
      </c>
    </row>
    <row r="533" spans="1:11" x14ac:dyDescent="0.35">
      <c r="A533" t="s">
        <v>773</v>
      </c>
      <c r="B533" t="s">
        <v>89</v>
      </c>
      <c r="C533" t="s">
        <v>53</v>
      </c>
      <c r="D533">
        <v>24</v>
      </c>
      <c r="E533" t="s">
        <v>20</v>
      </c>
      <c r="F533" t="s">
        <v>31</v>
      </c>
      <c r="G533">
        <v>102</v>
      </c>
      <c r="H533">
        <v>7</v>
      </c>
      <c r="I533" t="s">
        <v>28</v>
      </c>
      <c r="J533" t="str">
        <f>_xlfn.XLOOKUP(C533,'product_masterlist(ifs)'!A:A,'product_masterlist(ifs)'!C:C,"N/A",0)</f>
        <v>Solutions</v>
      </c>
      <c r="K533">
        <f>VLOOKUP(C533,'product_masterlist(ifs)'!A:I,7,FALSE)</f>
        <v>800</v>
      </c>
    </row>
    <row r="534" spans="1:11" x14ac:dyDescent="0.35">
      <c r="A534" t="s">
        <v>774</v>
      </c>
      <c r="B534" t="s">
        <v>87</v>
      </c>
      <c r="C534" t="s">
        <v>90</v>
      </c>
      <c r="D534">
        <v>11</v>
      </c>
      <c r="E534" t="s">
        <v>37</v>
      </c>
      <c r="F534" t="s">
        <v>31</v>
      </c>
      <c r="G534" t="s">
        <v>238</v>
      </c>
      <c r="H534">
        <v>30</v>
      </c>
      <c r="I534" t="s">
        <v>14</v>
      </c>
      <c r="J534" t="str">
        <f>_xlfn.XLOOKUP(C534,'product_masterlist(ifs)'!A:A,'product_masterlist(ifs)'!C:C,"N/A",0)</f>
        <v>Frames</v>
      </c>
      <c r="K534">
        <f>VLOOKUP(C534,'product_masterlist(ifs)'!A:I,7,FALSE)</f>
        <v>180</v>
      </c>
    </row>
    <row r="535" spans="1:11" x14ac:dyDescent="0.35">
      <c r="A535" t="s">
        <v>775</v>
      </c>
      <c r="B535" t="s">
        <v>258</v>
      </c>
      <c r="C535" t="s">
        <v>42</v>
      </c>
      <c r="D535">
        <v>4</v>
      </c>
      <c r="E535" t="s">
        <v>22</v>
      </c>
      <c r="F535" t="s">
        <v>18</v>
      </c>
      <c r="G535">
        <v>100</v>
      </c>
      <c r="H535">
        <v>21</v>
      </c>
      <c r="I535" t="s">
        <v>14</v>
      </c>
      <c r="J535" t="str">
        <f>_xlfn.XLOOKUP(C535,'product_masterlist(ifs)'!A:A,'product_masterlist(ifs)'!C:C,"N/A",0)</f>
        <v>Contact Lenses</v>
      </c>
      <c r="K535">
        <f>VLOOKUP(C535,'product_masterlist(ifs)'!A:I,7,FALSE)</f>
        <v>120</v>
      </c>
    </row>
    <row r="536" spans="1:11" x14ac:dyDescent="0.35">
      <c r="A536" t="s">
        <v>776</v>
      </c>
      <c r="B536" t="s">
        <v>770</v>
      </c>
      <c r="C536" t="s">
        <v>17</v>
      </c>
      <c r="D536">
        <v>16</v>
      </c>
      <c r="E536" t="s">
        <v>20</v>
      </c>
      <c r="F536" t="s">
        <v>13</v>
      </c>
      <c r="G536">
        <v>720</v>
      </c>
      <c r="H536">
        <v>30</v>
      </c>
      <c r="I536" t="s">
        <v>14</v>
      </c>
      <c r="J536" t="str">
        <f>_xlfn.XLOOKUP(C536,'product_masterlist(ifs)'!A:A,'product_masterlist(ifs)'!C:C,"N/A",0)</f>
        <v>Frames</v>
      </c>
      <c r="K536">
        <f>VLOOKUP(C536,'product_masterlist(ifs)'!A:I,7,FALSE)</f>
        <v>45</v>
      </c>
    </row>
    <row r="537" spans="1:11" x14ac:dyDescent="0.35">
      <c r="A537" t="s">
        <v>777</v>
      </c>
      <c r="B537" t="s">
        <v>354</v>
      </c>
      <c r="C537" t="s">
        <v>11</v>
      </c>
      <c r="D537">
        <v>6</v>
      </c>
      <c r="E537" t="s">
        <v>20</v>
      </c>
      <c r="F537" t="s">
        <v>23</v>
      </c>
      <c r="G537">
        <v>510</v>
      </c>
      <c r="H537">
        <v>30</v>
      </c>
      <c r="I537" t="s">
        <v>14</v>
      </c>
      <c r="J537" t="str">
        <f>_xlfn.XLOOKUP(C537,'product_masterlist(ifs)'!A:A,'product_masterlist(ifs)'!C:C,"N/A",0)</f>
        <v>Surgical</v>
      </c>
      <c r="K537">
        <f>VLOOKUP(C537,'product_masterlist(ifs)'!A:I,7,FALSE)</f>
        <v>40</v>
      </c>
    </row>
    <row r="538" spans="1:11" x14ac:dyDescent="0.35">
      <c r="A538" t="s">
        <v>778</v>
      </c>
      <c r="B538" t="s">
        <v>475</v>
      </c>
      <c r="C538" t="s">
        <v>42</v>
      </c>
      <c r="D538">
        <v>15</v>
      </c>
      <c r="E538" t="s">
        <v>12</v>
      </c>
      <c r="F538" t="s">
        <v>23</v>
      </c>
      <c r="G538">
        <v>375</v>
      </c>
      <c r="H538">
        <v>21</v>
      </c>
      <c r="I538" t="s">
        <v>14</v>
      </c>
      <c r="J538" t="str">
        <f>_xlfn.XLOOKUP(C538,'product_masterlist(ifs)'!A:A,'product_masterlist(ifs)'!C:C,"N/A",0)</f>
        <v>Contact Lenses</v>
      </c>
      <c r="K538">
        <f>VLOOKUP(C538,'product_masterlist(ifs)'!A:I,7,FALSE)</f>
        <v>120</v>
      </c>
    </row>
    <row r="539" spans="1:11" x14ac:dyDescent="0.35">
      <c r="A539" t="s">
        <v>779</v>
      </c>
      <c r="B539" s="1">
        <v>46003</v>
      </c>
      <c r="C539" t="s">
        <v>11</v>
      </c>
      <c r="D539">
        <v>6</v>
      </c>
      <c r="E539" t="s">
        <v>20</v>
      </c>
      <c r="F539" t="s">
        <v>18</v>
      </c>
      <c r="G539">
        <v>510</v>
      </c>
      <c r="H539">
        <v>30</v>
      </c>
      <c r="I539" t="s">
        <v>14</v>
      </c>
      <c r="J539" t="str">
        <f>_xlfn.XLOOKUP(C539,'product_masterlist(ifs)'!A:A,'product_masterlist(ifs)'!C:C,"N/A",0)</f>
        <v>Surgical</v>
      </c>
      <c r="K539">
        <f>VLOOKUP(C539,'product_masterlist(ifs)'!A:I,7,FALSE)</f>
        <v>40</v>
      </c>
    </row>
    <row r="540" spans="1:11" x14ac:dyDescent="0.35">
      <c r="A540" t="s">
        <v>780</v>
      </c>
      <c r="B540" t="s">
        <v>485</v>
      </c>
      <c r="C540" t="s">
        <v>90</v>
      </c>
      <c r="D540">
        <v>11</v>
      </c>
      <c r="E540" t="s">
        <v>37</v>
      </c>
      <c r="F540" t="s">
        <v>13</v>
      </c>
      <c r="G540" t="s">
        <v>238</v>
      </c>
      <c r="H540">
        <v>30</v>
      </c>
      <c r="I540" t="s">
        <v>14</v>
      </c>
      <c r="J540" t="str">
        <f>_xlfn.XLOOKUP(C540,'product_masterlist(ifs)'!A:A,'product_masterlist(ifs)'!C:C,"N/A",0)</f>
        <v>Frames</v>
      </c>
      <c r="K540">
        <f>VLOOKUP(C540,'product_masterlist(ifs)'!A:I,7,FALSE)</f>
        <v>180</v>
      </c>
    </row>
    <row r="541" spans="1:11" x14ac:dyDescent="0.35">
      <c r="A541" t="s">
        <v>781</v>
      </c>
      <c r="B541" t="s">
        <v>398</v>
      </c>
      <c r="C541" t="s">
        <v>53</v>
      </c>
      <c r="D541">
        <v>3</v>
      </c>
      <c r="E541" t="s">
        <v>22</v>
      </c>
      <c r="F541" t="s">
        <v>13</v>
      </c>
      <c r="G541" t="s">
        <v>278</v>
      </c>
      <c r="H541">
        <v>7</v>
      </c>
      <c r="I541" t="s">
        <v>28</v>
      </c>
      <c r="J541" t="str">
        <f>_xlfn.XLOOKUP(C541,'product_masterlist(ifs)'!A:A,'product_masterlist(ifs)'!C:C,"N/A",0)</f>
        <v>Solutions</v>
      </c>
      <c r="K541">
        <f>VLOOKUP(C541,'product_masterlist(ifs)'!A:I,7,FALSE)</f>
        <v>800</v>
      </c>
    </row>
    <row r="542" spans="1:11" x14ac:dyDescent="0.35">
      <c r="A542" t="s">
        <v>782</v>
      </c>
      <c r="B542" s="1">
        <v>45724</v>
      </c>
      <c r="C542" t="s">
        <v>90</v>
      </c>
      <c r="D542">
        <v>2</v>
      </c>
      <c r="E542" t="s">
        <v>22</v>
      </c>
      <c r="F542" t="s">
        <v>23</v>
      </c>
      <c r="G542">
        <v>97</v>
      </c>
      <c r="H542">
        <v>30</v>
      </c>
      <c r="I542" t="s">
        <v>14</v>
      </c>
      <c r="J542" t="str">
        <f>_xlfn.XLOOKUP(C542,'product_masterlist(ifs)'!A:A,'product_masterlist(ifs)'!C:C,"N/A",0)</f>
        <v>Frames</v>
      </c>
      <c r="K542">
        <f>VLOOKUP(C542,'product_masterlist(ifs)'!A:I,7,FALSE)</f>
        <v>180</v>
      </c>
    </row>
    <row r="543" spans="1:11" x14ac:dyDescent="0.35">
      <c r="A543" t="s">
        <v>783</v>
      </c>
      <c r="B543" s="1">
        <v>45879</v>
      </c>
      <c r="C543" t="s">
        <v>53</v>
      </c>
      <c r="D543">
        <v>10</v>
      </c>
      <c r="E543" t="s">
        <v>20</v>
      </c>
      <c r="F543" t="s">
        <v>31</v>
      </c>
      <c r="G543" t="s">
        <v>95</v>
      </c>
      <c r="H543">
        <v>7</v>
      </c>
      <c r="I543" t="s">
        <v>28</v>
      </c>
      <c r="J543" t="str">
        <f>_xlfn.XLOOKUP(C543,'product_masterlist(ifs)'!A:A,'product_masterlist(ifs)'!C:C,"N/A",0)</f>
        <v>Solutions</v>
      </c>
      <c r="K543">
        <f>VLOOKUP(C543,'product_masterlist(ifs)'!A:I,7,FALSE)</f>
        <v>800</v>
      </c>
    </row>
    <row r="544" spans="1:11" x14ac:dyDescent="0.35">
      <c r="A544" t="s">
        <v>784</v>
      </c>
      <c r="B544" s="1">
        <v>45784</v>
      </c>
      <c r="C544" t="s">
        <v>53</v>
      </c>
      <c r="D544">
        <v>2</v>
      </c>
      <c r="E544" t="s">
        <v>12</v>
      </c>
      <c r="F544" t="s">
        <v>31</v>
      </c>
      <c r="G544" t="s">
        <v>291</v>
      </c>
      <c r="H544">
        <v>7</v>
      </c>
      <c r="I544" t="s">
        <v>28</v>
      </c>
      <c r="J544" t="str">
        <f>_xlfn.XLOOKUP(C544,'product_masterlist(ifs)'!A:A,'product_masterlist(ifs)'!C:C,"N/A",0)</f>
        <v>Solutions</v>
      </c>
      <c r="K544">
        <f>VLOOKUP(C544,'product_masterlist(ifs)'!A:I,7,FALSE)</f>
        <v>800</v>
      </c>
    </row>
    <row r="545" spans="1:11" x14ac:dyDescent="0.35">
      <c r="A545" t="s">
        <v>785</v>
      </c>
      <c r="B545" s="1">
        <v>46003</v>
      </c>
      <c r="C545" t="s">
        <v>90</v>
      </c>
      <c r="D545">
        <v>11</v>
      </c>
      <c r="E545" t="s">
        <v>37</v>
      </c>
      <c r="F545" t="s">
        <v>13</v>
      </c>
      <c r="G545" t="s">
        <v>238</v>
      </c>
      <c r="H545">
        <v>30</v>
      </c>
      <c r="I545" t="s">
        <v>14</v>
      </c>
      <c r="J545" t="str">
        <f>_xlfn.XLOOKUP(C545,'product_masterlist(ifs)'!A:A,'product_masterlist(ifs)'!C:C,"N/A",0)</f>
        <v>Frames</v>
      </c>
      <c r="K545">
        <f>VLOOKUP(C545,'product_masterlist(ifs)'!A:I,7,FALSE)</f>
        <v>180</v>
      </c>
    </row>
    <row r="546" spans="1:11" x14ac:dyDescent="0.35">
      <c r="A546" t="s">
        <v>786</v>
      </c>
      <c r="B546" s="1">
        <v>45662</v>
      </c>
      <c r="C546" t="s">
        <v>17</v>
      </c>
      <c r="D546">
        <v>3</v>
      </c>
      <c r="E546" t="s">
        <v>22</v>
      </c>
      <c r="F546" t="s">
        <v>23</v>
      </c>
      <c r="G546">
        <v>135</v>
      </c>
      <c r="H546">
        <v>30</v>
      </c>
      <c r="I546" t="s">
        <v>14</v>
      </c>
      <c r="J546" t="str">
        <f>_xlfn.XLOOKUP(C546,'product_masterlist(ifs)'!A:A,'product_masterlist(ifs)'!C:C,"N/A",0)</f>
        <v>Frames</v>
      </c>
      <c r="K546">
        <f>VLOOKUP(C546,'product_masterlist(ifs)'!A:I,7,FALSE)</f>
        <v>45</v>
      </c>
    </row>
    <row r="547" spans="1:11" x14ac:dyDescent="0.35">
      <c r="A547" t="s">
        <v>787</v>
      </c>
      <c r="B547" t="s">
        <v>237</v>
      </c>
      <c r="C547" t="s">
        <v>90</v>
      </c>
      <c r="D547">
        <v>23</v>
      </c>
      <c r="E547" t="s">
        <v>20</v>
      </c>
      <c r="F547" t="s">
        <v>31</v>
      </c>
      <c r="G547" t="s">
        <v>123</v>
      </c>
      <c r="H547">
        <v>30</v>
      </c>
      <c r="I547" t="s">
        <v>14</v>
      </c>
      <c r="J547" t="str">
        <f>_xlfn.XLOOKUP(C547,'product_masterlist(ifs)'!A:A,'product_masterlist(ifs)'!C:C,"N/A",0)</f>
        <v>Frames</v>
      </c>
      <c r="K547">
        <f>VLOOKUP(C547,'product_masterlist(ifs)'!A:I,7,FALSE)</f>
        <v>180</v>
      </c>
    </row>
    <row r="548" spans="1:11" x14ac:dyDescent="0.35">
      <c r="A548" t="s">
        <v>788</v>
      </c>
      <c r="B548" s="1">
        <v>45694</v>
      </c>
      <c r="C548" t="s">
        <v>90</v>
      </c>
      <c r="D548">
        <v>22</v>
      </c>
      <c r="E548" t="s">
        <v>20</v>
      </c>
      <c r="F548" t="s">
        <v>18</v>
      </c>
      <c r="G548">
        <v>1067</v>
      </c>
      <c r="H548">
        <v>30</v>
      </c>
      <c r="I548" t="s">
        <v>14</v>
      </c>
      <c r="J548" t="str">
        <f>_xlfn.XLOOKUP(C548,'product_masterlist(ifs)'!A:A,'product_masterlist(ifs)'!C:C,"N/A",0)</f>
        <v>Frames</v>
      </c>
      <c r="K548">
        <f>VLOOKUP(C548,'product_masterlist(ifs)'!A:I,7,FALSE)</f>
        <v>180</v>
      </c>
    </row>
    <row r="549" spans="1:11" x14ac:dyDescent="0.35">
      <c r="A549" t="s">
        <v>789</v>
      </c>
      <c r="B549" t="s">
        <v>25</v>
      </c>
      <c r="C549" t="s">
        <v>17</v>
      </c>
      <c r="D549">
        <v>8</v>
      </c>
      <c r="E549" t="s">
        <v>20</v>
      </c>
      <c r="F549" t="s">
        <v>13</v>
      </c>
      <c r="G549">
        <v>360</v>
      </c>
      <c r="H549">
        <v>30</v>
      </c>
      <c r="I549" t="s">
        <v>14</v>
      </c>
      <c r="J549" t="str">
        <f>_xlfn.XLOOKUP(C549,'product_masterlist(ifs)'!A:A,'product_masterlist(ifs)'!C:C,"N/A",0)</f>
        <v>Frames</v>
      </c>
      <c r="K549">
        <f>VLOOKUP(C549,'product_masterlist(ifs)'!A:I,7,FALSE)</f>
        <v>45</v>
      </c>
    </row>
    <row r="550" spans="1:11" x14ac:dyDescent="0.35">
      <c r="A550" t="s">
        <v>790</v>
      </c>
      <c r="B550" s="1">
        <v>45966</v>
      </c>
      <c r="C550" t="s">
        <v>26</v>
      </c>
      <c r="D550">
        <v>11</v>
      </c>
      <c r="E550" t="s">
        <v>37</v>
      </c>
      <c r="F550" t="s">
        <v>18</v>
      </c>
      <c r="G550" t="s">
        <v>47</v>
      </c>
      <c r="H550">
        <v>14</v>
      </c>
      <c r="I550" t="s">
        <v>28</v>
      </c>
      <c r="J550" t="str">
        <f>_xlfn.XLOOKUP(C550,'product_masterlist(ifs)'!A:A,'product_masterlist(ifs)'!C:C,"N/A",0)</f>
        <v>Contact Lenses</v>
      </c>
      <c r="K550">
        <f>VLOOKUP(C550,'product_masterlist(ifs)'!A:I,7,FALSE)</f>
        <v>450</v>
      </c>
    </row>
    <row r="551" spans="1:11" x14ac:dyDescent="0.35">
      <c r="A551" t="s">
        <v>791</v>
      </c>
      <c r="B551" s="1">
        <v>45718</v>
      </c>
      <c r="C551" t="s">
        <v>17</v>
      </c>
      <c r="D551">
        <v>14</v>
      </c>
      <c r="E551" t="s">
        <v>37</v>
      </c>
      <c r="F551" t="s">
        <v>18</v>
      </c>
      <c r="G551">
        <v>630</v>
      </c>
      <c r="H551">
        <v>30</v>
      </c>
      <c r="I551" t="s">
        <v>14</v>
      </c>
      <c r="J551" t="str">
        <f>_xlfn.XLOOKUP(C551,'product_masterlist(ifs)'!A:A,'product_masterlist(ifs)'!C:C,"N/A",0)</f>
        <v>Frames</v>
      </c>
      <c r="K551">
        <f>VLOOKUP(C551,'product_masterlist(ifs)'!A:I,7,FALSE)</f>
        <v>45</v>
      </c>
    </row>
    <row r="552" spans="1:11" x14ac:dyDescent="0.35">
      <c r="A552" t="s">
        <v>792</v>
      </c>
      <c r="B552" s="1">
        <v>45665</v>
      </c>
      <c r="C552" t="s">
        <v>42</v>
      </c>
      <c r="D552">
        <v>13</v>
      </c>
      <c r="E552" t="s">
        <v>37</v>
      </c>
      <c r="F552" t="s">
        <v>31</v>
      </c>
      <c r="G552">
        <v>325</v>
      </c>
      <c r="H552">
        <v>21</v>
      </c>
      <c r="I552" t="s">
        <v>14</v>
      </c>
      <c r="J552" t="str">
        <f>_xlfn.XLOOKUP(C552,'product_masterlist(ifs)'!A:A,'product_masterlist(ifs)'!C:C,"N/A",0)</f>
        <v>Contact Lenses</v>
      </c>
      <c r="K552">
        <f>VLOOKUP(C552,'product_masterlist(ifs)'!A:I,7,FALSE)</f>
        <v>120</v>
      </c>
    </row>
    <row r="553" spans="1:11" x14ac:dyDescent="0.35">
      <c r="A553" t="s">
        <v>793</v>
      </c>
      <c r="B553" t="s">
        <v>612</v>
      </c>
      <c r="C553" t="s">
        <v>42</v>
      </c>
      <c r="D553">
        <v>14</v>
      </c>
      <c r="E553" t="s">
        <v>22</v>
      </c>
      <c r="F553" t="s">
        <v>23</v>
      </c>
      <c r="G553">
        <v>350</v>
      </c>
      <c r="H553">
        <v>21</v>
      </c>
      <c r="I553" t="s">
        <v>14</v>
      </c>
      <c r="J553" t="str">
        <f>_xlfn.XLOOKUP(C553,'product_masterlist(ifs)'!A:A,'product_masterlist(ifs)'!C:C,"N/A",0)</f>
        <v>Contact Lenses</v>
      </c>
      <c r="K553">
        <f>VLOOKUP(C553,'product_masterlist(ifs)'!A:I,7,FALSE)</f>
        <v>120</v>
      </c>
    </row>
    <row r="554" spans="1:11" x14ac:dyDescent="0.35">
      <c r="A554" t="s">
        <v>794</v>
      </c>
      <c r="B554" s="1">
        <v>45881</v>
      </c>
      <c r="C554" t="s">
        <v>26</v>
      </c>
      <c r="D554">
        <v>17</v>
      </c>
      <c r="E554" t="s">
        <v>22</v>
      </c>
      <c r="F554" t="s">
        <v>18</v>
      </c>
      <c r="G554" t="s">
        <v>152</v>
      </c>
      <c r="H554">
        <v>14</v>
      </c>
      <c r="I554" t="s">
        <v>28</v>
      </c>
      <c r="J554" t="str">
        <f>_xlfn.XLOOKUP(C554,'product_masterlist(ifs)'!A:A,'product_masterlist(ifs)'!C:C,"N/A",0)</f>
        <v>Contact Lenses</v>
      </c>
      <c r="K554">
        <f>VLOOKUP(C554,'product_masterlist(ifs)'!A:I,7,FALSE)</f>
        <v>450</v>
      </c>
    </row>
    <row r="555" spans="1:11" x14ac:dyDescent="0.35">
      <c r="A555" t="s">
        <v>795</v>
      </c>
      <c r="B555" s="1">
        <v>45789</v>
      </c>
      <c r="C555" t="s">
        <v>26</v>
      </c>
      <c r="D555">
        <v>14</v>
      </c>
      <c r="E555" t="s">
        <v>20</v>
      </c>
      <c r="F555" t="s">
        <v>13</v>
      </c>
      <c r="G555">
        <v>175</v>
      </c>
      <c r="H555">
        <v>14</v>
      </c>
      <c r="I555" t="s">
        <v>28</v>
      </c>
      <c r="J555" t="str">
        <f>_xlfn.XLOOKUP(C555,'product_masterlist(ifs)'!A:A,'product_masterlist(ifs)'!C:C,"N/A",0)</f>
        <v>Contact Lenses</v>
      </c>
      <c r="K555">
        <f>VLOOKUP(C555,'product_masterlist(ifs)'!A:I,7,FALSE)</f>
        <v>450</v>
      </c>
    </row>
    <row r="556" spans="1:11" x14ac:dyDescent="0.35">
      <c r="A556" t="s">
        <v>796</v>
      </c>
      <c r="B556" t="s">
        <v>797</v>
      </c>
      <c r="C556" t="s">
        <v>90</v>
      </c>
      <c r="D556">
        <v>6</v>
      </c>
      <c r="E556" t="s">
        <v>20</v>
      </c>
      <c r="F556" t="s">
        <v>18</v>
      </c>
      <c r="G556">
        <v>291</v>
      </c>
      <c r="H556">
        <v>30</v>
      </c>
      <c r="I556" t="s">
        <v>14</v>
      </c>
      <c r="J556" t="str">
        <f>_xlfn.XLOOKUP(C556,'product_masterlist(ifs)'!A:A,'product_masterlist(ifs)'!C:C,"N/A",0)</f>
        <v>Frames</v>
      </c>
      <c r="K556">
        <f>VLOOKUP(C556,'product_masterlist(ifs)'!A:I,7,FALSE)</f>
        <v>180</v>
      </c>
    </row>
    <row r="557" spans="1:11" x14ac:dyDescent="0.35">
      <c r="A557" t="s">
        <v>798</v>
      </c>
      <c r="B557" t="s">
        <v>194</v>
      </c>
      <c r="C557" t="s">
        <v>17</v>
      </c>
      <c r="D557">
        <v>14</v>
      </c>
      <c r="E557" t="s">
        <v>22</v>
      </c>
      <c r="F557" t="s">
        <v>18</v>
      </c>
      <c r="G557">
        <v>630</v>
      </c>
      <c r="H557">
        <v>30</v>
      </c>
      <c r="I557" t="s">
        <v>14</v>
      </c>
      <c r="J557" t="str">
        <f>_xlfn.XLOOKUP(C557,'product_masterlist(ifs)'!A:A,'product_masterlist(ifs)'!C:C,"N/A",0)</f>
        <v>Frames</v>
      </c>
      <c r="K557">
        <f>VLOOKUP(C557,'product_masterlist(ifs)'!A:I,7,FALSE)</f>
        <v>45</v>
      </c>
    </row>
    <row r="558" spans="1:11" x14ac:dyDescent="0.35">
      <c r="A558" t="s">
        <v>799</v>
      </c>
      <c r="B558" t="s">
        <v>224</v>
      </c>
      <c r="C558" t="s">
        <v>26</v>
      </c>
      <c r="D558">
        <v>21</v>
      </c>
      <c r="E558" t="s">
        <v>37</v>
      </c>
      <c r="F558" t="s">
        <v>31</v>
      </c>
      <c r="G558" t="s">
        <v>366</v>
      </c>
      <c r="H558">
        <v>14</v>
      </c>
      <c r="I558" t="s">
        <v>28</v>
      </c>
      <c r="J558" t="str">
        <f>_xlfn.XLOOKUP(C558,'product_masterlist(ifs)'!A:A,'product_masterlist(ifs)'!C:C,"N/A",0)</f>
        <v>Contact Lenses</v>
      </c>
      <c r="K558">
        <f>VLOOKUP(C558,'product_masterlist(ifs)'!A:I,7,FALSE)</f>
        <v>450</v>
      </c>
    </row>
    <row r="559" spans="1:11" x14ac:dyDescent="0.35">
      <c r="A559" t="s">
        <v>800</v>
      </c>
      <c r="B559" t="s">
        <v>74</v>
      </c>
      <c r="C559" t="s">
        <v>90</v>
      </c>
      <c r="D559">
        <v>7</v>
      </c>
      <c r="E559" t="s">
        <v>12</v>
      </c>
      <c r="F559" t="s">
        <v>23</v>
      </c>
      <c r="G559" t="s">
        <v>181</v>
      </c>
      <c r="H559">
        <v>30</v>
      </c>
      <c r="I559" t="s">
        <v>14</v>
      </c>
      <c r="J559" t="str">
        <f>_xlfn.XLOOKUP(C559,'product_masterlist(ifs)'!A:A,'product_masterlist(ifs)'!C:C,"N/A",0)</f>
        <v>Frames</v>
      </c>
      <c r="K559">
        <f>VLOOKUP(C559,'product_masterlist(ifs)'!A:I,7,FALSE)</f>
        <v>180</v>
      </c>
    </row>
    <row r="560" spans="1:11" x14ac:dyDescent="0.35">
      <c r="A560" t="s">
        <v>801</v>
      </c>
      <c r="B560" t="s">
        <v>802</v>
      </c>
      <c r="C560" t="s">
        <v>11</v>
      </c>
      <c r="D560">
        <v>11</v>
      </c>
      <c r="E560" t="s">
        <v>37</v>
      </c>
      <c r="F560" t="s">
        <v>13</v>
      </c>
      <c r="G560">
        <v>935</v>
      </c>
      <c r="H560">
        <v>30</v>
      </c>
      <c r="I560" t="s">
        <v>14</v>
      </c>
      <c r="J560" t="str">
        <f>_xlfn.XLOOKUP(C560,'product_masterlist(ifs)'!A:A,'product_masterlist(ifs)'!C:C,"N/A",0)</f>
        <v>Surgical</v>
      </c>
      <c r="K560">
        <f>VLOOKUP(C560,'product_masterlist(ifs)'!A:I,7,FALSE)</f>
        <v>40</v>
      </c>
    </row>
    <row r="561" spans="1:11" x14ac:dyDescent="0.35">
      <c r="A561" t="s">
        <v>803</v>
      </c>
      <c r="B561" t="s">
        <v>122</v>
      </c>
      <c r="C561" t="s">
        <v>33</v>
      </c>
      <c r="D561">
        <v>5</v>
      </c>
      <c r="E561" t="s">
        <v>20</v>
      </c>
      <c r="F561" t="s">
        <v>18</v>
      </c>
      <c r="G561">
        <v>750</v>
      </c>
      <c r="H561">
        <v>45</v>
      </c>
      <c r="I561" t="s">
        <v>34</v>
      </c>
      <c r="J561" t="str">
        <f>_xlfn.XLOOKUP(C561,'product_masterlist(ifs)'!A:A,'product_masterlist(ifs)'!C:C,"N/A",0)</f>
        <v>Surgical</v>
      </c>
      <c r="K561">
        <f>VLOOKUP(C561,'product_masterlist(ifs)'!A:I,7,FALSE)</f>
        <v>15</v>
      </c>
    </row>
    <row r="562" spans="1:11" x14ac:dyDescent="0.35">
      <c r="A562" t="s">
        <v>804</v>
      </c>
      <c r="B562" s="1">
        <v>45912</v>
      </c>
      <c r="C562" t="s">
        <v>33</v>
      </c>
      <c r="D562">
        <v>25</v>
      </c>
      <c r="E562" t="s">
        <v>20</v>
      </c>
      <c r="F562" t="s">
        <v>13</v>
      </c>
      <c r="G562">
        <v>3750</v>
      </c>
      <c r="H562">
        <v>45</v>
      </c>
      <c r="I562" t="s">
        <v>34</v>
      </c>
      <c r="J562" t="str">
        <f>_xlfn.XLOOKUP(C562,'product_masterlist(ifs)'!A:A,'product_masterlist(ifs)'!C:C,"N/A",0)</f>
        <v>Surgical</v>
      </c>
      <c r="K562">
        <f>VLOOKUP(C562,'product_masterlist(ifs)'!A:I,7,FALSE)</f>
        <v>15</v>
      </c>
    </row>
    <row r="563" spans="1:11" x14ac:dyDescent="0.35">
      <c r="A563" t="s">
        <v>805</v>
      </c>
      <c r="B563" s="1">
        <v>45932</v>
      </c>
      <c r="C563" t="s">
        <v>42</v>
      </c>
      <c r="D563">
        <v>24</v>
      </c>
      <c r="E563" t="s">
        <v>20</v>
      </c>
      <c r="F563" t="s">
        <v>31</v>
      </c>
      <c r="G563">
        <v>600</v>
      </c>
      <c r="H563">
        <v>21</v>
      </c>
      <c r="I563" t="s">
        <v>14</v>
      </c>
      <c r="J563" t="str">
        <f>_xlfn.XLOOKUP(C563,'product_masterlist(ifs)'!A:A,'product_masterlist(ifs)'!C:C,"N/A",0)</f>
        <v>Contact Lenses</v>
      </c>
      <c r="K563">
        <f>VLOOKUP(C563,'product_masterlist(ifs)'!A:I,7,FALSE)</f>
        <v>120</v>
      </c>
    </row>
    <row r="564" spans="1:11" x14ac:dyDescent="0.35">
      <c r="A564" t="s">
        <v>806</v>
      </c>
      <c r="B564" s="1">
        <v>45723</v>
      </c>
      <c r="C564" t="s">
        <v>90</v>
      </c>
      <c r="D564">
        <v>21</v>
      </c>
      <c r="E564" t="s">
        <v>22</v>
      </c>
      <c r="F564" t="s">
        <v>18</v>
      </c>
      <c r="G564" t="s">
        <v>120</v>
      </c>
      <c r="H564">
        <v>30</v>
      </c>
      <c r="I564" t="s">
        <v>14</v>
      </c>
      <c r="J564" t="str">
        <f>_xlfn.XLOOKUP(C564,'product_masterlist(ifs)'!A:A,'product_masterlist(ifs)'!C:C,"N/A",0)</f>
        <v>Frames</v>
      </c>
      <c r="K564">
        <f>VLOOKUP(C564,'product_masterlist(ifs)'!A:I,7,FALSE)</f>
        <v>180</v>
      </c>
    </row>
    <row r="565" spans="1:11" x14ac:dyDescent="0.35">
      <c r="A565" t="s">
        <v>807</v>
      </c>
      <c r="B565" t="s">
        <v>808</v>
      </c>
      <c r="C565" t="s">
        <v>11</v>
      </c>
      <c r="D565">
        <v>15</v>
      </c>
      <c r="E565" t="s">
        <v>22</v>
      </c>
      <c r="F565" t="s">
        <v>31</v>
      </c>
      <c r="G565">
        <v>1275</v>
      </c>
      <c r="H565">
        <v>30</v>
      </c>
      <c r="I565" t="s">
        <v>14</v>
      </c>
      <c r="J565" t="str">
        <f>_xlfn.XLOOKUP(C565,'product_masterlist(ifs)'!A:A,'product_masterlist(ifs)'!C:C,"N/A",0)</f>
        <v>Surgical</v>
      </c>
      <c r="K565">
        <f>VLOOKUP(C565,'product_masterlist(ifs)'!A:I,7,FALSE)</f>
        <v>40</v>
      </c>
    </row>
    <row r="566" spans="1:11" x14ac:dyDescent="0.35">
      <c r="A566" t="s">
        <v>809</v>
      </c>
      <c r="B566" t="s">
        <v>203</v>
      </c>
      <c r="C566" t="s">
        <v>33</v>
      </c>
      <c r="D566">
        <v>10</v>
      </c>
      <c r="E566" t="s">
        <v>22</v>
      </c>
      <c r="F566" t="s">
        <v>23</v>
      </c>
      <c r="G566">
        <v>1500</v>
      </c>
      <c r="H566">
        <v>45</v>
      </c>
      <c r="I566" t="s">
        <v>34</v>
      </c>
      <c r="J566" t="str">
        <f>_xlfn.XLOOKUP(C566,'product_masterlist(ifs)'!A:A,'product_masterlist(ifs)'!C:C,"N/A",0)</f>
        <v>Surgical</v>
      </c>
      <c r="K566">
        <f>VLOOKUP(C566,'product_masterlist(ifs)'!A:I,7,FALSE)</f>
        <v>15</v>
      </c>
    </row>
    <row r="567" spans="1:11" x14ac:dyDescent="0.35">
      <c r="A567" t="s">
        <v>810</v>
      </c>
      <c r="B567" t="s">
        <v>723</v>
      </c>
      <c r="C567" t="s">
        <v>26</v>
      </c>
      <c r="D567">
        <v>13</v>
      </c>
      <c r="E567" t="s">
        <v>12</v>
      </c>
      <c r="F567" t="s">
        <v>13</v>
      </c>
      <c r="G567" t="s">
        <v>437</v>
      </c>
      <c r="H567">
        <v>14</v>
      </c>
      <c r="I567" t="s">
        <v>28</v>
      </c>
      <c r="J567" t="str">
        <f>_xlfn.XLOOKUP(C567,'product_masterlist(ifs)'!A:A,'product_masterlist(ifs)'!C:C,"N/A",0)</f>
        <v>Contact Lenses</v>
      </c>
      <c r="K567">
        <f>VLOOKUP(C567,'product_masterlist(ifs)'!A:I,7,FALSE)</f>
        <v>450</v>
      </c>
    </row>
    <row r="568" spans="1:11" x14ac:dyDescent="0.35">
      <c r="A568" t="s">
        <v>811</v>
      </c>
      <c r="B568" s="1">
        <v>45992</v>
      </c>
      <c r="C568" t="s">
        <v>90</v>
      </c>
      <c r="D568">
        <v>12</v>
      </c>
      <c r="E568" t="s">
        <v>20</v>
      </c>
      <c r="F568" t="s">
        <v>13</v>
      </c>
      <c r="G568">
        <v>582</v>
      </c>
      <c r="H568">
        <v>30</v>
      </c>
      <c r="I568" t="s">
        <v>14</v>
      </c>
      <c r="J568" t="str">
        <f>_xlfn.XLOOKUP(C568,'product_masterlist(ifs)'!A:A,'product_masterlist(ifs)'!C:C,"N/A",0)</f>
        <v>Frames</v>
      </c>
      <c r="K568">
        <f>VLOOKUP(C568,'product_masterlist(ifs)'!A:I,7,FALSE)</f>
        <v>180</v>
      </c>
    </row>
    <row r="569" spans="1:11" x14ac:dyDescent="0.35">
      <c r="A569" t="s">
        <v>812</v>
      </c>
      <c r="B569" t="s">
        <v>52</v>
      </c>
      <c r="C569" t="s">
        <v>90</v>
      </c>
      <c r="D569">
        <v>1</v>
      </c>
      <c r="E569" t="s">
        <v>22</v>
      </c>
      <c r="F569" t="s">
        <v>18</v>
      </c>
      <c r="G569" t="s">
        <v>109</v>
      </c>
      <c r="H569">
        <v>30</v>
      </c>
      <c r="I569" t="s">
        <v>14</v>
      </c>
      <c r="J569" t="str">
        <f>_xlfn.XLOOKUP(C569,'product_masterlist(ifs)'!A:A,'product_masterlist(ifs)'!C:C,"N/A",0)</f>
        <v>Frames</v>
      </c>
      <c r="K569">
        <f>VLOOKUP(C569,'product_masterlist(ifs)'!A:I,7,FALSE)</f>
        <v>180</v>
      </c>
    </row>
    <row r="570" spans="1:11" x14ac:dyDescent="0.35">
      <c r="A570" t="s">
        <v>813</v>
      </c>
      <c r="B570" t="s">
        <v>667</v>
      </c>
      <c r="C570" t="s">
        <v>42</v>
      </c>
      <c r="D570">
        <v>22</v>
      </c>
      <c r="E570" t="s">
        <v>12</v>
      </c>
      <c r="F570" t="s">
        <v>18</v>
      </c>
      <c r="G570">
        <v>550</v>
      </c>
      <c r="H570">
        <v>21</v>
      </c>
      <c r="I570" t="s">
        <v>14</v>
      </c>
      <c r="J570" t="str">
        <f>_xlfn.XLOOKUP(C570,'product_masterlist(ifs)'!A:A,'product_masterlist(ifs)'!C:C,"N/A",0)</f>
        <v>Contact Lenses</v>
      </c>
      <c r="K570">
        <f>VLOOKUP(C570,'product_masterlist(ifs)'!A:I,7,FALSE)</f>
        <v>120</v>
      </c>
    </row>
    <row r="571" spans="1:11" x14ac:dyDescent="0.35">
      <c r="A571" t="s">
        <v>814</v>
      </c>
      <c r="B571" t="s">
        <v>815</v>
      </c>
      <c r="C571" t="s">
        <v>42</v>
      </c>
      <c r="D571">
        <v>15</v>
      </c>
      <c r="E571" t="s">
        <v>37</v>
      </c>
      <c r="F571" t="s">
        <v>18</v>
      </c>
      <c r="G571">
        <v>375</v>
      </c>
      <c r="H571">
        <v>21</v>
      </c>
      <c r="I571" t="s">
        <v>14</v>
      </c>
      <c r="J571" t="str">
        <f>_xlfn.XLOOKUP(C571,'product_masterlist(ifs)'!A:A,'product_masterlist(ifs)'!C:C,"N/A",0)</f>
        <v>Contact Lenses</v>
      </c>
      <c r="K571">
        <f>VLOOKUP(C571,'product_masterlist(ifs)'!A:I,7,FALSE)</f>
        <v>120</v>
      </c>
    </row>
    <row r="572" spans="1:11" x14ac:dyDescent="0.35">
      <c r="A572" t="s">
        <v>816</v>
      </c>
      <c r="B572" s="1">
        <v>45912</v>
      </c>
      <c r="C572" t="s">
        <v>90</v>
      </c>
      <c r="D572">
        <v>16</v>
      </c>
      <c r="E572" t="s">
        <v>22</v>
      </c>
      <c r="F572" t="s">
        <v>23</v>
      </c>
      <c r="G572">
        <v>776</v>
      </c>
      <c r="H572">
        <v>30</v>
      </c>
      <c r="I572" t="s">
        <v>14</v>
      </c>
      <c r="J572" t="str">
        <f>_xlfn.XLOOKUP(C572,'product_masterlist(ifs)'!A:A,'product_masterlist(ifs)'!C:C,"N/A",0)</f>
        <v>Frames</v>
      </c>
      <c r="K572">
        <f>VLOOKUP(C572,'product_masterlist(ifs)'!A:I,7,FALSE)</f>
        <v>180</v>
      </c>
    </row>
    <row r="573" spans="1:11" x14ac:dyDescent="0.35">
      <c r="A573" t="s">
        <v>817</v>
      </c>
      <c r="B573" s="1">
        <v>45756</v>
      </c>
      <c r="C573" t="s">
        <v>90</v>
      </c>
      <c r="D573">
        <v>1</v>
      </c>
      <c r="E573" t="s">
        <v>37</v>
      </c>
      <c r="F573" t="s">
        <v>31</v>
      </c>
      <c r="G573" t="s">
        <v>109</v>
      </c>
      <c r="H573">
        <v>30</v>
      </c>
      <c r="I573" t="s">
        <v>14</v>
      </c>
      <c r="J573" t="str">
        <f>_xlfn.XLOOKUP(C573,'product_masterlist(ifs)'!A:A,'product_masterlist(ifs)'!C:C,"N/A",0)</f>
        <v>Frames</v>
      </c>
      <c r="K573">
        <f>VLOOKUP(C573,'product_masterlist(ifs)'!A:I,7,FALSE)</f>
        <v>180</v>
      </c>
    </row>
    <row r="574" spans="1:11" x14ac:dyDescent="0.35">
      <c r="A574" t="s">
        <v>818</v>
      </c>
      <c r="B574" s="1">
        <v>45935</v>
      </c>
      <c r="C574" t="s">
        <v>53</v>
      </c>
      <c r="D574">
        <v>7</v>
      </c>
      <c r="E574" t="s">
        <v>37</v>
      </c>
      <c r="F574" t="s">
        <v>13</v>
      </c>
      <c r="G574" t="s">
        <v>320</v>
      </c>
      <c r="H574">
        <v>7</v>
      </c>
      <c r="I574" t="s">
        <v>28</v>
      </c>
      <c r="J574" t="str">
        <f>_xlfn.XLOOKUP(C574,'product_masterlist(ifs)'!A:A,'product_masterlist(ifs)'!C:C,"N/A",0)</f>
        <v>Solutions</v>
      </c>
      <c r="K574">
        <f>VLOOKUP(C574,'product_masterlist(ifs)'!A:I,7,FALSE)</f>
        <v>800</v>
      </c>
    </row>
    <row r="575" spans="1:11" x14ac:dyDescent="0.35">
      <c r="A575" t="s">
        <v>819</v>
      </c>
      <c r="B575" t="s">
        <v>569</v>
      </c>
      <c r="C575" t="s">
        <v>11</v>
      </c>
      <c r="D575">
        <v>3</v>
      </c>
      <c r="E575" t="s">
        <v>22</v>
      </c>
      <c r="F575" t="s">
        <v>18</v>
      </c>
      <c r="G575">
        <v>255</v>
      </c>
      <c r="H575">
        <v>30</v>
      </c>
      <c r="I575" t="s">
        <v>14</v>
      </c>
      <c r="J575" t="str">
        <f>_xlfn.XLOOKUP(C575,'product_masterlist(ifs)'!A:A,'product_masterlist(ifs)'!C:C,"N/A",0)</f>
        <v>Surgical</v>
      </c>
      <c r="K575">
        <f>VLOOKUP(C575,'product_masterlist(ifs)'!A:I,7,FALSE)</f>
        <v>40</v>
      </c>
    </row>
    <row r="576" spans="1:11" x14ac:dyDescent="0.35">
      <c r="A576" t="s">
        <v>820</v>
      </c>
      <c r="B576" t="s">
        <v>354</v>
      </c>
      <c r="C576" t="s">
        <v>26</v>
      </c>
      <c r="D576">
        <v>11</v>
      </c>
      <c r="E576" t="s">
        <v>20</v>
      </c>
      <c r="F576" t="s">
        <v>31</v>
      </c>
      <c r="G576" t="s">
        <v>47</v>
      </c>
      <c r="H576">
        <v>14</v>
      </c>
      <c r="I576" t="s">
        <v>28</v>
      </c>
      <c r="J576" t="str">
        <f>_xlfn.XLOOKUP(C576,'product_masterlist(ifs)'!A:A,'product_masterlist(ifs)'!C:C,"N/A",0)</f>
        <v>Contact Lenses</v>
      </c>
      <c r="K576">
        <f>VLOOKUP(C576,'product_masterlist(ifs)'!A:I,7,FALSE)</f>
        <v>450</v>
      </c>
    </row>
    <row r="577" spans="1:11" x14ac:dyDescent="0.35">
      <c r="A577" t="s">
        <v>821</v>
      </c>
      <c r="B577" t="s">
        <v>205</v>
      </c>
      <c r="C577" t="s">
        <v>26</v>
      </c>
      <c r="D577">
        <v>24</v>
      </c>
      <c r="E577" t="s">
        <v>37</v>
      </c>
      <c r="F577" t="s">
        <v>23</v>
      </c>
      <c r="G577">
        <v>300</v>
      </c>
      <c r="H577">
        <v>14</v>
      </c>
      <c r="I577" t="s">
        <v>28</v>
      </c>
      <c r="J577" t="str">
        <f>_xlfn.XLOOKUP(C577,'product_masterlist(ifs)'!A:A,'product_masterlist(ifs)'!C:C,"N/A",0)</f>
        <v>Contact Lenses</v>
      </c>
      <c r="K577">
        <f>VLOOKUP(C577,'product_masterlist(ifs)'!A:I,7,FALSE)</f>
        <v>450</v>
      </c>
    </row>
    <row r="578" spans="1:11" x14ac:dyDescent="0.35">
      <c r="A578" t="s">
        <v>822</v>
      </c>
      <c r="B578" t="s">
        <v>823</v>
      </c>
      <c r="C578" t="s">
        <v>42</v>
      </c>
      <c r="D578">
        <v>16</v>
      </c>
      <c r="E578" t="s">
        <v>20</v>
      </c>
      <c r="F578" t="s">
        <v>13</v>
      </c>
      <c r="G578">
        <v>400</v>
      </c>
      <c r="H578">
        <v>21</v>
      </c>
      <c r="I578" t="s">
        <v>14</v>
      </c>
      <c r="J578" t="str">
        <f>_xlfn.XLOOKUP(C578,'product_masterlist(ifs)'!A:A,'product_masterlist(ifs)'!C:C,"N/A",0)</f>
        <v>Contact Lenses</v>
      </c>
      <c r="K578">
        <f>VLOOKUP(C578,'product_masterlist(ifs)'!A:I,7,FALSE)</f>
        <v>120</v>
      </c>
    </row>
    <row r="579" spans="1:11" x14ac:dyDescent="0.35">
      <c r="A579" t="s">
        <v>824</v>
      </c>
      <c r="B579" s="1">
        <v>45721</v>
      </c>
      <c r="C579" t="s">
        <v>53</v>
      </c>
      <c r="D579">
        <v>11</v>
      </c>
      <c r="E579" t="s">
        <v>12</v>
      </c>
      <c r="F579" t="s">
        <v>23</v>
      </c>
      <c r="G579" t="s">
        <v>240</v>
      </c>
      <c r="H579">
        <v>7</v>
      </c>
      <c r="I579" t="s">
        <v>28</v>
      </c>
      <c r="J579" t="str">
        <f>_xlfn.XLOOKUP(C579,'product_masterlist(ifs)'!A:A,'product_masterlist(ifs)'!C:C,"N/A",0)</f>
        <v>Solutions</v>
      </c>
      <c r="K579">
        <f>VLOOKUP(C579,'product_masterlist(ifs)'!A:I,7,FALSE)</f>
        <v>800</v>
      </c>
    </row>
    <row r="580" spans="1:11" x14ac:dyDescent="0.35">
      <c r="A580" t="s">
        <v>825</v>
      </c>
      <c r="B580" t="s">
        <v>417</v>
      </c>
      <c r="C580" t="s">
        <v>53</v>
      </c>
      <c r="D580">
        <v>6</v>
      </c>
      <c r="E580" t="s">
        <v>37</v>
      </c>
      <c r="F580" t="s">
        <v>23</v>
      </c>
      <c r="G580" t="s">
        <v>369</v>
      </c>
      <c r="H580">
        <v>7</v>
      </c>
      <c r="I580" t="s">
        <v>28</v>
      </c>
      <c r="J580" t="str">
        <f>_xlfn.XLOOKUP(C580,'product_masterlist(ifs)'!A:A,'product_masterlist(ifs)'!C:C,"N/A",0)</f>
        <v>Solutions</v>
      </c>
      <c r="K580">
        <f>VLOOKUP(C580,'product_masterlist(ifs)'!A:I,7,FALSE)</f>
        <v>800</v>
      </c>
    </row>
    <row r="581" spans="1:11" x14ac:dyDescent="0.35">
      <c r="A581" t="s">
        <v>826</v>
      </c>
      <c r="B581" t="s">
        <v>87</v>
      </c>
      <c r="C581" t="s">
        <v>42</v>
      </c>
      <c r="D581">
        <v>7</v>
      </c>
      <c r="E581" t="s">
        <v>37</v>
      </c>
      <c r="F581" t="s">
        <v>18</v>
      </c>
      <c r="G581">
        <v>175</v>
      </c>
      <c r="H581">
        <v>21</v>
      </c>
      <c r="I581" t="s">
        <v>14</v>
      </c>
      <c r="J581" t="str">
        <f>_xlfn.XLOOKUP(C581,'product_masterlist(ifs)'!A:A,'product_masterlist(ifs)'!C:C,"N/A",0)</f>
        <v>Contact Lenses</v>
      </c>
      <c r="K581">
        <f>VLOOKUP(C581,'product_masterlist(ifs)'!A:I,7,FALSE)</f>
        <v>120</v>
      </c>
    </row>
    <row r="582" spans="1:11" x14ac:dyDescent="0.35">
      <c r="A582" t="s">
        <v>827</v>
      </c>
      <c r="B582" s="1">
        <v>45780</v>
      </c>
      <c r="C582" t="s">
        <v>17</v>
      </c>
      <c r="D582">
        <v>22</v>
      </c>
      <c r="E582" t="s">
        <v>20</v>
      </c>
      <c r="F582" t="s">
        <v>23</v>
      </c>
      <c r="G582">
        <v>990</v>
      </c>
      <c r="H582">
        <v>30</v>
      </c>
      <c r="I582" t="s">
        <v>14</v>
      </c>
      <c r="J582" t="str">
        <f>_xlfn.XLOOKUP(C582,'product_masterlist(ifs)'!A:A,'product_masterlist(ifs)'!C:C,"N/A",0)</f>
        <v>Frames</v>
      </c>
      <c r="K582">
        <f>VLOOKUP(C582,'product_masterlist(ifs)'!A:I,7,FALSE)</f>
        <v>45</v>
      </c>
    </row>
    <row r="583" spans="1:11" x14ac:dyDescent="0.35">
      <c r="A583" t="s">
        <v>828</v>
      </c>
      <c r="B583" t="s">
        <v>619</v>
      </c>
      <c r="C583" t="s">
        <v>33</v>
      </c>
      <c r="D583">
        <v>25</v>
      </c>
      <c r="E583" t="s">
        <v>20</v>
      </c>
      <c r="F583" t="s">
        <v>13</v>
      </c>
      <c r="G583">
        <v>3750</v>
      </c>
      <c r="H583">
        <v>45</v>
      </c>
      <c r="I583" t="s">
        <v>34</v>
      </c>
      <c r="J583" t="str">
        <f>_xlfn.XLOOKUP(C583,'product_masterlist(ifs)'!A:A,'product_masterlist(ifs)'!C:C,"N/A",0)</f>
        <v>Surgical</v>
      </c>
      <c r="K583">
        <f>VLOOKUP(C583,'product_masterlist(ifs)'!A:I,7,FALSE)</f>
        <v>15</v>
      </c>
    </row>
    <row r="584" spans="1:11" x14ac:dyDescent="0.35">
      <c r="A584" t="s">
        <v>829</v>
      </c>
      <c r="B584" t="s">
        <v>168</v>
      </c>
      <c r="C584" t="s">
        <v>17</v>
      </c>
      <c r="D584">
        <v>5</v>
      </c>
      <c r="E584" t="s">
        <v>20</v>
      </c>
      <c r="F584" t="s">
        <v>31</v>
      </c>
      <c r="G584">
        <v>225</v>
      </c>
      <c r="H584">
        <v>30</v>
      </c>
      <c r="I584" t="s">
        <v>14</v>
      </c>
      <c r="J584" t="str">
        <f>_xlfn.XLOOKUP(C584,'product_masterlist(ifs)'!A:A,'product_masterlist(ifs)'!C:C,"N/A",0)</f>
        <v>Frames</v>
      </c>
      <c r="K584">
        <f>VLOOKUP(C584,'product_masterlist(ifs)'!A:I,7,FALSE)</f>
        <v>45</v>
      </c>
    </row>
    <row r="585" spans="1:11" x14ac:dyDescent="0.35">
      <c r="A585" t="s">
        <v>830</v>
      </c>
      <c r="B585" s="1">
        <v>45879</v>
      </c>
      <c r="C585" t="s">
        <v>90</v>
      </c>
      <c r="D585">
        <v>14</v>
      </c>
      <c r="E585" t="s">
        <v>22</v>
      </c>
      <c r="F585" t="s">
        <v>13</v>
      </c>
      <c r="G585">
        <v>679</v>
      </c>
      <c r="H585">
        <v>30</v>
      </c>
      <c r="I585" t="s">
        <v>14</v>
      </c>
      <c r="J585" t="str">
        <f>_xlfn.XLOOKUP(C585,'product_masterlist(ifs)'!A:A,'product_masterlist(ifs)'!C:C,"N/A",0)</f>
        <v>Frames</v>
      </c>
      <c r="K585">
        <f>VLOOKUP(C585,'product_masterlist(ifs)'!A:I,7,FALSE)</f>
        <v>180</v>
      </c>
    </row>
    <row r="586" spans="1:11" x14ac:dyDescent="0.35">
      <c r="A586" t="s">
        <v>831</v>
      </c>
      <c r="B586" s="1">
        <v>45849</v>
      </c>
      <c r="C586" t="s">
        <v>42</v>
      </c>
      <c r="D586">
        <v>20</v>
      </c>
      <c r="E586" t="s">
        <v>20</v>
      </c>
      <c r="F586" t="s">
        <v>13</v>
      </c>
      <c r="G586">
        <v>500</v>
      </c>
      <c r="H586">
        <v>21</v>
      </c>
      <c r="I586" t="s">
        <v>14</v>
      </c>
      <c r="J586" t="str">
        <f>_xlfn.XLOOKUP(C586,'product_masterlist(ifs)'!A:A,'product_masterlist(ifs)'!C:C,"N/A",0)</f>
        <v>Contact Lenses</v>
      </c>
      <c r="K586">
        <f>VLOOKUP(C586,'product_masterlist(ifs)'!A:I,7,FALSE)</f>
        <v>120</v>
      </c>
    </row>
    <row r="587" spans="1:11" x14ac:dyDescent="0.35">
      <c r="A587" t="s">
        <v>832</v>
      </c>
      <c r="B587" t="s">
        <v>352</v>
      </c>
      <c r="C587" t="s">
        <v>90</v>
      </c>
      <c r="D587">
        <v>15</v>
      </c>
      <c r="E587" t="s">
        <v>20</v>
      </c>
      <c r="F587" t="s">
        <v>18</v>
      </c>
      <c r="G587" t="s">
        <v>250</v>
      </c>
      <c r="H587">
        <v>30</v>
      </c>
      <c r="I587" t="s">
        <v>14</v>
      </c>
      <c r="J587" t="str">
        <f>_xlfn.XLOOKUP(C587,'product_masterlist(ifs)'!A:A,'product_masterlist(ifs)'!C:C,"N/A",0)</f>
        <v>Frames</v>
      </c>
      <c r="K587">
        <f>VLOOKUP(C587,'product_masterlist(ifs)'!A:I,7,FALSE)</f>
        <v>180</v>
      </c>
    </row>
    <row r="588" spans="1:11" x14ac:dyDescent="0.35">
      <c r="A588" t="s">
        <v>833</v>
      </c>
      <c r="B588" t="s">
        <v>489</v>
      </c>
      <c r="C588" t="s">
        <v>17</v>
      </c>
      <c r="D588">
        <v>2</v>
      </c>
      <c r="E588" t="s">
        <v>22</v>
      </c>
      <c r="F588" t="s">
        <v>23</v>
      </c>
      <c r="G588">
        <v>90</v>
      </c>
      <c r="H588">
        <v>30</v>
      </c>
      <c r="I588" t="s">
        <v>14</v>
      </c>
      <c r="J588" t="str">
        <f>_xlfn.XLOOKUP(C588,'product_masterlist(ifs)'!A:A,'product_masterlist(ifs)'!C:C,"N/A",0)</f>
        <v>Frames</v>
      </c>
      <c r="K588">
        <f>VLOOKUP(C588,'product_masterlist(ifs)'!A:I,7,FALSE)</f>
        <v>45</v>
      </c>
    </row>
    <row r="589" spans="1:11" x14ac:dyDescent="0.35">
      <c r="A589" t="s">
        <v>834</v>
      </c>
      <c r="B589" t="s">
        <v>499</v>
      </c>
      <c r="C589" t="s">
        <v>17</v>
      </c>
      <c r="D589">
        <v>4</v>
      </c>
      <c r="E589" t="s">
        <v>37</v>
      </c>
      <c r="F589" t="s">
        <v>31</v>
      </c>
      <c r="G589">
        <v>180</v>
      </c>
      <c r="H589">
        <v>30</v>
      </c>
      <c r="I589" t="s">
        <v>14</v>
      </c>
      <c r="J589" t="str">
        <f>_xlfn.XLOOKUP(C589,'product_masterlist(ifs)'!A:A,'product_masterlist(ifs)'!C:C,"N/A",0)</f>
        <v>Frames</v>
      </c>
      <c r="K589">
        <f>VLOOKUP(C589,'product_masterlist(ifs)'!A:I,7,FALSE)</f>
        <v>45</v>
      </c>
    </row>
    <row r="590" spans="1:11" x14ac:dyDescent="0.35">
      <c r="A590" t="s">
        <v>835</v>
      </c>
      <c r="B590" s="1">
        <v>45815</v>
      </c>
      <c r="C590" t="s">
        <v>90</v>
      </c>
      <c r="D590">
        <v>20</v>
      </c>
      <c r="E590" t="s">
        <v>20</v>
      </c>
      <c r="F590" t="s">
        <v>23</v>
      </c>
      <c r="G590">
        <v>970</v>
      </c>
      <c r="H590">
        <v>30</v>
      </c>
      <c r="I590" t="s">
        <v>14</v>
      </c>
      <c r="J590" t="str">
        <f>_xlfn.XLOOKUP(C590,'product_masterlist(ifs)'!A:A,'product_masterlist(ifs)'!C:C,"N/A",0)</f>
        <v>Frames</v>
      </c>
      <c r="K590">
        <f>VLOOKUP(C590,'product_masterlist(ifs)'!A:I,7,FALSE)</f>
        <v>180</v>
      </c>
    </row>
    <row r="591" spans="1:11" x14ac:dyDescent="0.35">
      <c r="A591" t="s">
        <v>836</v>
      </c>
      <c r="B591" t="s">
        <v>141</v>
      </c>
      <c r="C591" t="s">
        <v>33</v>
      </c>
      <c r="D591">
        <v>21</v>
      </c>
      <c r="E591" t="s">
        <v>22</v>
      </c>
      <c r="F591" t="s">
        <v>18</v>
      </c>
      <c r="G591">
        <v>3150</v>
      </c>
      <c r="H591">
        <v>45</v>
      </c>
      <c r="I591" t="s">
        <v>34</v>
      </c>
      <c r="J591" t="str">
        <f>_xlfn.XLOOKUP(C591,'product_masterlist(ifs)'!A:A,'product_masterlist(ifs)'!C:C,"N/A",0)</f>
        <v>Surgical</v>
      </c>
      <c r="K591">
        <f>VLOOKUP(C591,'product_masterlist(ifs)'!A:I,7,FALSE)</f>
        <v>15</v>
      </c>
    </row>
    <row r="592" spans="1:11" x14ac:dyDescent="0.35">
      <c r="A592" t="s">
        <v>837</v>
      </c>
      <c r="B592" t="s">
        <v>838</v>
      </c>
      <c r="C592" t="s">
        <v>17</v>
      </c>
      <c r="D592">
        <v>16</v>
      </c>
      <c r="E592" t="s">
        <v>37</v>
      </c>
      <c r="F592" t="s">
        <v>13</v>
      </c>
      <c r="G592">
        <v>720</v>
      </c>
      <c r="H592">
        <v>30</v>
      </c>
      <c r="I592" t="s">
        <v>14</v>
      </c>
      <c r="J592" t="str">
        <f>_xlfn.XLOOKUP(C592,'product_masterlist(ifs)'!A:A,'product_masterlist(ifs)'!C:C,"N/A",0)</f>
        <v>Frames</v>
      </c>
      <c r="K592">
        <f>VLOOKUP(C592,'product_masterlist(ifs)'!A:I,7,FALSE)</f>
        <v>45</v>
      </c>
    </row>
    <row r="593" spans="1:11" x14ac:dyDescent="0.35">
      <c r="A593" t="s">
        <v>839</v>
      </c>
      <c r="B593" s="1">
        <v>45689</v>
      </c>
      <c r="C593" t="s">
        <v>53</v>
      </c>
      <c r="D593">
        <v>22</v>
      </c>
      <c r="E593" t="s">
        <v>37</v>
      </c>
      <c r="F593" t="s">
        <v>23</v>
      </c>
      <c r="G593" t="s">
        <v>176</v>
      </c>
      <c r="H593">
        <v>7</v>
      </c>
      <c r="I593" t="s">
        <v>28</v>
      </c>
      <c r="J593" t="str">
        <f>_xlfn.XLOOKUP(C593,'product_masterlist(ifs)'!A:A,'product_masterlist(ifs)'!C:C,"N/A",0)</f>
        <v>Solutions</v>
      </c>
      <c r="K593">
        <f>VLOOKUP(C593,'product_masterlist(ifs)'!A:I,7,FALSE)</f>
        <v>800</v>
      </c>
    </row>
    <row r="594" spans="1:11" x14ac:dyDescent="0.35">
      <c r="A594" t="s">
        <v>840</v>
      </c>
      <c r="B594" s="1">
        <v>45809</v>
      </c>
      <c r="C594" t="s">
        <v>17</v>
      </c>
      <c r="D594">
        <v>12</v>
      </c>
      <c r="E594" t="s">
        <v>22</v>
      </c>
      <c r="F594" t="s">
        <v>18</v>
      </c>
      <c r="G594">
        <v>540</v>
      </c>
      <c r="H594">
        <v>30</v>
      </c>
      <c r="I594" t="s">
        <v>14</v>
      </c>
      <c r="J594" t="str">
        <f>_xlfn.XLOOKUP(C594,'product_masterlist(ifs)'!A:A,'product_masterlist(ifs)'!C:C,"N/A",0)</f>
        <v>Frames</v>
      </c>
      <c r="K594">
        <f>VLOOKUP(C594,'product_masterlist(ifs)'!A:I,7,FALSE)</f>
        <v>45</v>
      </c>
    </row>
    <row r="595" spans="1:11" x14ac:dyDescent="0.35">
      <c r="A595" t="s">
        <v>841</v>
      </c>
      <c r="B595" t="s">
        <v>842</v>
      </c>
      <c r="C595" t="s">
        <v>26</v>
      </c>
      <c r="D595">
        <v>12</v>
      </c>
      <c r="E595" t="s">
        <v>22</v>
      </c>
      <c r="F595" t="s">
        <v>23</v>
      </c>
      <c r="G595">
        <v>150</v>
      </c>
      <c r="H595">
        <v>14</v>
      </c>
      <c r="I595" t="s">
        <v>28</v>
      </c>
      <c r="J595" t="str">
        <f>_xlfn.XLOOKUP(C595,'product_masterlist(ifs)'!A:A,'product_masterlist(ifs)'!C:C,"N/A",0)</f>
        <v>Contact Lenses</v>
      </c>
      <c r="K595">
        <f>VLOOKUP(C595,'product_masterlist(ifs)'!A:I,7,FALSE)</f>
        <v>450</v>
      </c>
    </row>
    <row r="596" spans="1:11" x14ac:dyDescent="0.35">
      <c r="A596" t="s">
        <v>843</v>
      </c>
      <c r="B596" t="s">
        <v>127</v>
      </c>
      <c r="C596" t="s">
        <v>53</v>
      </c>
      <c r="D596">
        <v>16</v>
      </c>
      <c r="E596" t="s">
        <v>12</v>
      </c>
      <c r="F596" t="s">
        <v>13</v>
      </c>
      <c r="G596">
        <v>68</v>
      </c>
      <c r="H596">
        <v>7</v>
      </c>
      <c r="I596" t="s">
        <v>28</v>
      </c>
      <c r="J596" t="str">
        <f>_xlfn.XLOOKUP(C596,'product_masterlist(ifs)'!A:A,'product_masterlist(ifs)'!C:C,"N/A",0)</f>
        <v>Solutions</v>
      </c>
      <c r="K596">
        <f>VLOOKUP(C596,'product_masterlist(ifs)'!A:I,7,FALSE)</f>
        <v>800</v>
      </c>
    </row>
    <row r="597" spans="1:11" x14ac:dyDescent="0.35">
      <c r="A597" t="s">
        <v>844</v>
      </c>
      <c r="B597" t="s">
        <v>651</v>
      </c>
      <c r="C597" t="s">
        <v>53</v>
      </c>
      <c r="D597">
        <v>17</v>
      </c>
      <c r="E597" t="s">
        <v>12</v>
      </c>
      <c r="F597" t="s">
        <v>31</v>
      </c>
      <c r="G597" t="s">
        <v>698</v>
      </c>
      <c r="H597">
        <v>7</v>
      </c>
      <c r="I597" t="s">
        <v>28</v>
      </c>
      <c r="J597" t="str">
        <f>_xlfn.XLOOKUP(C597,'product_masterlist(ifs)'!A:A,'product_masterlist(ifs)'!C:C,"N/A",0)</f>
        <v>Solutions</v>
      </c>
      <c r="K597">
        <f>VLOOKUP(C597,'product_masterlist(ifs)'!A:I,7,FALSE)</f>
        <v>800</v>
      </c>
    </row>
    <row r="598" spans="1:11" x14ac:dyDescent="0.35">
      <c r="A598" t="s">
        <v>845</v>
      </c>
      <c r="B598" s="1">
        <v>45757</v>
      </c>
      <c r="C598" t="s">
        <v>33</v>
      </c>
      <c r="D598">
        <v>15</v>
      </c>
      <c r="E598" t="s">
        <v>37</v>
      </c>
      <c r="F598" t="s">
        <v>31</v>
      </c>
      <c r="G598">
        <v>2250</v>
      </c>
      <c r="H598">
        <v>45</v>
      </c>
      <c r="I598" t="s">
        <v>34</v>
      </c>
      <c r="J598" t="str">
        <f>_xlfn.XLOOKUP(C598,'product_masterlist(ifs)'!A:A,'product_masterlist(ifs)'!C:C,"N/A",0)</f>
        <v>Surgical</v>
      </c>
      <c r="K598">
        <f>VLOOKUP(C598,'product_masterlist(ifs)'!A:I,7,FALSE)</f>
        <v>15</v>
      </c>
    </row>
    <row r="599" spans="1:11" x14ac:dyDescent="0.35">
      <c r="A599" t="s">
        <v>846</v>
      </c>
      <c r="B599" s="1">
        <v>45902</v>
      </c>
      <c r="C599" t="s">
        <v>33</v>
      </c>
      <c r="D599">
        <v>22</v>
      </c>
      <c r="E599" t="s">
        <v>20</v>
      </c>
      <c r="F599" t="s">
        <v>13</v>
      </c>
      <c r="G599">
        <v>3300</v>
      </c>
      <c r="H599">
        <v>45</v>
      </c>
      <c r="I599" t="s">
        <v>34</v>
      </c>
      <c r="J599" t="str">
        <f>_xlfn.XLOOKUP(C599,'product_masterlist(ifs)'!A:A,'product_masterlist(ifs)'!C:C,"N/A",0)</f>
        <v>Surgical</v>
      </c>
      <c r="K599">
        <f>VLOOKUP(C599,'product_masterlist(ifs)'!A:I,7,FALSE)</f>
        <v>15</v>
      </c>
    </row>
    <row r="600" spans="1:11" x14ac:dyDescent="0.35">
      <c r="A600" t="s">
        <v>847</v>
      </c>
      <c r="B600" t="s">
        <v>115</v>
      </c>
      <c r="C600" t="s">
        <v>42</v>
      </c>
      <c r="D600">
        <v>15</v>
      </c>
      <c r="E600" t="s">
        <v>12</v>
      </c>
      <c r="F600" t="s">
        <v>13</v>
      </c>
      <c r="G600">
        <v>375</v>
      </c>
      <c r="H600">
        <v>21</v>
      </c>
      <c r="I600" t="s">
        <v>14</v>
      </c>
      <c r="J600" t="str">
        <f>_xlfn.XLOOKUP(C600,'product_masterlist(ifs)'!A:A,'product_masterlist(ifs)'!C:C,"N/A",0)</f>
        <v>Contact Lenses</v>
      </c>
      <c r="K600">
        <f>VLOOKUP(C600,'product_masterlist(ifs)'!A:I,7,FALSE)</f>
        <v>120</v>
      </c>
    </row>
    <row r="601" spans="1:11" x14ac:dyDescent="0.35">
      <c r="A601" t="s">
        <v>848</v>
      </c>
      <c r="B601" t="s">
        <v>312</v>
      </c>
      <c r="C601" t="s">
        <v>90</v>
      </c>
      <c r="D601">
        <v>17</v>
      </c>
      <c r="E601" t="s">
        <v>37</v>
      </c>
      <c r="F601" t="s">
        <v>23</v>
      </c>
      <c r="G601" t="s">
        <v>362</v>
      </c>
      <c r="H601">
        <v>30</v>
      </c>
      <c r="I601" t="s">
        <v>14</v>
      </c>
      <c r="J601" t="str">
        <f>_xlfn.XLOOKUP(C601,'product_masterlist(ifs)'!A:A,'product_masterlist(ifs)'!C:C,"N/A",0)</f>
        <v>Frames</v>
      </c>
      <c r="K601">
        <f>VLOOKUP(C601,'product_masterlist(ifs)'!A:I,7,FALSE)</f>
        <v>180</v>
      </c>
    </row>
    <row r="602" spans="1:11" x14ac:dyDescent="0.35">
      <c r="A602" t="s">
        <v>849</v>
      </c>
      <c r="B602" t="s">
        <v>246</v>
      </c>
      <c r="C602" t="s">
        <v>17</v>
      </c>
      <c r="D602">
        <v>16</v>
      </c>
      <c r="E602" t="s">
        <v>20</v>
      </c>
      <c r="F602" t="s">
        <v>13</v>
      </c>
      <c r="G602">
        <v>720</v>
      </c>
      <c r="H602">
        <v>30</v>
      </c>
      <c r="I602" t="s">
        <v>14</v>
      </c>
      <c r="J602" t="str">
        <f>_xlfn.XLOOKUP(C602,'product_masterlist(ifs)'!A:A,'product_masterlist(ifs)'!C:C,"N/A",0)</f>
        <v>Frames</v>
      </c>
      <c r="K602">
        <f>VLOOKUP(C602,'product_masterlist(ifs)'!A:I,7,FALSE)</f>
        <v>45</v>
      </c>
    </row>
    <row r="603" spans="1:11" x14ac:dyDescent="0.35">
      <c r="A603" t="s">
        <v>850</v>
      </c>
      <c r="B603" t="s">
        <v>716</v>
      </c>
      <c r="C603" t="s">
        <v>42</v>
      </c>
      <c r="D603">
        <v>7</v>
      </c>
      <c r="E603" t="s">
        <v>22</v>
      </c>
      <c r="F603" t="s">
        <v>18</v>
      </c>
      <c r="G603">
        <v>175</v>
      </c>
      <c r="H603">
        <v>21</v>
      </c>
      <c r="I603" t="s">
        <v>14</v>
      </c>
      <c r="J603" t="str">
        <f>_xlfn.XLOOKUP(C603,'product_masterlist(ifs)'!A:A,'product_masterlist(ifs)'!C:C,"N/A",0)</f>
        <v>Contact Lenses</v>
      </c>
      <c r="K603">
        <f>VLOOKUP(C603,'product_masterlist(ifs)'!A:I,7,FALSE)</f>
        <v>120</v>
      </c>
    </row>
    <row r="604" spans="1:11" x14ac:dyDescent="0.35">
      <c r="A604" t="s">
        <v>851</v>
      </c>
      <c r="B604" s="1">
        <v>45972</v>
      </c>
      <c r="C604" t="s">
        <v>11</v>
      </c>
      <c r="D604">
        <v>11</v>
      </c>
      <c r="E604" t="s">
        <v>37</v>
      </c>
      <c r="F604" t="s">
        <v>31</v>
      </c>
      <c r="G604">
        <v>935</v>
      </c>
      <c r="H604">
        <v>30</v>
      </c>
      <c r="I604" t="s">
        <v>14</v>
      </c>
      <c r="J604" t="str">
        <f>_xlfn.XLOOKUP(C604,'product_masterlist(ifs)'!A:A,'product_masterlist(ifs)'!C:C,"N/A",0)</f>
        <v>Surgical</v>
      </c>
      <c r="K604">
        <f>VLOOKUP(C604,'product_masterlist(ifs)'!A:I,7,FALSE)</f>
        <v>40</v>
      </c>
    </row>
    <row r="605" spans="1:11" x14ac:dyDescent="0.35">
      <c r="A605" t="s">
        <v>852</v>
      </c>
      <c r="B605" t="s">
        <v>591</v>
      </c>
      <c r="C605" t="s">
        <v>53</v>
      </c>
      <c r="D605">
        <v>18</v>
      </c>
      <c r="E605" t="s">
        <v>37</v>
      </c>
      <c r="F605" t="s">
        <v>13</v>
      </c>
      <c r="G605" t="s">
        <v>336</v>
      </c>
      <c r="H605">
        <v>7</v>
      </c>
      <c r="I605" t="s">
        <v>28</v>
      </c>
      <c r="J605" t="str">
        <f>_xlfn.XLOOKUP(C605,'product_masterlist(ifs)'!A:A,'product_masterlist(ifs)'!C:C,"N/A",0)</f>
        <v>Solutions</v>
      </c>
      <c r="K605">
        <f>VLOOKUP(C605,'product_masterlist(ifs)'!A:I,7,FALSE)</f>
        <v>800</v>
      </c>
    </row>
    <row r="606" spans="1:11" x14ac:dyDescent="0.35">
      <c r="A606" t="s">
        <v>853</v>
      </c>
      <c r="B606" t="s">
        <v>506</v>
      </c>
      <c r="C606" t="s">
        <v>53</v>
      </c>
      <c r="D606">
        <v>5</v>
      </c>
      <c r="E606" t="s">
        <v>37</v>
      </c>
      <c r="F606" t="s">
        <v>31</v>
      </c>
      <c r="G606" t="s">
        <v>854</v>
      </c>
      <c r="H606">
        <v>7</v>
      </c>
      <c r="I606" t="s">
        <v>28</v>
      </c>
      <c r="J606" t="str">
        <f>_xlfn.XLOOKUP(C606,'product_masterlist(ifs)'!A:A,'product_masterlist(ifs)'!C:C,"N/A",0)</f>
        <v>Solutions</v>
      </c>
      <c r="K606">
        <f>VLOOKUP(C606,'product_masterlist(ifs)'!A:I,7,FALSE)</f>
        <v>800</v>
      </c>
    </row>
    <row r="607" spans="1:11" x14ac:dyDescent="0.35">
      <c r="A607" t="s">
        <v>855</v>
      </c>
      <c r="B607" t="s">
        <v>567</v>
      </c>
      <c r="C607" t="s">
        <v>53</v>
      </c>
      <c r="D607">
        <v>2</v>
      </c>
      <c r="E607" t="s">
        <v>12</v>
      </c>
      <c r="F607" t="s">
        <v>18</v>
      </c>
      <c r="G607" t="s">
        <v>291</v>
      </c>
      <c r="H607">
        <v>7</v>
      </c>
      <c r="I607" t="s">
        <v>28</v>
      </c>
      <c r="J607" t="str">
        <f>_xlfn.XLOOKUP(C607,'product_masterlist(ifs)'!A:A,'product_masterlist(ifs)'!C:C,"N/A",0)</f>
        <v>Solutions</v>
      </c>
      <c r="K607">
        <f>VLOOKUP(C607,'product_masterlist(ifs)'!A:I,7,FALSE)</f>
        <v>800</v>
      </c>
    </row>
    <row r="608" spans="1:11" x14ac:dyDescent="0.35">
      <c r="A608" t="s">
        <v>856</v>
      </c>
      <c r="B608" s="1">
        <v>45755</v>
      </c>
      <c r="C608" t="s">
        <v>26</v>
      </c>
      <c r="D608">
        <v>1</v>
      </c>
      <c r="E608" t="s">
        <v>37</v>
      </c>
      <c r="F608" t="s">
        <v>18</v>
      </c>
      <c r="G608" t="s">
        <v>101</v>
      </c>
      <c r="H608">
        <v>14</v>
      </c>
      <c r="I608" t="s">
        <v>28</v>
      </c>
      <c r="J608" t="str">
        <f>_xlfn.XLOOKUP(C608,'product_masterlist(ifs)'!A:A,'product_masterlist(ifs)'!C:C,"N/A",0)</f>
        <v>Contact Lenses</v>
      </c>
      <c r="K608">
        <f>VLOOKUP(C608,'product_masterlist(ifs)'!A:I,7,FALSE)</f>
        <v>450</v>
      </c>
    </row>
    <row r="609" spans="1:11" x14ac:dyDescent="0.35">
      <c r="A609" t="s">
        <v>857</v>
      </c>
      <c r="B609" s="1">
        <v>45700</v>
      </c>
      <c r="C609" t="s">
        <v>53</v>
      </c>
      <c r="D609">
        <v>17</v>
      </c>
      <c r="E609" t="s">
        <v>12</v>
      </c>
      <c r="F609" t="s">
        <v>23</v>
      </c>
      <c r="G609" t="s">
        <v>698</v>
      </c>
      <c r="H609">
        <v>7</v>
      </c>
      <c r="I609" t="s">
        <v>28</v>
      </c>
      <c r="J609" t="str">
        <f>_xlfn.XLOOKUP(C609,'product_masterlist(ifs)'!A:A,'product_masterlist(ifs)'!C:C,"N/A",0)</f>
        <v>Solutions</v>
      </c>
      <c r="K609">
        <f>VLOOKUP(C609,'product_masterlist(ifs)'!A:I,7,FALSE)</f>
        <v>800</v>
      </c>
    </row>
    <row r="610" spans="1:11" x14ac:dyDescent="0.35">
      <c r="A610" t="s">
        <v>858</v>
      </c>
      <c r="B610" s="1">
        <v>45846</v>
      </c>
      <c r="C610" t="s">
        <v>11</v>
      </c>
      <c r="D610">
        <v>12</v>
      </c>
      <c r="E610" t="s">
        <v>37</v>
      </c>
      <c r="F610" t="s">
        <v>18</v>
      </c>
      <c r="G610">
        <v>1020</v>
      </c>
      <c r="H610">
        <v>30</v>
      </c>
      <c r="I610" t="s">
        <v>14</v>
      </c>
      <c r="J610" t="str">
        <f>_xlfn.XLOOKUP(C610,'product_masterlist(ifs)'!A:A,'product_masterlist(ifs)'!C:C,"N/A",0)</f>
        <v>Surgical</v>
      </c>
      <c r="K610">
        <f>VLOOKUP(C610,'product_masterlist(ifs)'!A:I,7,FALSE)</f>
        <v>40</v>
      </c>
    </row>
    <row r="611" spans="1:11" x14ac:dyDescent="0.35">
      <c r="A611" t="s">
        <v>859</v>
      </c>
      <c r="B611" s="1">
        <v>45878</v>
      </c>
      <c r="C611" t="s">
        <v>53</v>
      </c>
      <c r="D611">
        <v>13</v>
      </c>
      <c r="E611" t="s">
        <v>12</v>
      </c>
      <c r="F611" t="s">
        <v>18</v>
      </c>
      <c r="G611" t="s">
        <v>188</v>
      </c>
      <c r="H611">
        <v>7</v>
      </c>
      <c r="I611" t="s">
        <v>28</v>
      </c>
      <c r="J611" t="str">
        <f>_xlfn.XLOOKUP(C611,'product_masterlist(ifs)'!A:A,'product_masterlist(ifs)'!C:C,"N/A",0)</f>
        <v>Solutions</v>
      </c>
      <c r="K611">
        <f>VLOOKUP(C611,'product_masterlist(ifs)'!A:I,7,FALSE)</f>
        <v>800</v>
      </c>
    </row>
    <row r="612" spans="1:11" x14ac:dyDescent="0.35">
      <c r="A612" t="s">
        <v>860</v>
      </c>
      <c r="B612" t="s">
        <v>131</v>
      </c>
      <c r="C612" t="s">
        <v>17</v>
      </c>
      <c r="D612">
        <v>19</v>
      </c>
      <c r="E612" t="s">
        <v>22</v>
      </c>
      <c r="F612" t="s">
        <v>13</v>
      </c>
      <c r="G612">
        <v>855</v>
      </c>
      <c r="H612">
        <v>30</v>
      </c>
      <c r="I612" t="s">
        <v>14</v>
      </c>
      <c r="J612" t="str">
        <f>_xlfn.XLOOKUP(C612,'product_masterlist(ifs)'!A:A,'product_masterlist(ifs)'!C:C,"N/A",0)</f>
        <v>Frames</v>
      </c>
      <c r="K612">
        <f>VLOOKUP(C612,'product_masterlist(ifs)'!A:I,7,FALSE)</f>
        <v>45</v>
      </c>
    </row>
    <row r="613" spans="1:11" x14ac:dyDescent="0.35">
      <c r="A613" t="s">
        <v>861</v>
      </c>
      <c r="B613" t="s">
        <v>436</v>
      </c>
      <c r="C613" t="s">
        <v>53</v>
      </c>
      <c r="D613">
        <v>6</v>
      </c>
      <c r="E613" t="s">
        <v>22</v>
      </c>
      <c r="F613" t="s">
        <v>23</v>
      </c>
      <c r="G613" t="s">
        <v>369</v>
      </c>
      <c r="H613">
        <v>7</v>
      </c>
      <c r="I613" t="s">
        <v>28</v>
      </c>
      <c r="J613" t="str">
        <f>_xlfn.XLOOKUP(C613,'product_masterlist(ifs)'!A:A,'product_masterlist(ifs)'!C:C,"N/A",0)</f>
        <v>Solutions</v>
      </c>
      <c r="K613">
        <f>VLOOKUP(C613,'product_masterlist(ifs)'!A:I,7,FALSE)</f>
        <v>800</v>
      </c>
    </row>
    <row r="614" spans="1:11" x14ac:dyDescent="0.35">
      <c r="A614" t="s">
        <v>862</v>
      </c>
      <c r="B614" t="s">
        <v>131</v>
      </c>
      <c r="C614" t="s">
        <v>42</v>
      </c>
      <c r="D614">
        <v>19</v>
      </c>
      <c r="E614" t="s">
        <v>20</v>
      </c>
      <c r="F614" t="s">
        <v>13</v>
      </c>
      <c r="G614">
        <v>475</v>
      </c>
      <c r="H614">
        <v>21</v>
      </c>
      <c r="I614" t="s">
        <v>14</v>
      </c>
      <c r="J614" t="str">
        <f>_xlfn.XLOOKUP(C614,'product_masterlist(ifs)'!A:A,'product_masterlist(ifs)'!C:C,"N/A",0)</f>
        <v>Contact Lenses</v>
      </c>
      <c r="K614">
        <f>VLOOKUP(C614,'product_masterlist(ifs)'!A:I,7,FALSE)</f>
        <v>120</v>
      </c>
    </row>
    <row r="615" spans="1:11" x14ac:dyDescent="0.35">
      <c r="A615" t="s">
        <v>863</v>
      </c>
      <c r="B615" s="1">
        <v>45969</v>
      </c>
      <c r="C615" t="s">
        <v>90</v>
      </c>
      <c r="D615">
        <v>6</v>
      </c>
      <c r="E615" t="s">
        <v>20</v>
      </c>
      <c r="F615" t="s">
        <v>13</v>
      </c>
      <c r="G615">
        <v>291</v>
      </c>
      <c r="H615">
        <v>30</v>
      </c>
      <c r="I615" t="s">
        <v>14</v>
      </c>
      <c r="J615" t="str">
        <f>_xlfn.XLOOKUP(C615,'product_masterlist(ifs)'!A:A,'product_masterlist(ifs)'!C:C,"N/A",0)</f>
        <v>Frames</v>
      </c>
      <c r="K615">
        <f>VLOOKUP(C615,'product_masterlist(ifs)'!A:I,7,FALSE)</f>
        <v>180</v>
      </c>
    </row>
    <row r="616" spans="1:11" x14ac:dyDescent="0.35">
      <c r="A616" t="s">
        <v>864</v>
      </c>
      <c r="B616" t="s">
        <v>83</v>
      </c>
      <c r="C616" t="s">
        <v>11</v>
      </c>
      <c r="D616">
        <v>4</v>
      </c>
      <c r="E616" t="s">
        <v>20</v>
      </c>
      <c r="F616" t="s">
        <v>31</v>
      </c>
      <c r="G616">
        <v>340</v>
      </c>
      <c r="H616">
        <v>30</v>
      </c>
      <c r="I616" t="s">
        <v>14</v>
      </c>
      <c r="J616" t="str">
        <f>_xlfn.XLOOKUP(C616,'product_masterlist(ifs)'!A:A,'product_masterlist(ifs)'!C:C,"N/A",0)</f>
        <v>Surgical</v>
      </c>
      <c r="K616">
        <f>VLOOKUP(C616,'product_masterlist(ifs)'!A:I,7,FALSE)</f>
        <v>40</v>
      </c>
    </row>
    <row r="617" spans="1:11" x14ac:dyDescent="0.35">
      <c r="A617" t="s">
        <v>865</v>
      </c>
      <c r="B617" s="1">
        <v>45696</v>
      </c>
      <c r="C617" t="s">
        <v>90</v>
      </c>
      <c r="D617">
        <v>19</v>
      </c>
      <c r="E617" t="s">
        <v>22</v>
      </c>
      <c r="F617" t="s">
        <v>13</v>
      </c>
      <c r="G617" t="s">
        <v>504</v>
      </c>
      <c r="H617">
        <v>30</v>
      </c>
      <c r="I617" t="s">
        <v>14</v>
      </c>
      <c r="J617" t="str">
        <f>_xlfn.XLOOKUP(C617,'product_masterlist(ifs)'!A:A,'product_masterlist(ifs)'!C:C,"N/A",0)</f>
        <v>Frames</v>
      </c>
      <c r="K617">
        <f>VLOOKUP(C617,'product_masterlist(ifs)'!A:I,7,FALSE)</f>
        <v>180</v>
      </c>
    </row>
    <row r="618" spans="1:11" x14ac:dyDescent="0.35">
      <c r="A618" t="s">
        <v>866</v>
      </c>
      <c r="B618" t="s">
        <v>448</v>
      </c>
      <c r="C618" t="s">
        <v>11</v>
      </c>
      <c r="D618">
        <v>3</v>
      </c>
      <c r="E618" t="s">
        <v>22</v>
      </c>
      <c r="F618" t="s">
        <v>23</v>
      </c>
      <c r="G618">
        <v>255</v>
      </c>
      <c r="H618">
        <v>30</v>
      </c>
      <c r="I618" t="s">
        <v>14</v>
      </c>
      <c r="J618" t="str">
        <f>_xlfn.XLOOKUP(C618,'product_masterlist(ifs)'!A:A,'product_masterlist(ifs)'!C:C,"N/A",0)</f>
        <v>Surgical</v>
      </c>
      <c r="K618">
        <f>VLOOKUP(C618,'product_masterlist(ifs)'!A:I,7,FALSE)</f>
        <v>40</v>
      </c>
    </row>
    <row r="619" spans="1:11" x14ac:dyDescent="0.35">
      <c r="A619" t="s">
        <v>867</v>
      </c>
      <c r="B619" s="1">
        <v>45942</v>
      </c>
      <c r="C619" t="s">
        <v>90</v>
      </c>
      <c r="D619">
        <v>6</v>
      </c>
      <c r="E619" t="s">
        <v>20</v>
      </c>
      <c r="F619" t="s">
        <v>31</v>
      </c>
      <c r="G619">
        <v>291</v>
      </c>
      <c r="H619">
        <v>30</v>
      </c>
      <c r="I619" t="s">
        <v>14</v>
      </c>
      <c r="J619" t="str">
        <f>_xlfn.XLOOKUP(C619,'product_masterlist(ifs)'!A:A,'product_masterlist(ifs)'!C:C,"N/A",0)</f>
        <v>Frames</v>
      </c>
      <c r="K619">
        <f>VLOOKUP(C619,'product_masterlist(ifs)'!A:I,7,FALSE)</f>
        <v>180</v>
      </c>
    </row>
    <row r="620" spans="1:11" x14ac:dyDescent="0.35">
      <c r="A620" t="s">
        <v>868</v>
      </c>
      <c r="B620" t="s">
        <v>192</v>
      </c>
      <c r="C620" t="s">
        <v>11</v>
      </c>
      <c r="D620">
        <v>25</v>
      </c>
      <c r="E620" t="s">
        <v>12</v>
      </c>
      <c r="F620" t="s">
        <v>23</v>
      </c>
      <c r="G620">
        <v>2125</v>
      </c>
      <c r="H620">
        <v>30</v>
      </c>
      <c r="I620" t="s">
        <v>14</v>
      </c>
      <c r="J620" t="str">
        <f>_xlfn.XLOOKUP(C620,'product_masterlist(ifs)'!A:A,'product_masterlist(ifs)'!C:C,"N/A",0)</f>
        <v>Surgical</v>
      </c>
      <c r="K620">
        <f>VLOOKUP(C620,'product_masterlist(ifs)'!A:I,7,FALSE)</f>
        <v>40</v>
      </c>
    </row>
    <row r="621" spans="1:11" x14ac:dyDescent="0.35">
      <c r="A621" t="s">
        <v>869</v>
      </c>
      <c r="B621" s="1">
        <v>45935</v>
      </c>
      <c r="C621" t="s">
        <v>33</v>
      </c>
      <c r="D621">
        <v>25</v>
      </c>
      <c r="E621" t="s">
        <v>22</v>
      </c>
      <c r="F621" t="s">
        <v>31</v>
      </c>
      <c r="G621">
        <v>3750</v>
      </c>
      <c r="H621">
        <v>45</v>
      </c>
      <c r="I621" t="s">
        <v>34</v>
      </c>
      <c r="J621" t="str">
        <f>_xlfn.XLOOKUP(C621,'product_masterlist(ifs)'!A:A,'product_masterlist(ifs)'!C:C,"N/A",0)</f>
        <v>Surgical</v>
      </c>
      <c r="K621">
        <f>VLOOKUP(C621,'product_masterlist(ifs)'!A:I,7,FALSE)</f>
        <v>15</v>
      </c>
    </row>
    <row r="622" spans="1:11" x14ac:dyDescent="0.35">
      <c r="A622" t="s">
        <v>870</v>
      </c>
      <c r="B622" t="s">
        <v>871</v>
      </c>
      <c r="C622" t="s">
        <v>26</v>
      </c>
      <c r="D622">
        <v>15</v>
      </c>
      <c r="E622" t="s">
        <v>12</v>
      </c>
      <c r="F622" t="s">
        <v>13</v>
      </c>
      <c r="G622" t="s">
        <v>513</v>
      </c>
      <c r="H622">
        <v>14</v>
      </c>
      <c r="I622" t="s">
        <v>28</v>
      </c>
      <c r="J622" t="str">
        <f>_xlfn.XLOOKUP(C622,'product_masterlist(ifs)'!A:A,'product_masterlist(ifs)'!C:C,"N/A",0)</f>
        <v>Contact Lenses</v>
      </c>
      <c r="K622">
        <f>VLOOKUP(C622,'product_masterlist(ifs)'!A:I,7,FALSE)</f>
        <v>450</v>
      </c>
    </row>
    <row r="623" spans="1:11" x14ac:dyDescent="0.35">
      <c r="A623" t="s">
        <v>872</v>
      </c>
      <c r="B623" t="s">
        <v>194</v>
      </c>
      <c r="C623" t="s">
        <v>17</v>
      </c>
      <c r="D623">
        <v>4</v>
      </c>
      <c r="E623" t="s">
        <v>22</v>
      </c>
      <c r="F623" t="s">
        <v>13</v>
      </c>
      <c r="G623">
        <v>180</v>
      </c>
      <c r="H623">
        <v>30</v>
      </c>
      <c r="I623" t="s">
        <v>14</v>
      </c>
      <c r="J623" t="str">
        <f>_xlfn.XLOOKUP(C623,'product_masterlist(ifs)'!A:A,'product_masterlist(ifs)'!C:C,"N/A",0)</f>
        <v>Frames</v>
      </c>
      <c r="K623">
        <f>VLOOKUP(C623,'product_masterlist(ifs)'!A:I,7,FALSE)</f>
        <v>45</v>
      </c>
    </row>
    <row r="624" spans="1:11" x14ac:dyDescent="0.35">
      <c r="A624" t="s">
        <v>873</v>
      </c>
      <c r="B624" t="s">
        <v>46</v>
      </c>
      <c r="C624" t="s">
        <v>90</v>
      </c>
      <c r="D624">
        <v>8</v>
      </c>
      <c r="E624" t="s">
        <v>12</v>
      </c>
      <c r="F624" t="s">
        <v>18</v>
      </c>
      <c r="G624">
        <v>388</v>
      </c>
      <c r="H624">
        <v>30</v>
      </c>
      <c r="I624" t="s">
        <v>14</v>
      </c>
      <c r="J624" t="str">
        <f>_xlfn.XLOOKUP(C624,'product_masterlist(ifs)'!A:A,'product_masterlist(ifs)'!C:C,"N/A",0)</f>
        <v>Frames</v>
      </c>
      <c r="K624">
        <f>VLOOKUP(C624,'product_masterlist(ifs)'!A:I,7,FALSE)</f>
        <v>180</v>
      </c>
    </row>
    <row r="625" spans="1:11" x14ac:dyDescent="0.35">
      <c r="A625" t="s">
        <v>874</v>
      </c>
      <c r="B625" t="s">
        <v>763</v>
      </c>
      <c r="C625" t="s">
        <v>90</v>
      </c>
      <c r="D625">
        <v>2</v>
      </c>
      <c r="E625" t="s">
        <v>20</v>
      </c>
      <c r="F625" t="s">
        <v>18</v>
      </c>
      <c r="G625">
        <v>97</v>
      </c>
      <c r="H625">
        <v>30</v>
      </c>
      <c r="I625" t="s">
        <v>14</v>
      </c>
      <c r="J625" t="str">
        <f>_xlfn.XLOOKUP(C625,'product_masterlist(ifs)'!A:A,'product_masterlist(ifs)'!C:C,"N/A",0)</f>
        <v>Frames</v>
      </c>
      <c r="K625">
        <f>VLOOKUP(C625,'product_masterlist(ifs)'!A:I,7,FALSE)</f>
        <v>180</v>
      </c>
    </row>
    <row r="626" spans="1:11" x14ac:dyDescent="0.35">
      <c r="A626" t="s">
        <v>875</v>
      </c>
      <c r="B626" t="s">
        <v>802</v>
      </c>
      <c r="C626" t="s">
        <v>53</v>
      </c>
      <c r="D626">
        <v>25</v>
      </c>
      <c r="E626" t="s">
        <v>22</v>
      </c>
      <c r="F626" t="s">
        <v>13</v>
      </c>
      <c r="G626" t="s">
        <v>304</v>
      </c>
      <c r="H626">
        <v>7</v>
      </c>
      <c r="I626" t="s">
        <v>28</v>
      </c>
      <c r="J626" t="str">
        <f>_xlfn.XLOOKUP(C626,'product_masterlist(ifs)'!A:A,'product_masterlist(ifs)'!C:C,"N/A",0)</f>
        <v>Solutions</v>
      </c>
      <c r="K626">
        <f>VLOOKUP(C626,'product_masterlist(ifs)'!A:I,7,FALSE)</f>
        <v>800</v>
      </c>
    </row>
    <row r="627" spans="1:11" x14ac:dyDescent="0.35">
      <c r="A627" t="s">
        <v>876</v>
      </c>
      <c r="B627" s="1">
        <v>45748</v>
      </c>
      <c r="C627" t="s">
        <v>90</v>
      </c>
      <c r="D627">
        <v>3</v>
      </c>
      <c r="E627" t="s">
        <v>22</v>
      </c>
      <c r="F627" t="s">
        <v>18</v>
      </c>
      <c r="G627" t="s">
        <v>375</v>
      </c>
      <c r="H627">
        <v>30</v>
      </c>
      <c r="I627" t="s">
        <v>14</v>
      </c>
      <c r="J627" t="str">
        <f>_xlfn.XLOOKUP(C627,'product_masterlist(ifs)'!A:A,'product_masterlist(ifs)'!C:C,"N/A",0)</f>
        <v>Frames</v>
      </c>
      <c r="K627">
        <f>VLOOKUP(C627,'product_masterlist(ifs)'!A:I,7,FALSE)</f>
        <v>180</v>
      </c>
    </row>
    <row r="628" spans="1:11" x14ac:dyDescent="0.35">
      <c r="A628" t="s">
        <v>877</v>
      </c>
      <c r="B628" t="s">
        <v>224</v>
      </c>
      <c r="C628" t="s">
        <v>33</v>
      </c>
      <c r="D628">
        <v>21</v>
      </c>
      <c r="E628" t="s">
        <v>37</v>
      </c>
      <c r="F628" t="s">
        <v>13</v>
      </c>
      <c r="G628">
        <v>3150</v>
      </c>
      <c r="H628">
        <v>45</v>
      </c>
      <c r="I628" t="s">
        <v>34</v>
      </c>
      <c r="J628" t="str">
        <f>_xlfn.XLOOKUP(C628,'product_masterlist(ifs)'!A:A,'product_masterlist(ifs)'!C:C,"N/A",0)</f>
        <v>Surgical</v>
      </c>
      <c r="K628">
        <f>VLOOKUP(C628,'product_masterlist(ifs)'!A:I,7,FALSE)</f>
        <v>15</v>
      </c>
    </row>
    <row r="629" spans="1:11" x14ac:dyDescent="0.35">
      <c r="A629" t="s">
        <v>878</v>
      </c>
      <c r="B629" s="1">
        <v>45875</v>
      </c>
      <c r="C629" t="s">
        <v>17</v>
      </c>
      <c r="D629">
        <v>23</v>
      </c>
      <c r="E629" t="s">
        <v>37</v>
      </c>
      <c r="F629" t="s">
        <v>31</v>
      </c>
      <c r="G629">
        <v>1035</v>
      </c>
      <c r="H629">
        <v>30</v>
      </c>
      <c r="I629" t="s">
        <v>14</v>
      </c>
      <c r="J629" t="str">
        <f>_xlfn.XLOOKUP(C629,'product_masterlist(ifs)'!A:A,'product_masterlist(ifs)'!C:C,"N/A",0)</f>
        <v>Frames</v>
      </c>
      <c r="K629">
        <f>VLOOKUP(C629,'product_masterlist(ifs)'!A:I,7,FALSE)</f>
        <v>45</v>
      </c>
    </row>
    <row r="630" spans="1:11" x14ac:dyDescent="0.35">
      <c r="A630" t="s">
        <v>879</v>
      </c>
      <c r="B630" t="s">
        <v>277</v>
      </c>
      <c r="C630" t="s">
        <v>33</v>
      </c>
      <c r="D630">
        <v>6</v>
      </c>
      <c r="E630" t="s">
        <v>20</v>
      </c>
      <c r="F630" t="s">
        <v>18</v>
      </c>
      <c r="G630">
        <v>900</v>
      </c>
      <c r="H630">
        <v>45</v>
      </c>
      <c r="I630" t="s">
        <v>34</v>
      </c>
      <c r="J630" t="str">
        <f>_xlfn.XLOOKUP(C630,'product_masterlist(ifs)'!A:A,'product_masterlist(ifs)'!C:C,"N/A",0)</f>
        <v>Surgical</v>
      </c>
      <c r="K630">
        <f>VLOOKUP(C630,'product_masterlist(ifs)'!A:I,7,FALSE)</f>
        <v>15</v>
      </c>
    </row>
    <row r="631" spans="1:11" x14ac:dyDescent="0.35">
      <c r="A631" t="s">
        <v>880</v>
      </c>
      <c r="B631" t="s">
        <v>448</v>
      </c>
      <c r="C631" t="s">
        <v>11</v>
      </c>
      <c r="D631">
        <v>16</v>
      </c>
      <c r="E631" t="s">
        <v>37</v>
      </c>
      <c r="F631" t="s">
        <v>13</v>
      </c>
      <c r="G631">
        <v>1360</v>
      </c>
      <c r="H631">
        <v>30</v>
      </c>
      <c r="I631" t="s">
        <v>14</v>
      </c>
      <c r="J631" t="str">
        <f>_xlfn.XLOOKUP(C631,'product_masterlist(ifs)'!A:A,'product_masterlist(ifs)'!C:C,"N/A",0)</f>
        <v>Surgical</v>
      </c>
      <c r="K631">
        <f>VLOOKUP(C631,'product_masterlist(ifs)'!A:I,7,FALSE)</f>
        <v>40</v>
      </c>
    </row>
    <row r="632" spans="1:11" x14ac:dyDescent="0.35">
      <c r="A632" t="s">
        <v>881</v>
      </c>
      <c r="B632" t="s">
        <v>704</v>
      </c>
      <c r="C632" t="s">
        <v>42</v>
      </c>
      <c r="D632">
        <v>16</v>
      </c>
      <c r="E632" t="s">
        <v>22</v>
      </c>
      <c r="F632" t="s">
        <v>23</v>
      </c>
      <c r="G632">
        <v>400</v>
      </c>
      <c r="H632">
        <v>21</v>
      </c>
      <c r="I632" t="s">
        <v>14</v>
      </c>
      <c r="J632" t="str">
        <f>_xlfn.XLOOKUP(C632,'product_masterlist(ifs)'!A:A,'product_masterlist(ifs)'!C:C,"N/A",0)</f>
        <v>Contact Lenses</v>
      </c>
      <c r="K632">
        <f>VLOOKUP(C632,'product_masterlist(ifs)'!A:I,7,FALSE)</f>
        <v>120</v>
      </c>
    </row>
    <row r="633" spans="1:11" x14ac:dyDescent="0.35">
      <c r="A633" t="s">
        <v>882</v>
      </c>
      <c r="B633" t="s">
        <v>323</v>
      </c>
      <c r="C633" t="s">
        <v>33</v>
      </c>
      <c r="D633">
        <v>4</v>
      </c>
      <c r="E633" t="s">
        <v>20</v>
      </c>
      <c r="F633" t="s">
        <v>13</v>
      </c>
      <c r="G633">
        <v>600</v>
      </c>
      <c r="H633">
        <v>45</v>
      </c>
      <c r="I633" t="s">
        <v>34</v>
      </c>
      <c r="J633" t="str">
        <f>_xlfn.XLOOKUP(C633,'product_masterlist(ifs)'!A:A,'product_masterlist(ifs)'!C:C,"N/A",0)</f>
        <v>Surgical</v>
      </c>
      <c r="K633">
        <f>VLOOKUP(C633,'product_masterlist(ifs)'!A:I,7,FALSE)</f>
        <v>15</v>
      </c>
    </row>
    <row r="634" spans="1:11" x14ac:dyDescent="0.35">
      <c r="A634" t="s">
        <v>883</v>
      </c>
      <c r="B634" t="s">
        <v>884</v>
      </c>
      <c r="C634" t="s">
        <v>53</v>
      </c>
      <c r="D634">
        <v>17</v>
      </c>
      <c r="E634" t="s">
        <v>37</v>
      </c>
      <c r="F634" t="s">
        <v>18</v>
      </c>
      <c r="G634" t="s">
        <v>698</v>
      </c>
      <c r="H634">
        <v>7</v>
      </c>
      <c r="I634" t="s">
        <v>28</v>
      </c>
      <c r="J634" t="str">
        <f>_xlfn.XLOOKUP(C634,'product_masterlist(ifs)'!A:A,'product_masterlist(ifs)'!C:C,"N/A",0)</f>
        <v>Solutions</v>
      </c>
      <c r="K634">
        <f>VLOOKUP(C634,'product_masterlist(ifs)'!A:I,7,FALSE)</f>
        <v>800</v>
      </c>
    </row>
    <row r="635" spans="1:11" x14ac:dyDescent="0.35">
      <c r="A635" t="s">
        <v>885</v>
      </c>
      <c r="B635" t="s">
        <v>770</v>
      </c>
      <c r="C635" t="s">
        <v>42</v>
      </c>
      <c r="D635">
        <v>14</v>
      </c>
      <c r="E635" t="s">
        <v>37</v>
      </c>
      <c r="F635" t="s">
        <v>31</v>
      </c>
      <c r="G635">
        <v>350</v>
      </c>
      <c r="H635">
        <v>21</v>
      </c>
      <c r="I635" t="s">
        <v>14</v>
      </c>
      <c r="J635" t="str">
        <f>_xlfn.XLOOKUP(C635,'product_masterlist(ifs)'!A:A,'product_masterlist(ifs)'!C:C,"N/A",0)</f>
        <v>Contact Lenses</v>
      </c>
      <c r="K635">
        <f>VLOOKUP(C635,'product_masterlist(ifs)'!A:I,7,FALSE)</f>
        <v>120</v>
      </c>
    </row>
    <row r="636" spans="1:11" x14ac:dyDescent="0.35">
      <c r="A636" t="s">
        <v>886</v>
      </c>
      <c r="B636" t="s">
        <v>205</v>
      </c>
      <c r="C636" t="s">
        <v>17</v>
      </c>
      <c r="D636">
        <v>22</v>
      </c>
      <c r="E636" t="s">
        <v>12</v>
      </c>
      <c r="F636" t="s">
        <v>18</v>
      </c>
      <c r="G636">
        <v>990</v>
      </c>
      <c r="H636">
        <v>30</v>
      </c>
      <c r="I636" t="s">
        <v>14</v>
      </c>
      <c r="J636" t="str">
        <f>_xlfn.XLOOKUP(C636,'product_masterlist(ifs)'!A:A,'product_masterlist(ifs)'!C:C,"N/A",0)</f>
        <v>Frames</v>
      </c>
      <c r="K636">
        <f>VLOOKUP(C636,'product_masterlist(ifs)'!A:I,7,FALSE)</f>
        <v>45</v>
      </c>
    </row>
    <row r="637" spans="1:11" x14ac:dyDescent="0.35">
      <c r="A637" t="s">
        <v>887</v>
      </c>
      <c r="B637" t="s">
        <v>888</v>
      </c>
      <c r="C637" t="s">
        <v>42</v>
      </c>
      <c r="D637">
        <v>25</v>
      </c>
      <c r="E637" t="s">
        <v>37</v>
      </c>
      <c r="F637" t="s">
        <v>23</v>
      </c>
      <c r="G637">
        <v>625</v>
      </c>
      <c r="H637">
        <v>21</v>
      </c>
      <c r="I637" t="s">
        <v>14</v>
      </c>
      <c r="J637" t="str">
        <f>_xlfn.XLOOKUP(C637,'product_masterlist(ifs)'!A:A,'product_masterlist(ifs)'!C:C,"N/A",0)</f>
        <v>Contact Lenses</v>
      </c>
      <c r="K637">
        <f>VLOOKUP(C637,'product_masterlist(ifs)'!A:I,7,FALSE)</f>
        <v>120</v>
      </c>
    </row>
    <row r="638" spans="1:11" x14ac:dyDescent="0.35">
      <c r="A638" t="s">
        <v>889</v>
      </c>
      <c r="B638" s="1">
        <v>45848</v>
      </c>
      <c r="C638" t="s">
        <v>26</v>
      </c>
      <c r="D638">
        <v>22</v>
      </c>
      <c r="E638" t="s">
        <v>37</v>
      </c>
      <c r="F638" t="s">
        <v>31</v>
      </c>
      <c r="G638">
        <v>275</v>
      </c>
      <c r="H638">
        <v>14</v>
      </c>
      <c r="I638" t="s">
        <v>28</v>
      </c>
      <c r="J638" t="str">
        <f>_xlfn.XLOOKUP(C638,'product_masterlist(ifs)'!A:A,'product_masterlist(ifs)'!C:C,"N/A",0)</f>
        <v>Contact Lenses</v>
      </c>
      <c r="K638">
        <f>VLOOKUP(C638,'product_masterlist(ifs)'!A:I,7,FALSE)</f>
        <v>450</v>
      </c>
    </row>
    <row r="639" spans="1:11" x14ac:dyDescent="0.35">
      <c r="A639" t="s">
        <v>890</v>
      </c>
      <c r="B639" t="s">
        <v>891</v>
      </c>
      <c r="C639" t="s">
        <v>53</v>
      </c>
      <c r="D639">
        <v>11</v>
      </c>
      <c r="E639" t="s">
        <v>37</v>
      </c>
      <c r="F639" t="s">
        <v>13</v>
      </c>
      <c r="G639" t="s">
        <v>240</v>
      </c>
      <c r="H639">
        <v>7</v>
      </c>
      <c r="I639" t="s">
        <v>28</v>
      </c>
      <c r="J639" t="str">
        <f>_xlfn.XLOOKUP(C639,'product_masterlist(ifs)'!A:A,'product_masterlist(ifs)'!C:C,"N/A",0)</f>
        <v>Solutions</v>
      </c>
      <c r="K639">
        <f>VLOOKUP(C639,'product_masterlist(ifs)'!A:I,7,FALSE)</f>
        <v>800</v>
      </c>
    </row>
    <row r="640" spans="1:11" x14ac:dyDescent="0.35">
      <c r="A640" t="s">
        <v>892</v>
      </c>
      <c r="B640" t="s">
        <v>499</v>
      </c>
      <c r="C640" t="s">
        <v>17</v>
      </c>
      <c r="D640">
        <v>18</v>
      </c>
      <c r="E640" t="s">
        <v>20</v>
      </c>
      <c r="F640" t="s">
        <v>23</v>
      </c>
      <c r="G640">
        <v>810</v>
      </c>
      <c r="H640">
        <v>30</v>
      </c>
      <c r="I640" t="s">
        <v>14</v>
      </c>
      <c r="J640" t="str">
        <f>_xlfn.XLOOKUP(C640,'product_masterlist(ifs)'!A:A,'product_masterlist(ifs)'!C:C,"N/A",0)</f>
        <v>Frames</v>
      </c>
      <c r="K640">
        <f>VLOOKUP(C640,'product_masterlist(ifs)'!A:I,7,FALSE)</f>
        <v>45</v>
      </c>
    </row>
    <row r="641" spans="1:11" x14ac:dyDescent="0.35">
      <c r="A641" t="s">
        <v>893</v>
      </c>
      <c r="B641" s="1">
        <v>45718</v>
      </c>
      <c r="C641" t="s">
        <v>42</v>
      </c>
      <c r="D641">
        <v>5</v>
      </c>
      <c r="E641" t="s">
        <v>12</v>
      </c>
      <c r="F641" t="s">
        <v>18</v>
      </c>
      <c r="G641">
        <v>125</v>
      </c>
      <c r="H641">
        <v>21</v>
      </c>
      <c r="I641" t="s">
        <v>14</v>
      </c>
      <c r="J641" t="str">
        <f>_xlfn.XLOOKUP(C641,'product_masterlist(ifs)'!A:A,'product_masterlist(ifs)'!C:C,"N/A",0)</f>
        <v>Contact Lenses</v>
      </c>
      <c r="K641">
        <f>VLOOKUP(C641,'product_masterlist(ifs)'!A:I,7,FALSE)</f>
        <v>120</v>
      </c>
    </row>
    <row r="642" spans="1:11" x14ac:dyDescent="0.35">
      <c r="A642" t="s">
        <v>894</v>
      </c>
      <c r="B642" t="s">
        <v>895</v>
      </c>
      <c r="C642" t="s">
        <v>33</v>
      </c>
      <c r="D642">
        <v>22</v>
      </c>
      <c r="E642" t="s">
        <v>12</v>
      </c>
      <c r="F642" t="s">
        <v>18</v>
      </c>
      <c r="G642">
        <v>3300</v>
      </c>
      <c r="H642">
        <v>45</v>
      </c>
      <c r="I642" t="s">
        <v>34</v>
      </c>
      <c r="J642" t="str">
        <f>_xlfn.XLOOKUP(C642,'product_masterlist(ifs)'!A:A,'product_masterlist(ifs)'!C:C,"N/A",0)</f>
        <v>Surgical</v>
      </c>
      <c r="K642">
        <f>VLOOKUP(C642,'product_masterlist(ifs)'!A:I,7,FALSE)</f>
        <v>15</v>
      </c>
    </row>
    <row r="643" spans="1:11" x14ac:dyDescent="0.35">
      <c r="A643" t="s">
        <v>896</v>
      </c>
      <c r="B643" t="s">
        <v>651</v>
      </c>
      <c r="C643" t="s">
        <v>53</v>
      </c>
      <c r="D643">
        <v>3</v>
      </c>
      <c r="E643" t="s">
        <v>20</v>
      </c>
      <c r="F643" t="s">
        <v>23</v>
      </c>
      <c r="G643" t="s">
        <v>278</v>
      </c>
      <c r="H643">
        <v>7</v>
      </c>
      <c r="I643" t="s">
        <v>28</v>
      </c>
      <c r="J643" t="str">
        <f>_xlfn.XLOOKUP(C643,'product_masterlist(ifs)'!A:A,'product_masterlist(ifs)'!C:C,"N/A",0)</f>
        <v>Solutions</v>
      </c>
      <c r="K643">
        <f>VLOOKUP(C643,'product_masterlist(ifs)'!A:I,7,FALSE)</f>
        <v>800</v>
      </c>
    </row>
    <row r="644" spans="1:11" x14ac:dyDescent="0.35">
      <c r="A644" t="s">
        <v>897</v>
      </c>
      <c r="B644" t="s">
        <v>205</v>
      </c>
      <c r="C644" t="s">
        <v>53</v>
      </c>
      <c r="D644">
        <v>16</v>
      </c>
      <c r="E644" t="s">
        <v>12</v>
      </c>
      <c r="F644" t="s">
        <v>23</v>
      </c>
      <c r="G644">
        <v>68</v>
      </c>
      <c r="H644">
        <v>7</v>
      </c>
      <c r="I644" t="s">
        <v>28</v>
      </c>
      <c r="J644" t="str">
        <f>_xlfn.XLOOKUP(C644,'product_masterlist(ifs)'!A:A,'product_masterlist(ifs)'!C:C,"N/A",0)</f>
        <v>Solutions</v>
      </c>
      <c r="K644">
        <f>VLOOKUP(C644,'product_masterlist(ifs)'!A:I,7,FALSE)</f>
        <v>800</v>
      </c>
    </row>
    <row r="645" spans="1:11" x14ac:dyDescent="0.35">
      <c r="A645" t="s">
        <v>898</v>
      </c>
      <c r="B645" t="s">
        <v>797</v>
      </c>
      <c r="C645" t="s">
        <v>53</v>
      </c>
      <c r="D645">
        <v>9</v>
      </c>
      <c r="E645" t="s">
        <v>12</v>
      </c>
      <c r="F645" t="s">
        <v>13</v>
      </c>
      <c r="G645" t="s">
        <v>75</v>
      </c>
      <c r="H645">
        <v>7</v>
      </c>
      <c r="I645" t="s">
        <v>28</v>
      </c>
      <c r="J645" t="str">
        <f>_xlfn.XLOOKUP(C645,'product_masterlist(ifs)'!A:A,'product_masterlist(ifs)'!C:C,"N/A",0)</f>
        <v>Solutions</v>
      </c>
      <c r="K645">
        <f>VLOOKUP(C645,'product_masterlist(ifs)'!A:I,7,FALSE)</f>
        <v>800</v>
      </c>
    </row>
    <row r="646" spans="1:11" x14ac:dyDescent="0.35">
      <c r="A646" t="s">
        <v>899</v>
      </c>
      <c r="B646" t="s">
        <v>317</v>
      </c>
      <c r="C646" t="s">
        <v>17</v>
      </c>
      <c r="D646">
        <v>19</v>
      </c>
      <c r="E646" t="s">
        <v>12</v>
      </c>
      <c r="F646" t="s">
        <v>31</v>
      </c>
      <c r="G646">
        <v>855</v>
      </c>
      <c r="H646">
        <v>30</v>
      </c>
      <c r="I646" t="s">
        <v>14</v>
      </c>
      <c r="J646" t="str">
        <f>_xlfn.XLOOKUP(C646,'product_masterlist(ifs)'!A:A,'product_masterlist(ifs)'!C:C,"N/A",0)</f>
        <v>Frames</v>
      </c>
      <c r="K646">
        <f>VLOOKUP(C646,'product_masterlist(ifs)'!A:I,7,FALSE)</f>
        <v>45</v>
      </c>
    </row>
    <row r="647" spans="1:11" x14ac:dyDescent="0.35">
      <c r="A647" t="s">
        <v>900</v>
      </c>
      <c r="B647" t="s">
        <v>901</v>
      </c>
      <c r="C647" t="s">
        <v>26</v>
      </c>
      <c r="D647">
        <v>25</v>
      </c>
      <c r="E647" t="s">
        <v>12</v>
      </c>
      <c r="F647" t="s">
        <v>13</v>
      </c>
      <c r="G647" t="s">
        <v>285</v>
      </c>
      <c r="H647">
        <v>14</v>
      </c>
      <c r="I647" t="s">
        <v>28</v>
      </c>
      <c r="J647" t="str">
        <f>_xlfn.XLOOKUP(C647,'product_masterlist(ifs)'!A:A,'product_masterlist(ifs)'!C:C,"N/A",0)</f>
        <v>Contact Lenses</v>
      </c>
      <c r="K647">
        <f>VLOOKUP(C647,'product_masterlist(ifs)'!A:I,7,FALSE)</f>
        <v>450</v>
      </c>
    </row>
    <row r="648" spans="1:11" x14ac:dyDescent="0.35">
      <c r="A648" t="s">
        <v>902</v>
      </c>
      <c r="B648" t="s">
        <v>393</v>
      </c>
      <c r="C648" t="s">
        <v>11</v>
      </c>
      <c r="D648">
        <v>14</v>
      </c>
      <c r="E648" t="s">
        <v>12</v>
      </c>
      <c r="F648" t="s">
        <v>31</v>
      </c>
      <c r="G648">
        <v>1190</v>
      </c>
      <c r="H648">
        <v>30</v>
      </c>
      <c r="I648" t="s">
        <v>14</v>
      </c>
      <c r="J648" t="str">
        <f>_xlfn.XLOOKUP(C648,'product_masterlist(ifs)'!A:A,'product_masterlist(ifs)'!C:C,"N/A",0)</f>
        <v>Surgical</v>
      </c>
      <c r="K648">
        <f>VLOOKUP(C648,'product_masterlist(ifs)'!A:I,7,FALSE)</f>
        <v>40</v>
      </c>
    </row>
    <row r="649" spans="1:11" x14ac:dyDescent="0.35">
      <c r="A649" t="s">
        <v>903</v>
      </c>
      <c r="B649" t="s">
        <v>591</v>
      </c>
      <c r="C649" t="s">
        <v>11</v>
      </c>
      <c r="D649">
        <v>20</v>
      </c>
      <c r="E649" t="s">
        <v>20</v>
      </c>
      <c r="F649" t="s">
        <v>23</v>
      </c>
      <c r="G649">
        <v>1700</v>
      </c>
      <c r="H649">
        <v>30</v>
      </c>
      <c r="I649" t="s">
        <v>14</v>
      </c>
      <c r="J649" t="str">
        <f>_xlfn.XLOOKUP(C649,'product_masterlist(ifs)'!A:A,'product_masterlist(ifs)'!C:C,"N/A",0)</f>
        <v>Surgical</v>
      </c>
      <c r="K649">
        <f>VLOOKUP(C649,'product_masterlist(ifs)'!A:I,7,FALSE)</f>
        <v>40</v>
      </c>
    </row>
    <row r="650" spans="1:11" x14ac:dyDescent="0.35">
      <c r="A650" t="s">
        <v>904</v>
      </c>
      <c r="B650" s="1">
        <v>45659</v>
      </c>
      <c r="C650" t="s">
        <v>11</v>
      </c>
      <c r="D650">
        <v>11</v>
      </c>
      <c r="E650" t="s">
        <v>22</v>
      </c>
      <c r="F650" t="s">
        <v>18</v>
      </c>
      <c r="G650">
        <v>935</v>
      </c>
      <c r="H650">
        <v>30</v>
      </c>
      <c r="I650" t="s">
        <v>14</v>
      </c>
      <c r="J650" t="str">
        <f>_xlfn.XLOOKUP(C650,'product_masterlist(ifs)'!A:A,'product_masterlist(ifs)'!C:C,"N/A",0)</f>
        <v>Surgical</v>
      </c>
      <c r="K650">
        <f>VLOOKUP(C650,'product_masterlist(ifs)'!A:I,7,FALSE)</f>
        <v>40</v>
      </c>
    </row>
    <row r="651" spans="1:11" x14ac:dyDescent="0.35">
      <c r="A651" t="s">
        <v>905</v>
      </c>
      <c r="B651" t="s">
        <v>744</v>
      </c>
      <c r="C651" t="s">
        <v>42</v>
      </c>
      <c r="D651">
        <v>9</v>
      </c>
      <c r="E651" t="s">
        <v>20</v>
      </c>
      <c r="F651" t="s">
        <v>13</v>
      </c>
      <c r="G651">
        <v>225</v>
      </c>
      <c r="H651">
        <v>21</v>
      </c>
      <c r="I651" t="s">
        <v>14</v>
      </c>
      <c r="J651" t="str">
        <f>_xlfn.XLOOKUP(C651,'product_masterlist(ifs)'!A:A,'product_masterlist(ifs)'!C:C,"N/A",0)</f>
        <v>Contact Lenses</v>
      </c>
      <c r="K651">
        <f>VLOOKUP(C651,'product_masterlist(ifs)'!A:I,7,FALSE)</f>
        <v>120</v>
      </c>
    </row>
    <row r="652" spans="1:11" x14ac:dyDescent="0.35">
      <c r="A652" t="s">
        <v>906</v>
      </c>
      <c r="B652" t="s">
        <v>485</v>
      </c>
      <c r="C652" t="s">
        <v>53</v>
      </c>
      <c r="D652">
        <v>23</v>
      </c>
      <c r="E652" t="s">
        <v>22</v>
      </c>
      <c r="F652" t="s">
        <v>23</v>
      </c>
      <c r="G652" t="s">
        <v>576</v>
      </c>
      <c r="H652">
        <v>7</v>
      </c>
      <c r="I652" t="s">
        <v>28</v>
      </c>
      <c r="J652" t="str">
        <f>_xlfn.XLOOKUP(C652,'product_masterlist(ifs)'!A:A,'product_masterlist(ifs)'!C:C,"N/A",0)</f>
        <v>Solutions</v>
      </c>
      <c r="K652">
        <f>VLOOKUP(C652,'product_masterlist(ifs)'!A:I,7,FALSE)</f>
        <v>800</v>
      </c>
    </row>
    <row r="653" spans="1:11" x14ac:dyDescent="0.35">
      <c r="A653" t="s">
        <v>907</v>
      </c>
      <c r="B653" t="s">
        <v>895</v>
      </c>
      <c r="C653" t="s">
        <v>42</v>
      </c>
      <c r="D653">
        <v>22</v>
      </c>
      <c r="E653" t="s">
        <v>22</v>
      </c>
      <c r="F653" t="s">
        <v>31</v>
      </c>
      <c r="G653">
        <v>550</v>
      </c>
      <c r="H653">
        <v>21</v>
      </c>
      <c r="I653" t="s">
        <v>14</v>
      </c>
      <c r="J653" t="str">
        <f>_xlfn.XLOOKUP(C653,'product_masterlist(ifs)'!A:A,'product_masterlist(ifs)'!C:C,"N/A",0)</f>
        <v>Contact Lenses</v>
      </c>
      <c r="K653">
        <f>VLOOKUP(C653,'product_masterlist(ifs)'!A:I,7,FALSE)</f>
        <v>120</v>
      </c>
    </row>
    <row r="654" spans="1:11" x14ac:dyDescent="0.35">
      <c r="A654" t="s">
        <v>908</v>
      </c>
      <c r="B654" s="1">
        <v>45994</v>
      </c>
      <c r="C654" t="s">
        <v>26</v>
      </c>
      <c r="D654">
        <v>9</v>
      </c>
      <c r="E654" t="s">
        <v>12</v>
      </c>
      <c r="F654" t="s">
        <v>31</v>
      </c>
      <c r="G654" t="s">
        <v>170</v>
      </c>
      <c r="H654">
        <v>14</v>
      </c>
      <c r="I654" t="s">
        <v>28</v>
      </c>
      <c r="J654" t="str">
        <f>_xlfn.XLOOKUP(C654,'product_masterlist(ifs)'!A:A,'product_masterlist(ifs)'!C:C,"N/A",0)</f>
        <v>Contact Lenses</v>
      </c>
      <c r="K654">
        <f>VLOOKUP(C654,'product_masterlist(ifs)'!A:I,7,FALSE)</f>
        <v>450</v>
      </c>
    </row>
    <row r="655" spans="1:11" x14ac:dyDescent="0.35">
      <c r="A655" t="s">
        <v>909</v>
      </c>
      <c r="B655" t="s">
        <v>224</v>
      </c>
      <c r="C655" t="s">
        <v>26</v>
      </c>
      <c r="D655">
        <v>20</v>
      </c>
      <c r="E655" t="s">
        <v>22</v>
      </c>
      <c r="F655" t="s">
        <v>18</v>
      </c>
      <c r="G655">
        <v>250</v>
      </c>
      <c r="H655">
        <v>14</v>
      </c>
      <c r="I655" t="s">
        <v>28</v>
      </c>
      <c r="J655" t="str">
        <f>_xlfn.XLOOKUP(C655,'product_masterlist(ifs)'!A:A,'product_masterlist(ifs)'!C:C,"N/A",0)</f>
        <v>Contact Lenses</v>
      </c>
      <c r="K655">
        <f>VLOOKUP(C655,'product_masterlist(ifs)'!A:I,7,FALSE)</f>
        <v>450</v>
      </c>
    </row>
    <row r="656" spans="1:11" x14ac:dyDescent="0.35">
      <c r="A656" t="s">
        <v>910</v>
      </c>
      <c r="B656" t="s">
        <v>277</v>
      </c>
      <c r="C656" t="s">
        <v>90</v>
      </c>
      <c r="D656">
        <v>12</v>
      </c>
      <c r="E656" t="s">
        <v>20</v>
      </c>
      <c r="F656" t="s">
        <v>18</v>
      </c>
      <c r="G656">
        <v>582</v>
      </c>
      <c r="H656">
        <v>30</v>
      </c>
      <c r="I656" t="s">
        <v>14</v>
      </c>
      <c r="J656" t="str">
        <f>_xlfn.XLOOKUP(C656,'product_masterlist(ifs)'!A:A,'product_masterlist(ifs)'!C:C,"N/A",0)</f>
        <v>Frames</v>
      </c>
      <c r="K656">
        <f>VLOOKUP(C656,'product_masterlist(ifs)'!A:I,7,FALSE)</f>
        <v>180</v>
      </c>
    </row>
    <row r="657" spans="1:11" x14ac:dyDescent="0.35">
      <c r="A657" t="s">
        <v>911</v>
      </c>
      <c r="B657" s="1">
        <v>45757</v>
      </c>
      <c r="C657" t="s">
        <v>11</v>
      </c>
      <c r="D657">
        <v>18</v>
      </c>
      <c r="E657" t="s">
        <v>37</v>
      </c>
      <c r="F657" t="s">
        <v>23</v>
      </c>
      <c r="G657">
        <v>1530</v>
      </c>
      <c r="H657">
        <v>30</v>
      </c>
      <c r="I657" t="s">
        <v>14</v>
      </c>
      <c r="J657" t="str">
        <f>_xlfn.XLOOKUP(C657,'product_masterlist(ifs)'!A:A,'product_masterlist(ifs)'!C:C,"N/A",0)</f>
        <v>Surgical</v>
      </c>
      <c r="K657">
        <f>VLOOKUP(C657,'product_masterlist(ifs)'!A:I,7,FALSE)</f>
        <v>40</v>
      </c>
    </row>
    <row r="658" spans="1:11" x14ac:dyDescent="0.35">
      <c r="A658" t="s">
        <v>912</v>
      </c>
      <c r="B658" s="1">
        <v>45904</v>
      </c>
      <c r="C658" t="s">
        <v>53</v>
      </c>
      <c r="D658">
        <v>16</v>
      </c>
      <c r="E658" t="s">
        <v>12</v>
      </c>
      <c r="F658" t="s">
        <v>31</v>
      </c>
      <c r="G658">
        <v>68</v>
      </c>
      <c r="H658">
        <v>7</v>
      </c>
      <c r="I658" t="s">
        <v>28</v>
      </c>
      <c r="J658" t="str">
        <f>_xlfn.XLOOKUP(C658,'product_masterlist(ifs)'!A:A,'product_masterlist(ifs)'!C:C,"N/A",0)</f>
        <v>Solutions</v>
      </c>
      <c r="K658">
        <f>VLOOKUP(C658,'product_masterlist(ifs)'!A:I,7,FALSE)</f>
        <v>800</v>
      </c>
    </row>
    <row r="659" spans="1:11" x14ac:dyDescent="0.35">
      <c r="A659" t="s">
        <v>913</v>
      </c>
      <c r="B659" s="1">
        <v>45938</v>
      </c>
      <c r="C659" t="s">
        <v>53</v>
      </c>
      <c r="D659">
        <v>2</v>
      </c>
      <c r="E659" t="s">
        <v>22</v>
      </c>
      <c r="F659" t="s">
        <v>23</v>
      </c>
      <c r="G659" t="s">
        <v>291</v>
      </c>
      <c r="H659">
        <v>7</v>
      </c>
      <c r="I659" t="s">
        <v>28</v>
      </c>
      <c r="J659" t="str">
        <f>_xlfn.XLOOKUP(C659,'product_masterlist(ifs)'!A:A,'product_masterlist(ifs)'!C:C,"N/A",0)</f>
        <v>Solutions</v>
      </c>
      <c r="K659">
        <f>VLOOKUP(C659,'product_masterlist(ifs)'!A:I,7,FALSE)</f>
        <v>800</v>
      </c>
    </row>
    <row r="660" spans="1:11" x14ac:dyDescent="0.35">
      <c r="A660" t="s">
        <v>914</v>
      </c>
      <c r="B660" t="s">
        <v>350</v>
      </c>
      <c r="C660" t="s">
        <v>17</v>
      </c>
      <c r="D660">
        <v>23</v>
      </c>
      <c r="E660" t="s">
        <v>12</v>
      </c>
      <c r="F660" t="s">
        <v>31</v>
      </c>
      <c r="G660">
        <v>1035</v>
      </c>
      <c r="H660">
        <v>30</v>
      </c>
      <c r="I660" t="s">
        <v>14</v>
      </c>
      <c r="J660" t="str">
        <f>_xlfn.XLOOKUP(C660,'product_masterlist(ifs)'!A:A,'product_masterlist(ifs)'!C:C,"N/A",0)</f>
        <v>Frames</v>
      </c>
      <c r="K660">
        <f>VLOOKUP(C660,'product_masterlist(ifs)'!A:I,7,FALSE)</f>
        <v>45</v>
      </c>
    </row>
    <row r="661" spans="1:11" x14ac:dyDescent="0.35">
      <c r="A661" t="s">
        <v>915</v>
      </c>
      <c r="B661" s="1">
        <v>45840</v>
      </c>
      <c r="C661" t="s">
        <v>42</v>
      </c>
      <c r="D661">
        <v>4</v>
      </c>
      <c r="E661" t="s">
        <v>37</v>
      </c>
      <c r="F661" t="s">
        <v>13</v>
      </c>
      <c r="G661">
        <v>100</v>
      </c>
      <c r="H661">
        <v>21</v>
      </c>
      <c r="I661" t="s">
        <v>14</v>
      </c>
      <c r="J661" t="str">
        <f>_xlfn.XLOOKUP(C661,'product_masterlist(ifs)'!A:A,'product_masterlist(ifs)'!C:C,"N/A",0)</f>
        <v>Contact Lenses</v>
      </c>
      <c r="K661">
        <f>VLOOKUP(C661,'product_masterlist(ifs)'!A:I,7,FALSE)</f>
        <v>120</v>
      </c>
    </row>
    <row r="662" spans="1:11" x14ac:dyDescent="0.35">
      <c r="A662" t="s">
        <v>916</v>
      </c>
      <c r="B662" t="s">
        <v>260</v>
      </c>
      <c r="C662" t="s">
        <v>11</v>
      </c>
      <c r="D662">
        <v>3</v>
      </c>
      <c r="E662" t="s">
        <v>20</v>
      </c>
      <c r="F662" t="s">
        <v>23</v>
      </c>
      <c r="G662">
        <v>255</v>
      </c>
      <c r="H662">
        <v>30</v>
      </c>
      <c r="I662" t="s">
        <v>14</v>
      </c>
      <c r="J662" t="str">
        <f>_xlfn.XLOOKUP(C662,'product_masterlist(ifs)'!A:A,'product_masterlist(ifs)'!C:C,"N/A",0)</f>
        <v>Surgical</v>
      </c>
      <c r="K662">
        <f>VLOOKUP(C662,'product_masterlist(ifs)'!A:I,7,FALSE)</f>
        <v>40</v>
      </c>
    </row>
    <row r="663" spans="1:11" x14ac:dyDescent="0.35">
      <c r="A663" t="s">
        <v>917</v>
      </c>
      <c r="B663" s="1">
        <v>45847</v>
      </c>
      <c r="C663" t="s">
        <v>53</v>
      </c>
      <c r="D663">
        <v>18</v>
      </c>
      <c r="E663" t="s">
        <v>20</v>
      </c>
      <c r="F663" t="s">
        <v>18</v>
      </c>
      <c r="G663" t="s">
        <v>336</v>
      </c>
      <c r="H663">
        <v>7</v>
      </c>
      <c r="I663" t="s">
        <v>28</v>
      </c>
      <c r="J663" t="str">
        <f>_xlfn.XLOOKUP(C663,'product_masterlist(ifs)'!A:A,'product_masterlist(ifs)'!C:C,"N/A",0)</f>
        <v>Solutions</v>
      </c>
      <c r="K663">
        <f>VLOOKUP(C663,'product_masterlist(ifs)'!A:I,7,FALSE)</f>
        <v>800</v>
      </c>
    </row>
    <row r="664" spans="1:11" x14ac:dyDescent="0.35">
      <c r="A664" t="s">
        <v>918</v>
      </c>
      <c r="B664" s="1">
        <v>45998</v>
      </c>
      <c r="C664" t="s">
        <v>26</v>
      </c>
      <c r="D664">
        <v>17</v>
      </c>
      <c r="E664" t="s">
        <v>12</v>
      </c>
      <c r="F664" t="s">
        <v>31</v>
      </c>
      <c r="G664" t="s">
        <v>152</v>
      </c>
      <c r="H664">
        <v>14</v>
      </c>
      <c r="I664" t="s">
        <v>28</v>
      </c>
      <c r="J664" t="str">
        <f>_xlfn.XLOOKUP(C664,'product_masterlist(ifs)'!A:A,'product_masterlist(ifs)'!C:C,"N/A",0)</f>
        <v>Contact Lenses</v>
      </c>
      <c r="K664">
        <f>VLOOKUP(C664,'product_masterlist(ifs)'!A:I,7,FALSE)</f>
        <v>450</v>
      </c>
    </row>
    <row r="665" spans="1:11" x14ac:dyDescent="0.35">
      <c r="A665" t="s">
        <v>919</v>
      </c>
      <c r="B665" t="s">
        <v>920</v>
      </c>
      <c r="C665" t="s">
        <v>42</v>
      </c>
      <c r="D665">
        <v>19</v>
      </c>
      <c r="E665" t="s">
        <v>12</v>
      </c>
      <c r="F665" t="s">
        <v>13</v>
      </c>
      <c r="G665">
        <v>475</v>
      </c>
      <c r="H665">
        <v>21</v>
      </c>
      <c r="I665" t="s">
        <v>14</v>
      </c>
      <c r="J665" t="str">
        <f>_xlfn.XLOOKUP(C665,'product_masterlist(ifs)'!A:A,'product_masterlist(ifs)'!C:C,"N/A",0)</f>
        <v>Contact Lenses</v>
      </c>
      <c r="K665">
        <f>VLOOKUP(C665,'product_masterlist(ifs)'!A:I,7,FALSE)</f>
        <v>120</v>
      </c>
    </row>
    <row r="666" spans="1:11" x14ac:dyDescent="0.35">
      <c r="A666" t="s">
        <v>921</v>
      </c>
      <c r="B666" t="s">
        <v>503</v>
      </c>
      <c r="C666" t="s">
        <v>53</v>
      </c>
      <c r="D666">
        <v>1</v>
      </c>
      <c r="E666" t="s">
        <v>22</v>
      </c>
      <c r="F666" t="s">
        <v>18</v>
      </c>
      <c r="G666" t="s">
        <v>372</v>
      </c>
      <c r="H666">
        <v>7</v>
      </c>
      <c r="I666" t="s">
        <v>28</v>
      </c>
      <c r="J666" t="str">
        <f>_xlfn.XLOOKUP(C666,'product_masterlist(ifs)'!A:A,'product_masterlist(ifs)'!C:C,"N/A",0)</f>
        <v>Solutions</v>
      </c>
      <c r="K666">
        <f>VLOOKUP(C666,'product_masterlist(ifs)'!A:I,7,FALSE)</f>
        <v>800</v>
      </c>
    </row>
    <row r="667" spans="1:11" x14ac:dyDescent="0.35">
      <c r="A667" t="s">
        <v>922</v>
      </c>
      <c r="B667" s="1">
        <v>45973</v>
      </c>
      <c r="C667" t="s">
        <v>90</v>
      </c>
      <c r="D667">
        <v>9</v>
      </c>
      <c r="E667" t="s">
        <v>20</v>
      </c>
      <c r="F667" t="s">
        <v>18</v>
      </c>
      <c r="G667" t="s">
        <v>91</v>
      </c>
      <c r="H667">
        <v>30</v>
      </c>
      <c r="I667" t="s">
        <v>14</v>
      </c>
      <c r="J667" t="str">
        <f>_xlfn.XLOOKUP(C667,'product_masterlist(ifs)'!A:A,'product_masterlist(ifs)'!C:C,"N/A",0)</f>
        <v>Frames</v>
      </c>
      <c r="K667">
        <f>VLOOKUP(C667,'product_masterlist(ifs)'!A:I,7,FALSE)</f>
        <v>180</v>
      </c>
    </row>
    <row r="668" spans="1:11" x14ac:dyDescent="0.35">
      <c r="A668" t="s">
        <v>923</v>
      </c>
      <c r="B668" t="s">
        <v>924</v>
      </c>
      <c r="C668" t="s">
        <v>26</v>
      </c>
      <c r="D668">
        <v>12</v>
      </c>
      <c r="E668" t="s">
        <v>37</v>
      </c>
      <c r="F668" t="s">
        <v>23</v>
      </c>
      <c r="G668">
        <v>150</v>
      </c>
      <c r="H668">
        <v>14</v>
      </c>
      <c r="I668" t="s">
        <v>28</v>
      </c>
      <c r="J668" t="str">
        <f>_xlfn.XLOOKUP(C668,'product_masterlist(ifs)'!A:A,'product_masterlist(ifs)'!C:C,"N/A",0)</f>
        <v>Contact Lenses</v>
      </c>
      <c r="K668">
        <f>VLOOKUP(C668,'product_masterlist(ifs)'!A:I,7,FALSE)</f>
        <v>450</v>
      </c>
    </row>
    <row r="669" spans="1:11" x14ac:dyDescent="0.35">
      <c r="A669" t="s">
        <v>925</v>
      </c>
      <c r="B669" t="s">
        <v>651</v>
      </c>
      <c r="C669" t="s">
        <v>90</v>
      </c>
      <c r="D669">
        <v>6</v>
      </c>
      <c r="E669" t="s">
        <v>37</v>
      </c>
      <c r="F669" t="s">
        <v>18</v>
      </c>
      <c r="G669">
        <v>291</v>
      </c>
      <c r="H669">
        <v>30</v>
      </c>
      <c r="I669" t="s">
        <v>14</v>
      </c>
      <c r="J669" t="str">
        <f>_xlfn.XLOOKUP(C669,'product_masterlist(ifs)'!A:A,'product_masterlist(ifs)'!C:C,"N/A",0)</f>
        <v>Frames</v>
      </c>
      <c r="K669">
        <f>VLOOKUP(C669,'product_masterlist(ifs)'!A:I,7,FALSE)</f>
        <v>180</v>
      </c>
    </row>
    <row r="670" spans="1:11" x14ac:dyDescent="0.35">
      <c r="A670" t="s">
        <v>926</v>
      </c>
      <c r="B670" s="1">
        <v>45698</v>
      </c>
      <c r="C670" t="s">
        <v>90</v>
      </c>
      <c r="D670">
        <v>15</v>
      </c>
      <c r="E670" t="s">
        <v>37</v>
      </c>
      <c r="F670" t="s">
        <v>31</v>
      </c>
      <c r="G670" t="s">
        <v>250</v>
      </c>
      <c r="H670">
        <v>30</v>
      </c>
      <c r="I670" t="s">
        <v>14</v>
      </c>
      <c r="J670" t="str">
        <f>_xlfn.XLOOKUP(C670,'product_masterlist(ifs)'!A:A,'product_masterlist(ifs)'!C:C,"N/A",0)</f>
        <v>Frames</v>
      </c>
      <c r="K670">
        <f>VLOOKUP(C670,'product_masterlist(ifs)'!A:I,7,FALSE)</f>
        <v>180</v>
      </c>
    </row>
    <row r="671" spans="1:11" x14ac:dyDescent="0.35">
      <c r="A671" t="s">
        <v>927</v>
      </c>
      <c r="B671" t="s">
        <v>168</v>
      </c>
      <c r="C671" t="s">
        <v>90</v>
      </c>
      <c r="D671">
        <v>2</v>
      </c>
      <c r="E671" t="s">
        <v>37</v>
      </c>
      <c r="F671" t="s">
        <v>18</v>
      </c>
      <c r="G671">
        <v>97</v>
      </c>
      <c r="H671">
        <v>30</v>
      </c>
      <c r="I671" t="s">
        <v>14</v>
      </c>
      <c r="J671" t="str">
        <f>_xlfn.XLOOKUP(C671,'product_masterlist(ifs)'!A:A,'product_masterlist(ifs)'!C:C,"N/A",0)</f>
        <v>Frames</v>
      </c>
      <c r="K671">
        <f>VLOOKUP(C671,'product_masterlist(ifs)'!A:I,7,FALSE)</f>
        <v>180</v>
      </c>
    </row>
    <row r="672" spans="1:11" x14ac:dyDescent="0.35">
      <c r="A672" t="s">
        <v>928</v>
      </c>
      <c r="B672" s="1">
        <v>45759</v>
      </c>
      <c r="C672" t="s">
        <v>90</v>
      </c>
      <c r="D672">
        <v>1</v>
      </c>
      <c r="E672" t="s">
        <v>37</v>
      </c>
      <c r="F672" t="s">
        <v>13</v>
      </c>
      <c r="G672" t="s">
        <v>109</v>
      </c>
      <c r="H672">
        <v>30</v>
      </c>
      <c r="I672" t="s">
        <v>14</v>
      </c>
      <c r="J672" t="str">
        <f>_xlfn.XLOOKUP(C672,'product_masterlist(ifs)'!A:A,'product_masterlist(ifs)'!C:C,"N/A",0)</f>
        <v>Frames</v>
      </c>
      <c r="K672">
        <f>VLOOKUP(C672,'product_masterlist(ifs)'!A:I,7,FALSE)</f>
        <v>180</v>
      </c>
    </row>
    <row r="673" spans="1:11" x14ac:dyDescent="0.35">
      <c r="A673" t="s">
        <v>929</v>
      </c>
      <c r="B673" s="1">
        <v>45843</v>
      </c>
      <c r="C673" t="s">
        <v>90</v>
      </c>
      <c r="D673">
        <v>13</v>
      </c>
      <c r="E673" t="s">
        <v>22</v>
      </c>
      <c r="F673" t="s">
        <v>13</v>
      </c>
      <c r="G673" t="s">
        <v>262</v>
      </c>
      <c r="H673">
        <v>30</v>
      </c>
      <c r="I673" t="s">
        <v>14</v>
      </c>
      <c r="J673" t="str">
        <f>_xlfn.XLOOKUP(C673,'product_masterlist(ifs)'!A:A,'product_masterlist(ifs)'!C:C,"N/A",0)</f>
        <v>Frames</v>
      </c>
      <c r="K673">
        <f>VLOOKUP(C673,'product_masterlist(ifs)'!A:I,7,FALSE)</f>
        <v>180</v>
      </c>
    </row>
    <row r="674" spans="1:11" x14ac:dyDescent="0.35">
      <c r="A674" t="s">
        <v>930</v>
      </c>
      <c r="B674" s="1">
        <v>45999</v>
      </c>
      <c r="C674" t="s">
        <v>42</v>
      </c>
      <c r="D674">
        <v>21</v>
      </c>
      <c r="E674" t="s">
        <v>22</v>
      </c>
      <c r="F674" t="s">
        <v>18</v>
      </c>
      <c r="G674">
        <v>525</v>
      </c>
      <c r="H674">
        <v>21</v>
      </c>
      <c r="I674" t="s">
        <v>14</v>
      </c>
      <c r="J674" t="str">
        <f>_xlfn.XLOOKUP(C674,'product_masterlist(ifs)'!A:A,'product_masterlist(ifs)'!C:C,"N/A",0)</f>
        <v>Contact Lenses</v>
      </c>
      <c r="K674">
        <f>VLOOKUP(C674,'product_masterlist(ifs)'!A:I,7,FALSE)</f>
        <v>120</v>
      </c>
    </row>
    <row r="675" spans="1:11" x14ac:dyDescent="0.35">
      <c r="A675" t="s">
        <v>931</v>
      </c>
      <c r="B675" t="s">
        <v>83</v>
      </c>
      <c r="C675" t="s">
        <v>17</v>
      </c>
      <c r="D675">
        <v>1</v>
      </c>
      <c r="E675" t="s">
        <v>12</v>
      </c>
      <c r="F675" t="s">
        <v>23</v>
      </c>
      <c r="G675">
        <v>45</v>
      </c>
      <c r="H675">
        <v>30</v>
      </c>
      <c r="I675" t="s">
        <v>14</v>
      </c>
      <c r="J675" t="str">
        <f>_xlfn.XLOOKUP(C675,'product_masterlist(ifs)'!A:A,'product_masterlist(ifs)'!C:C,"N/A",0)</f>
        <v>Frames</v>
      </c>
      <c r="K675">
        <f>VLOOKUP(C675,'product_masterlist(ifs)'!A:I,7,FALSE)</f>
        <v>45</v>
      </c>
    </row>
    <row r="676" spans="1:11" x14ac:dyDescent="0.35">
      <c r="A676" t="s">
        <v>932</v>
      </c>
      <c r="B676" t="s">
        <v>569</v>
      </c>
      <c r="C676" t="s">
        <v>53</v>
      </c>
      <c r="D676">
        <v>8</v>
      </c>
      <c r="E676" t="s">
        <v>22</v>
      </c>
      <c r="F676" t="s">
        <v>31</v>
      </c>
      <c r="G676">
        <v>34</v>
      </c>
      <c r="H676">
        <v>7</v>
      </c>
      <c r="I676" t="s">
        <v>28</v>
      </c>
      <c r="J676" t="str">
        <f>_xlfn.XLOOKUP(C676,'product_masterlist(ifs)'!A:A,'product_masterlist(ifs)'!C:C,"N/A",0)</f>
        <v>Solutions</v>
      </c>
      <c r="K676">
        <f>VLOOKUP(C676,'product_masterlist(ifs)'!A:I,7,FALSE)</f>
        <v>800</v>
      </c>
    </row>
    <row r="677" spans="1:11" x14ac:dyDescent="0.35">
      <c r="A677" t="s">
        <v>933</v>
      </c>
      <c r="B677" t="s">
        <v>569</v>
      </c>
      <c r="C677" t="s">
        <v>90</v>
      </c>
      <c r="D677">
        <v>2</v>
      </c>
      <c r="E677" t="s">
        <v>20</v>
      </c>
      <c r="F677" t="s">
        <v>18</v>
      </c>
      <c r="G677">
        <v>97</v>
      </c>
      <c r="H677">
        <v>30</v>
      </c>
      <c r="I677" t="s">
        <v>14</v>
      </c>
      <c r="J677" t="str">
        <f>_xlfn.XLOOKUP(C677,'product_masterlist(ifs)'!A:A,'product_masterlist(ifs)'!C:C,"N/A",0)</f>
        <v>Frames</v>
      </c>
      <c r="K677">
        <f>VLOOKUP(C677,'product_masterlist(ifs)'!A:I,7,FALSE)</f>
        <v>180</v>
      </c>
    </row>
    <row r="678" spans="1:11" x14ac:dyDescent="0.35">
      <c r="A678" t="s">
        <v>934</v>
      </c>
      <c r="B678" s="1">
        <v>45697</v>
      </c>
      <c r="C678" t="s">
        <v>90</v>
      </c>
      <c r="D678">
        <v>8</v>
      </c>
      <c r="E678" t="s">
        <v>37</v>
      </c>
      <c r="F678" t="s">
        <v>23</v>
      </c>
      <c r="G678">
        <v>388</v>
      </c>
      <c r="H678">
        <v>30</v>
      </c>
      <c r="I678" t="s">
        <v>14</v>
      </c>
      <c r="J678" t="str">
        <f>_xlfn.XLOOKUP(C678,'product_masterlist(ifs)'!A:A,'product_masterlist(ifs)'!C:C,"N/A",0)</f>
        <v>Frames</v>
      </c>
      <c r="K678">
        <f>VLOOKUP(C678,'product_masterlist(ifs)'!A:I,7,FALSE)</f>
        <v>180</v>
      </c>
    </row>
    <row r="679" spans="1:11" x14ac:dyDescent="0.35">
      <c r="A679" t="s">
        <v>935</v>
      </c>
      <c r="B679" s="1">
        <v>45759</v>
      </c>
      <c r="C679" t="s">
        <v>42</v>
      </c>
      <c r="D679">
        <v>21</v>
      </c>
      <c r="E679" t="s">
        <v>37</v>
      </c>
      <c r="F679" t="s">
        <v>18</v>
      </c>
      <c r="G679">
        <v>525</v>
      </c>
      <c r="H679">
        <v>21</v>
      </c>
      <c r="I679" t="s">
        <v>14</v>
      </c>
      <c r="J679" t="str">
        <f>_xlfn.XLOOKUP(C679,'product_masterlist(ifs)'!A:A,'product_masterlist(ifs)'!C:C,"N/A",0)</f>
        <v>Contact Lenses</v>
      </c>
      <c r="K679">
        <f>VLOOKUP(C679,'product_masterlist(ifs)'!A:I,7,FALSE)</f>
        <v>120</v>
      </c>
    </row>
    <row r="680" spans="1:11" x14ac:dyDescent="0.35">
      <c r="A680" t="s">
        <v>936</v>
      </c>
      <c r="B680" s="1">
        <v>45718</v>
      </c>
      <c r="C680" t="s">
        <v>26</v>
      </c>
      <c r="D680">
        <v>21</v>
      </c>
      <c r="E680" t="s">
        <v>20</v>
      </c>
      <c r="F680" t="s">
        <v>13</v>
      </c>
      <c r="G680" t="s">
        <v>366</v>
      </c>
      <c r="H680">
        <v>14</v>
      </c>
      <c r="I680" t="s">
        <v>28</v>
      </c>
      <c r="J680" t="str">
        <f>_xlfn.XLOOKUP(C680,'product_masterlist(ifs)'!A:A,'product_masterlist(ifs)'!C:C,"N/A",0)</f>
        <v>Contact Lenses</v>
      </c>
      <c r="K680">
        <f>VLOOKUP(C680,'product_masterlist(ifs)'!A:I,7,FALSE)</f>
        <v>450</v>
      </c>
    </row>
    <row r="681" spans="1:11" x14ac:dyDescent="0.35">
      <c r="A681" t="s">
        <v>937</v>
      </c>
      <c r="B681" s="1">
        <v>45935</v>
      </c>
      <c r="C681" t="s">
        <v>33</v>
      </c>
      <c r="D681">
        <v>22</v>
      </c>
      <c r="E681" t="s">
        <v>12</v>
      </c>
      <c r="F681" t="s">
        <v>31</v>
      </c>
      <c r="G681">
        <v>3300</v>
      </c>
      <c r="H681">
        <v>45</v>
      </c>
      <c r="I681" t="s">
        <v>34</v>
      </c>
      <c r="J681" t="str">
        <f>_xlfn.XLOOKUP(C681,'product_masterlist(ifs)'!A:A,'product_masterlist(ifs)'!C:C,"N/A",0)</f>
        <v>Surgical</v>
      </c>
      <c r="K681">
        <f>VLOOKUP(C681,'product_masterlist(ifs)'!A:I,7,FALSE)</f>
        <v>15</v>
      </c>
    </row>
    <row r="682" spans="1:11" x14ac:dyDescent="0.35">
      <c r="A682" t="s">
        <v>938</v>
      </c>
      <c r="B682" t="s">
        <v>271</v>
      </c>
      <c r="C682" t="s">
        <v>17</v>
      </c>
      <c r="D682">
        <v>5</v>
      </c>
      <c r="E682" t="s">
        <v>12</v>
      </c>
      <c r="F682" t="s">
        <v>23</v>
      </c>
      <c r="G682">
        <v>225</v>
      </c>
      <c r="H682">
        <v>30</v>
      </c>
      <c r="I682" t="s">
        <v>14</v>
      </c>
      <c r="J682" t="str">
        <f>_xlfn.XLOOKUP(C682,'product_masterlist(ifs)'!A:A,'product_masterlist(ifs)'!C:C,"N/A",0)</f>
        <v>Frames</v>
      </c>
      <c r="K682">
        <f>VLOOKUP(C682,'product_masterlist(ifs)'!A:I,7,FALSE)</f>
        <v>45</v>
      </c>
    </row>
    <row r="683" spans="1:11" x14ac:dyDescent="0.35">
      <c r="A683" t="s">
        <v>939</v>
      </c>
      <c r="B683" s="1">
        <v>45757</v>
      </c>
      <c r="C683" t="s">
        <v>53</v>
      </c>
      <c r="D683">
        <v>13</v>
      </c>
      <c r="E683" t="s">
        <v>20</v>
      </c>
      <c r="F683" t="s">
        <v>31</v>
      </c>
      <c r="G683" t="s">
        <v>188</v>
      </c>
      <c r="H683">
        <v>7</v>
      </c>
      <c r="I683" t="s">
        <v>28</v>
      </c>
      <c r="J683" t="str">
        <f>_xlfn.XLOOKUP(C683,'product_masterlist(ifs)'!A:A,'product_masterlist(ifs)'!C:C,"N/A",0)</f>
        <v>Solutions</v>
      </c>
      <c r="K683">
        <f>VLOOKUP(C683,'product_masterlist(ifs)'!A:I,7,FALSE)</f>
        <v>800</v>
      </c>
    </row>
    <row r="684" spans="1:11" x14ac:dyDescent="0.35">
      <c r="A684" t="s">
        <v>940</v>
      </c>
      <c r="B684" t="s">
        <v>888</v>
      </c>
      <c r="C684" t="s">
        <v>90</v>
      </c>
      <c r="D684">
        <v>25</v>
      </c>
      <c r="E684" t="s">
        <v>20</v>
      </c>
      <c r="F684" t="s">
        <v>31</v>
      </c>
      <c r="G684" t="s">
        <v>308</v>
      </c>
      <c r="H684">
        <v>30</v>
      </c>
      <c r="I684" t="s">
        <v>14</v>
      </c>
      <c r="J684" t="str">
        <f>_xlfn.XLOOKUP(C684,'product_masterlist(ifs)'!A:A,'product_masterlist(ifs)'!C:C,"N/A",0)</f>
        <v>Frames</v>
      </c>
      <c r="K684">
        <f>VLOOKUP(C684,'product_masterlist(ifs)'!A:I,7,FALSE)</f>
        <v>180</v>
      </c>
    </row>
    <row r="685" spans="1:11" x14ac:dyDescent="0.35">
      <c r="A685" t="s">
        <v>941</v>
      </c>
      <c r="B685" s="1">
        <v>45724</v>
      </c>
      <c r="C685" t="s">
        <v>17</v>
      </c>
      <c r="D685">
        <v>23</v>
      </c>
      <c r="E685" t="s">
        <v>12</v>
      </c>
      <c r="F685" t="s">
        <v>13</v>
      </c>
      <c r="G685">
        <v>1035</v>
      </c>
      <c r="H685">
        <v>30</v>
      </c>
      <c r="I685" t="s">
        <v>14</v>
      </c>
      <c r="J685" t="str">
        <f>_xlfn.XLOOKUP(C685,'product_masterlist(ifs)'!A:A,'product_masterlist(ifs)'!C:C,"N/A",0)</f>
        <v>Frames</v>
      </c>
      <c r="K685">
        <f>VLOOKUP(C685,'product_masterlist(ifs)'!A:I,7,FALSE)</f>
        <v>45</v>
      </c>
    </row>
    <row r="686" spans="1:11" x14ac:dyDescent="0.35">
      <c r="A686" t="s">
        <v>942</v>
      </c>
      <c r="B686" s="1">
        <v>45752</v>
      </c>
      <c r="C686" t="s">
        <v>53</v>
      </c>
      <c r="D686">
        <v>15</v>
      </c>
      <c r="E686" t="s">
        <v>22</v>
      </c>
      <c r="F686" t="s">
        <v>18</v>
      </c>
      <c r="G686" t="s">
        <v>93</v>
      </c>
      <c r="H686">
        <v>7</v>
      </c>
      <c r="I686" t="s">
        <v>28</v>
      </c>
      <c r="J686" t="str">
        <f>_xlfn.XLOOKUP(C686,'product_masterlist(ifs)'!A:A,'product_masterlist(ifs)'!C:C,"N/A",0)</f>
        <v>Solutions</v>
      </c>
      <c r="K686">
        <f>VLOOKUP(C686,'product_masterlist(ifs)'!A:I,7,FALSE)</f>
        <v>800</v>
      </c>
    </row>
    <row r="687" spans="1:11" x14ac:dyDescent="0.35">
      <c r="A687" t="s">
        <v>943</v>
      </c>
      <c r="B687" t="s">
        <v>547</v>
      </c>
      <c r="C687" t="s">
        <v>33</v>
      </c>
      <c r="D687">
        <v>23</v>
      </c>
      <c r="E687" t="s">
        <v>12</v>
      </c>
      <c r="F687" t="s">
        <v>31</v>
      </c>
      <c r="G687">
        <v>3450</v>
      </c>
      <c r="H687">
        <v>45</v>
      </c>
      <c r="I687" t="s">
        <v>34</v>
      </c>
      <c r="J687" t="str">
        <f>_xlfn.XLOOKUP(C687,'product_masterlist(ifs)'!A:A,'product_masterlist(ifs)'!C:C,"N/A",0)</f>
        <v>Surgical</v>
      </c>
      <c r="K687">
        <f>VLOOKUP(C687,'product_masterlist(ifs)'!A:I,7,FALSE)</f>
        <v>15</v>
      </c>
    </row>
    <row r="688" spans="1:11" x14ac:dyDescent="0.35">
      <c r="A688" t="s">
        <v>944</v>
      </c>
      <c r="B688" s="1">
        <v>45659</v>
      </c>
      <c r="C688" t="s">
        <v>53</v>
      </c>
      <c r="D688">
        <v>23</v>
      </c>
      <c r="E688" t="s">
        <v>12</v>
      </c>
      <c r="F688" t="s">
        <v>23</v>
      </c>
      <c r="G688" t="s">
        <v>576</v>
      </c>
      <c r="H688">
        <v>7</v>
      </c>
      <c r="I688" t="s">
        <v>28</v>
      </c>
      <c r="J688" t="str">
        <f>_xlfn.XLOOKUP(C688,'product_masterlist(ifs)'!A:A,'product_masterlist(ifs)'!C:C,"N/A",0)</f>
        <v>Solutions</v>
      </c>
      <c r="K688">
        <f>VLOOKUP(C688,'product_masterlist(ifs)'!A:I,7,FALSE)</f>
        <v>800</v>
      </c>
    </row>
    <row r="689" spans="1:11" x14ac:dyDescent="0.35">
      <c r="A689" t="s">
        <v>945</v>
      </c>
      <c r="B689" t="s">
        <v>884</v>
      </c>
      <c r="C689" t="s">
        <v>53</v>
      </c>
      <c r="D689">
        <v>17</v>
      </c>
      <c r="E689" t="s">
        <v>12</v>
      </c>
      <c r="F689" t="s">
        <v>31</v>
      </c>
      <c r="G689" t="s">
        <v>698</v>
      </c>
      <c r="H689">
        <v>7</v>
      </c>
      <c r="I689" t="s">
        <v>28</v>
      </c>
      <c r="J689" t="str">
        <f>_xlfn.XLOOKUP(C689,'product_masterlist(ifs)'!A:A,'product_masterlist(ifs)'!C:C,"N/A",0)</f>
        <v>Solutions</v>
      </c>
      <c r="K689">
        <f>VLOOKUP(C689,'product_masterlist(ifs)'!A:I,7,FALSE)</f>
        <v>800</v>
      </c>
    </row>
    <row r="690" spans="1:11" x14ac:dyDescent="0.35">
      <c r="A690" t="s">
        <v>946</v>
      </c>
      <c r="B690" s="1">
        <v>45820</v>
      </c>
      <c r="C690" t="s">
        <v>42</v>
      </c>
      <c r="D690">
        <v>17</v>
      </c>
      <c r="E690" t="s">
        <v>20</v>
      </c>
      <c r="F690" t="s">
        <v>18</v>
      </c>
      <c r="G690">
        <v>425</v>
      </c>
      <c r="H690">
        <v>21</v>
      </c>
      <c r="I690" t="s">
        <v>14</v>
      </c>
      <c r="J690" t="str">
        <f>_xlfn.XLOOKUP(C690,'product_masterlist(ifs)'!A:A,'product_masterlist(ifs)'!C:C,"N/A",0)</f>
        <v>Contact Lenses</v>
      </c>
      <c r="K690">
        <f>VLOOKUP(C690,'product_masterlist(ifs)'!A:I,7,FALSE)</f>
        <v>120</v>
      </c>
    </row>
    <row r="691" spans="1:11" x14ac:dyDescent="0.35">
      <c r="A691" t="s">
        <v>947</v>
      </c>
      <c r="B691" s="1">
        <v>45727</v>
      </c>
      <c r="C691" t="s">
        <v>26</v>
      </c>
      <c r="D691">
        <v>7</v>
      </c>
      <c r="E691" t="s">
        <v>22</v>
      </c>
      <c r="F691" t="s">
        <v>13</v>
      </c>
      <c r="G691" t="s">
        <v>27</v>
      </c>
      <c r="H691">
        <v>14</v>
      </c>
      <c r="I691" t="s">
        <v>28</v>
      </c>
      <c r="J691" t="str">
        <f>_xlfn.XLOOKUP(C691,'product_masterlist(ifs)'!A:A,'product_masterlist(ifs)'!C:C,"N/A",0)</f>
        <v>Contact Lenses</v>
      </c>
      <c r="K691">
        <f>VLOOKUP(C691,'product_masterlist(ifs)'!A:I,7,FALSE)</f>
        <v>450</v>
      </c>
    </row>
    <row r="692" spans="1:11" x14ac:dyDescent="0.35">
      <c r="A692" t="s">
        <v>948</v>
      </c>
      <c r="B692" t="s">
        <v>448</v>
      </c>
      <c r="C692" t="s">
        <v>90</v>
      </c>
      <c r="D692">
        <v>22</v>
      </c>
      <c r="E692" t="s">
        <v>37</v>
      </c>
      <c r="F692" t="s">
        <v>23</v>
      </c>
      <c r="G692">
        <v>1067</v>
      </c>
      <c r="H692">
        <v>30</v>
      </c>
      <c r="I692" t="s">
        <v>14</v>
      </c>
      <c r="J692" t="str">
        <f>_xlfn.XLOOKUP(C692,'product_masterlist(ifs)'!A:A,'product_masterlist(ifs)'!C:C,"N/A",0)</f>
        <v>Frames</v>
      </c>
      <c r="K692">
        <f>VLOOKUP(C692,'product_masterlist(ifs)'!A:I,7,FALSE)</f>
        <v>180</v>
      </c>
    </row>
    <row r="693" spans="1:11" x14ac:dyDescent="0.35">
      <c r="A693" t="s">
        <v>949</v>
      </c>
      <c r="B693" t="s">
        <v>950</v>
      </c>
      <c r="C693" t="s">
        <v>26</v>
      </c>
      <c r="D693">
        <v>10</v>
      </c>
      <c r="E693" t="s">
        <v>20</v>
      </c>
      <c r="F693" t="s">
        <v>31</v>
      </c>
      <c r="G693">
        <v>125</v>
      </c>
      <c r="H693">
        <v>14</v>
      </c>
      <c r="I693" t="s">
        <v>28</v>
      </c>
      <c r="J693" t="str">
        <f>_xlfn.XLOOKUP(C693,'product_masterlist(ifs)'!A:A,'product_masterlist(ifs)'!C:C,"N/A",0)</f>
        <v>Contact Lenses</v>
      </c>
      <c r="K693">
        <f>VLOOKUP(C693,'product_masterlist(ifs)'!A:I,7,FALSE)</f>
        <v>450</v>
      </c>
    </row>
    <row r="694" spans="1:11" x14ac:dyDescent="0.35">
      <c r="A694" t="s">
        <v>951</v>
      </c>
      <c r="B694" t="s">
        <v>952</v>
      </c>
      <c r="C694" t="s">
        <v>90</v>
      </c>
      <c r="D694">
        <v>22</v>
      </c>
      <c r="E694" t="s">
        <v>22</v>
      </c>
      <c r="F694" t="s">
        <v>31</v>
      </c>
      <c r="G694">
        <v>1067</v>
      </c>
      <c r="H694">
        <v>30</v>
      </c>
      <c r="I694" t="s">
        <v>14</v>
      </c>
      <c r="J694" t="str">
        <f>_xlfn.XLOOKUP(C694,'product_masterlist(ifs)'!A:A,'product_masterlist(ifs)'!C:C,"N/A",0)</f>
        <v>Frames</v>
      </c>
      <c r="K694">
        <f>VLOOKUP(C694,'product_masterlist(ifs)'!A:I,7,FALSE)</f>
        <v>180</v>
      </c>
    </row>
    <row r="695" spans="1:11" x14ac:dyDescent="0.35">
      <c r="A695" t="s">
        <v>953</v>
      </c>
      <c r="B695" t="s">
        <v>103</v>
      </c>
      <c r="C695" t="s">
        <v>90</v>
      </c>
      <c r="D695">
        <v>11</v>
      </c>
      <c r="E695" t="s">
        <v>22</v>
      </c>
      <c r="F695" t="s">
        <v>23</v>
      </c>
      <c r="G695" t="s">
        <v>238</v>
      </c>
      <c r="H695">
        <v>30</v>
      </c>
      <c r="I695" t="s">
        <v>14</v>
      </c>
      <c r="J695" t="str">
        <f>_xlfn.XLOOKUP(C695,'product_masterlist(ifs)'!A:A,'product_masterlist(ifs)'!C:C,"N/A",0)</f>
        <v>Frames</v>
      </c>
      <c r="K695">
        <f>VLOOKUP(C695,'product_masterlist(ifs)'!A:I,7,FALSE)</f>
        <v>180</v>
      </c>
    </row>
    <row r="696" spans="1:11" x14ac:dyDescent="0.35">
      <c r="A696" t="s">
        <v>954</v>
      </c>
      <c r="B696" s="1">
        <v>45850</v>
      </c>
      <c r="C696" t="s">
        <v>33</v>
      </c>
      <c r="D696">
        <v>14</v>
      </c>
      <c r="E696" t="s">
        <v>37</v>
      </c>
      <c r="F696" t="s">
        <v>13</v>
      </c>
      <c r="G696">
        <v>2100</v>
      </c>
      <c r="H696">
        <v>45</v>
      </c>
      <c r="I696" t="s">
        <v>34</v>
      </c>
      <c r="J696" t="str">
        <f>_xlfn.XLOOKUP(C696,'product_masterlist(ifs)'!A:A,'product_masterlist(ifs)'!C:C,"N/A",0)</f>
        <v>Surgical</v>
      </c>
      <c r="K696">
        <f>VLOOKUP(C696,'product_masterlist(ifs)'!A:I,7,FALSE)</f>
        <v>15</v>
      </c>
    </row>
    <row r="697" spans="1:11" x14ac:dyDescent="0.35">
      <c r="A697" t="s">
        <v>955</v>
      </c>
      <c r="B697" t="s">
        <v>532</v>
      </c>
      <c r="C697" t="s">
        <v>11</v>
      </c>
      <c r="D697">
        <v>12</v>
      </c>
      <c r="E697" t="s">
        <v>22</v>
      </c>
      <c r="F697" t="s">
        <v>23</v>
      </c>
      <c r="G697">
        <v>1020</v>
      </c>
      <c r="H697">
        <v>30</v>
      </c>
      <c r="I697" t="s">
        <v>14</v>
      </c>
      <c r="J697" t="str">
        <f>_xlfn.XLOOKUP(C697,'product_masterlist(ifs)'!A:A,'product_masterlist(ifs)'!C:C,"N/A",0)</f>
        <v>Surgical</v>
      </c>
      <c r="K697">
        <f>VLOOKUP(C697,'product_masterlist(ifs)'!A:I,7,FALSE)</f>
        <v>40</v>
      </c>
    </row>
    <row r="698" spans="1:11" x14ac:dyDescent="0.35">
      <c r="A698" t="s">
        <v>956</v>
      </c>
      <c r="B698" t="s">
        <v>619</v>
      </c>
      <c r="C698" t="s">
        <v>33</v>
      </c>
      <c r="D698">
        <v>7</v>
      </c>
      <c r="E698" t="s">
        <v>22</v>
      </c>
      <c r="F698" t="s">
        <v>23</v>
      </c>
      <c r="G698">
        <v>1050</v>
      </c>
      <c r="H698">
        <v>45</v>
      </c>
      <c r="I698" t="s">
        <v>34</v>
      </c>
      <c r="J698" t="str">
        <f>_xlfn.XLOOKUP(C698,'product_masterlist(ifs)'!A:A,'product_masterlist(ifs)'!C:C,"N/A",0)</f>
        <v>Surgical</v>
      </c>
      <c r="K698">
        <f>VLOOKUP(C698,'product_masterlist(ifs)'!A:I,7,FALSE)</f>
        <v>15</v>
      </c>
    </row>
    <row r="699" spans="1:11" x14ac:dyDescent="0.35">
      <c r="A699" t="s">
        <v>957</v>
      </c>
      <c r="B699" t="s">
        <v>235</v>
      </c>
      <c r="C699" t="s">
        <v>26</v>
      </c>
      <c r="D699">
        <v>13</v>
      </c>
      <c r="E699" t="s">
        <v>37</v>
      </c>
      <c r="F699" t="s">
        <v>23</v>
      </c>
      <c r="G699" t="s">
        <v>437</v>
      </c>
      <c r="H699">
        <v>14</v>
      </c>
      <c r="I699" t="s">
        <v>28</v>
      </c>
      <c r="J699" t="str">
        <f>_xlfn.XLOOKUP(C699,'product_masterlist(ifs)'!A:A,'product_masterlist(ifs)'!C:C,"N/A",0)</f>
        <v>Contact Lenses</v>
      </c>
      <c r="K699">
        <f>VLOOKUP(C699,'product_masterlist(ifs)'!A:I,7,FALSE)</f>
        <v>450</v>
      </c>
    </row>
    <row r="700" spans="1:11" x14ac:dyDescent="0.35">
      <c r="A700" t="s">
        <v>958</v>
      </c>
      <c r="B700" t="s">
        <v>161</v>
      </c>
      <c r="C700" t="s">
        <v>33</v>
      </c>
      <c r="D700">
        <v>2</v>
      </c>
      <c r="E700" t="s">
        <v>37</v>
      </c>
      <c r="F700" t="s">
        <v>23</v>
      </c>
      <c r="G700">
        <v>300</v>
      </c>
      <c r="H700">
        <v>45</v>
      </c>
      <c r="I700" t="s">
        <v>34</v>
      </c>
      <c r="J700" t="str">
        <f>_xlfn.XLOOKUP(C700,'product_masterlist(ifs)'!A:A,'product_masterlist(ifs)'!C:C,"N/A",0)</f>
        <v>Surgical</v>
      </c>
      <c r="K700">
        <f>VLOOKUP(C700,'product_masterlist(ifs)'!A:I,7,FALSE)</f>
        <v>15</v>
      </c>
    </row>
    <row r="701" spans="1:11" x14ac:dyDescent="0.35">
      <c r="A701" t="s">
        <v>959</v>
      </c>
      <c r="B701" s="1">
        <v>45753</v>
      </c>
      <c r="C701" t="s">
        <v>42</v>
      </c>
      <c r="D701">
        <v>8</v>
      </c>
      <c r="E701" t="s">
        <v>37</v>
      </c>
      <c r="F701" t="s">
        <v>31</v>
      </c>
      <c r="G701">
        <v>200</v>
      </c>
      <c r="H701">
        <v>21</v>
      </c>
      <c r="I701" t="s">
        <v>14</v>
      </c>
      <c r="J701" t="str">
        <f>_xlfn.XLOOKUP(C701,'product_masterlist(ifs)'!A:A,'product_masterlist(ifs)'!C:C,"N/A",0)</f>
        <v>Contact Lenses</v>
      </c>
      <c r="K701">
        <f>VLOOKUP(C701,'product_masterlist(ifs)'!A:I,7,FALSE)</f>
        <v>120</v>
      </c>
    </row>
    <row r="702" spans="1:11" x14ac:dyDescent="0.35">
      <c r="A702" t="s">
        <v>960</v>
      </c>
      <c r="B702" t="s">
        <v>711</v>
      </c>
      <c r="C702" t="s">
        <v>17</v>
      </c>
      <c r="D702">
        <v>5</v>
      </c>
      <c r="E702" t="s">
        <v>37</v>
      </c>
      <c r="F702" t="s">
        <v>23</v>
      </c>
      <c r="G702">
        <v>225</v>
      </c>
      <c r="H702">
        <v>30</v>
      </c>
      <c r="I702" t="s">
        <v>14</v>
      </c>
      <c r="J702" t="str">
        <f>_xlfn.XLOOKUP(C702,'product_masterlist(ifs)'!A:A,'product_masterlist(ifs)'!C:C,"N/A",0)</f>
        <v>Frames</v>
      </c>
      <c r="K702">
        <f>VLOOKUP(C702,'product_masterlist(ifs)'!A:I,7,FALSE)</f>
        <v>45</v>
      </c>
    </row>
    <row r="703" spans="1:11" x14ac:dyDescent="0.35">
      <c r="A703" t="s">
        <v>961</v>
      </c>
      <c r="B703" t="s">
        <v>962</v>
      </c>
      <c r="C703" t="s">
        <v>11</v>
      </c>
      <c r="D703">
        <v>3</v>
      </c>
      <c r="E703" t="s">
        <v>12</v>
      </c>
      <c r="F703" t="s">
        <v>13</v>
      </c>
      <c r="G703">
        <v>255</v>
      </c>
      <c r="H703">
        <v>30</v>
      </c>
      <c r="I703" t="s">
        <v>14</v>
      </c>
      <c r="J703" t="str">
        <f>_xlfn.XLOOKUP(C703,'product_masterlist(ifs)'!A:A,'product_masterlist(ifs)'!C:C,"N/A",0)</f>
        <v>Surgical</v>
      </c>
      <c r="K703">
        <f>VLOOKUP(C703,'product_masterlist(ifs)'!A:I,7,FALSE)</f>
        <v>40</v>
      </c>
    </row>
    <row r="704" spans="1:11" x14ac:dyDescent="0.35">
      <c r="A704" t="s">
        <v>963</v>
      </c>
      <c r="B704" s="1">
        <v>45812</v>
      </c>
      <c r="C704" t="s">
        <v>33</v>
      </c>
      <c r="D704">
        <v>14</v>
      </c>
      <c r="E704" t="s">
        <v>12</v>
      </c>
      <c r="F704" t="s">
        <v>23</v>
      </c>
      <c r="G704">
        <v>2100</v>
      </c>
      <c r="H704">
        <v>45</v>
      </c>
      <c r="I704" t="s">
        <v>34</v>
      </c>
      <c r="J704" t="str">
        <f>_xlfn.XLOOKUP(C704,'product_masterlist(ifs)'!A:A,'product_masterlist(ifs)'!C:C,"N/A",0)</f>
        <v>Surgical</v>
      </c>
      <c r="K704">
        <f>VLOOKUP(C704,'product_masterlist(ifs)'!A:I,7,FALSE)</f>
        <v>15</v>
      </c>
    </row>
    <row r="705" spans="1:11" x14ac:dyDescent="0.35">
      <c r="A705" t="s">
        <v>964</v>
      </c>
      <c r="B705" t="s">
        <v>448</v>
      </c>
      <c r="C705" t="s">
        <v>33</v>
      </c>
      <c r="D705">
        <v>9</v>
      </c>
      <c r="E705" t="s">
        <v>22</v>
      </c>
      <c r="F705" t="s">
        <v>31</v>
      </c>
      <c r="G705">
        <v>1350</v>
      </c>
      <c r="H705">
        <v>45</v>
      </c>
      <c r="I705" t="s">
        <v>34</v>
      </c>
      <c r="J705" t="str">
        <f>_xlfn.XLOOKUP(C705,'product_masterlist(ifs)'!A:A,'product_masterlist(ifs)'!C:C,"N/A",0)</f>
        <v>Surgical</v>
      </c>
      <c r="K705">
        <f>VLOOKUP(C705,'product_masterlist(ifs)'!A:I,7,FALSE)</f>
        <v>15</v>
      </c>
    </row>
    <row r="706" spans="1:11" x14ac:dyDescent="0.35">
      <c r="A706" t="s">
        <v>965</v>
      </c>
      <c r="B706" t="s">
        <v>129</v>
      </c>
      <c r="C706" t="s">
        <v>53</v>
      </c>
      <c r="D706">
        <v>23</v>
      </c>
      <c r="E706" t="s">
        <v>20</v>
      </c>
      <c r="F706" t="s">
        <v>13</v>
      </c>
      <c r="G706" t="s">
        <v>576</v>
      </c>
      <c r="H706">
        <v>7</v>
      </c>
      <c r="I706" t="s">
        <v>28</v>
      </c>
      <c r="J706" t="str">
        <f>_xlfn.XLOOKUP(C706,'product_masterlist(ifs)'!A:A,'product_masterlist(ifs)'!C:C,"N/A",0)</f>
        <v>Solutions</v>
      </c>
      <c r="K706">
        <f>VLOOKUP(C706,'product_masterlist(ifs)'!A:I,7,FALSE)</f>
        <v>800</v>
      </c>
    </row>
    <row r="707" spans="1:11" x14ac:dyDescent="0.35">
      <c r="A707" t="s">
        <v>966</v>
      </c>
      <c r="B707" t="s">
        <v>967</v>
      </c>
      <c r="C707" t="s">
        <v>90</v>
      </c>
      <c r="D707">
        <v>4</v>
      </c>
      <c r="E707" t="s">
        <v>37</v>
      </c>
      <c r="F707" t="s">
        <v>23</v>
      </c>
      <c r="G707">
        <v>194</v>
      </c>
      <c r="H707">
        <v>30</v>
      </c>
      <c r="I707" t="s">
        <v>14</v>
      </c>
      <c r="J707" t="str">
        <f>_xlfn.XLOOKUP(C707,'product_masterlist(ifs)'!A:A,'product_masterlist(ifs)'!C:C,"N/A",0)</f>
        <v>Frames</v>
      </c>
      <c r="K707">
        <f>VLOOKUP(C707,'product_masterlist(ifs)'!A:I,7,FALSE)</f>
        <v>180</v>
      </c>
    </row>
    <row r="708" spans="1:11" x14ac:dyDescent="0.35">
      <c r="A708" t="s">
        <v>968</v>
      </c>
      <c r="B708" s="1">
        <v>45940</v>
      </c>
      <c r="C708" t="s">
        <v>11</v>
      </c>
      <c r="D708">
        <v>11</v>
      </c>
      <c r="E708" t="s">
        <v>12</v>
      </c>
      <c r="F708" t="s">
        <v>31</v>
      </c>
      <c r="G708">
        <v>935</v>
      </c>
      <c r="H708">
        <v>30</v>
      </c>
      <c r="I708" t="s">
        <v>14</v>
      </c>
      <c r="J708" t="str">
        <f>_xlfn.XLOOKUP(C708,'product_masterlist(ifs)'!A:A,'product_masterlist(ifs)'!C:C,"N/A",0)</f>
        <v>Surgical</v>
      </c>
      <c r="K708">
        <f>VLOOKUP(C708,'product_masterlist(ifs)'!A:I,7,FALSE)</f>
        <v>40</v>
      </c>
    </row>
    <row r="709" spans="1:11" x14ac:dyDescent="0.35">
      <c r="A709" t="s">
        <v>969</v>
      </c>
      <c r="B709" s="1">
        <v>45845</v>
      </c>
      <c r="C709" t="s">
        <v>33</v>
      </c>
      <c r="D709">
        <v>14</v>
      </c>
      <c r="E709" t="s">
        <v>22</v>
      </c>
      <c r="F709" t="s">
        <v>18</v>
      </c>
      <c r="G709">
        <v>2100</v>
      </c>
      <c r="H709">
        <v>45</v>
      </c>
      <c r="I709" t="s">
        <v>34</v>
      </c>
      <c r="J709" t="str">
        <f>_xlfn.XLOOKUP(C709,'product_masterlist(ifs)'!A:A,'product_masterlist(ifs)'!C:C,"N/A",0)</f>
        <v>Surgical</v>
      </c>
      <c r="K709">
        <f>VLOOKUP(C709,'product_masterlist(ifs)'!A:I,7,FALSE)</f>
        <v>15</v>
      </c>
    </row>
    <row r="710" spans="1:11" x14ac:dyDescent="0.35">
      <c r="A710" t="s">
        <v>970</v>
      </c>
      <c r="B710" s="1">
        <v>45785</v>
      </c>
      <c r="C710" t="s">
        <v>17</v>
      </c>
      <c r="D710">
        <v>13</v>
      </c>
      <c r="E710" t="s">
        <v>22</v>
      </c>
      <c r="F710" t="s">
        <v>31</v>
      </c>
      <c r="G710">
        <v>585</v>
      </c>
      <c r="H710">
        <v>30</v>
      </c>
      <c r="I710" t="s">
        <v>14</v>
      </c>
      <c r="J710" t="str">
        <f>_xlfn.XLOOKUP(C710,'product_masterlist(ifs)'!A:A,'product_masterlist(ifs)'!C:C,"N/A",0)</f>
        <v>Frames</v>
      </c>
      <c r="K710">
        <f>VLOOKUP(C710,'product_masterlist(ifs)'!A:I,7,FALSE)</f>
        <v>45</v>
      </c>
    </row>
    <row r="711" spans="1:11" x14ac:dyDescent="0.35">
      <c r="A711" t="s">
        <v>971</v>
      </c>
      <c r="B711" t="s">
        <v>87</v>
      </c>
      <c r="C711" t="s">
        <v>26</v>
      </c>
      <c r="D711">
        <v>20</v>
      </c>
      <c r="E711" t="s">
        <v>12</v>
      </c>
      <c r="F711" t="s">
        <v>18</v>
      </c>
      <c r="G711">
        <v>250</v>
      </c>
      <c r="H711">
        <v>14</v>
      </c>
      <c r="I711" t="s">
        <v>28</v>
      </c>
      <c r="J711" t="str">
        <f>_xlfn.XLOOKUP(C711,'product_masterlist(ifs)'!A:A,'product_masterlist(ifs)'!C:C,"N/A",0)</f>
        <v>Contact Lenses</v>
      </c>
      <c r="K711">
        <f>VLOOKUP(C711,'product_masterlist(ifs)'!A:I,7,FALSE)</f>
        <v>450</v>
      </c>
    </row>
    <row r="712" spans="1:11" x14ac:dyDescent="0.35">
      <c r="A712" t="s">
        <v>972</v>
      </c>
      <c r="B712" t="s">
        <v>967</v>
      </c>
      <c r="C712" t="s">
        <v>26</v>
      </c>
      <c r="D712">
        <v>3</v>
      </c>
      <c r="E712" t="s">
        <v>37</v>
      </c>
      <c r="F712" t="s">
        <v>31</v>
      </c>
      <c r="G712" t="s">
        <v>40</v>
      </c>
      <c r="H712">
        <v>14</v>
      </c>
      <c r="I712" t="s">
        <v>28</v>
      </c>
      <c r="J712" t="str">
        <f>_xlfn.XLOOKUP(C712,'product_masterlist(ifs)'!A:A,'product_masterlist(ifs)'!C:C,"N/A",0)</f>
        <v>Contact Lenses</v>
      </c>
      <c r="K712">
        <f>VLOOKUP(C712,'product_masterlist(ifs)'!A:I,7,FALSE)</f>
        <v>450</v>
      </c>
    </row>
    <row r="713" spans="1:11" x14ac:dyDescent="0.35">
      <c r="A713" t="s">
        <v>973</v>
      </c>
      <c r="B713" t="s">
        <v>895</v>
      </c>
      <c r="C713" t="s">
        <v>90</v>
      </c>
      <c r="D713">
        <v>13</v>
      </c>
      <c r="E713" t="s">
        <v>37</v>
      </c>
      <c r="F713" t="s">
        <v>31</v>
      </c>
      <c r="G713" t="s">
        <v>262</v>
      </c>
      <c r="H713">
        <v>30</v>
      </c>
      <c r="I713" t="s">
        <v>14</v>
      </c>
      <c r="J713" t="str">
        <f>_xlfn.XLOOKUP(C713,'product_masterlist(ifs)'!A:A,'product_masterlist(ifs)'!C:C,"N/A",0)</f>
        <v>Frames</v>
      </c>
      <c r="K713">
        <f>VLOOKUP(C713,'product_masterlist(ifs)'!A:I,7,FALSE)</f>
        <v>180</v>
      </c>
    </row>
    <row r="714" spans="1:11" x14ac:dyDescent="0.35">
      <c r="A714" t="s">
        <v>974</v>
      </c>
      <c r="B714" t="s">
        <v>975</v>
      </c>
      <c r="C714" t="s">
        <v>42</v>
      </c>
      <c r="D714">
        <v>21</v>
      </c>
      <c r="E714" t="s">
        <v>12</v>
      </c>
      <c r="F714" t="s">
        <v>18</v>
      </c>
      <c r="G714">
        <v>525</v>
      </c>
      <c r="H714">
        <v>21</v>
      </c>
      <c r="I714" t="s">
        <v>14</v>
      </c>
      <c r="J714" t="str">
        <f>_xlfn.XLOOKUP(C714,'product_masterlist(ifs)'!A:A,'product_masterlist(ifs)'!C:C,"N/A",0)</f>
        <v>Contact Lenses</v>
      </c>
      <c r="K714">
        <f>VLOOKUP(C714,'product_masterlist(ifs)'!A:I,7,FALSE)</f>
        <v>120</v>
      </c>
    </row>
    <row r="715" spans="1:11" x14ac:dyDescent="0.35">
      <c r="A715" t="s">
        <v>976</v>
      </c>
      <c r="B715" s="1">
        <v>45819</v>
      </c>
      <c r="C715" t="s">
        <v>17</v>
      </c>
      <c r="D715">
        <v>22</v>
      </c>
      <c r="E715" t="s">
        <v>37</v>
      </c>
      <c r="F715" t="s">
        <v>18</v>
      </c>
      <c r="G715">
        <v>990</v>
      </c>
      <c r="H715">
        <v>30</v>
      </c>
      <c r="I715" t="s">
        <v>14</v>
      </c>
      <c r="J715" t="str">
        <f>_xlfn.XLOOKUP(C715,'product_masterlist(ifs)'!A:A,'product_masterlist(ifs)'!C:C,"N/A",0)</f>
        <v>Frames</v>
      </c>
      <c r="K715">
        <f>VLOOKUP(C715,'product_masterlist(ifs)'!A:I,7,FALSE)</f>
        <v>45</v>
      </c>
    </row>
    <row r="716" spans="1:11" x14ac:dyDescent="0.35">
      <c r="A716" t="s">
        <v>977</v>
      </c>
      <c r="B716" t="s">
        <v>744</v>
      </c>
      <c r="C716" t="s">
        <v>17</v>
      </c>
      <c r="D716">
        <v>13</v>
      </c>
      <c r="E716" t="s">
        <v>37</v>
      </c>
      <c r="F716" t="s">
        <v>31</v>
      </c>
      <c r="G716">
        <v>585</v>
      </c>
      <c r="H716">
        <v>30</v>
      </c>
      <c r="I716" t="s">
        <v>14</v>
      </c>
      <c r="J716" t="str">
        <f>_xlfn.XLOOKUP(C716,'product_masterlist(ifs)'!A:A,'product_masterlist(ifs)'!C:C,"N/A",0)</f>
        <v>Frames</v>
      </c>
      <c r="K716">
        <f>VLOOKUP(C716,'product_masterlist(ifs)'!A:I,7,FALSE)</f>
        <v>45</v>
      </c>
    </row>
    <row r="717" spans="1:11" x14ac:dyDescent="0.35">
      <c r="A717" t="s">
        <v>978</v>
      </c>
      <c r="B717" t="s">
        <v>194</v>
      </c>
      <c r="C717" t="s">
        <v>26</v>
      </c>
      <c r="D717">
        <v>12</v>
      </c>
      <c r="E717" t="s">
        <v>20</v>
      </c>
      <c r="F717" t="s">
        <v>18</v>
      </c>
      <c r="G717">
        <v>150</v>
      </c>
      <c r="H717">
        <v>14</v>
      </c>
      <c r="I717" t="s">
        <v>28</v>
      </c>
      <c r="J717" t="str">
        <f>_xlfn.XLOOKUP(C717,'product_masterlist(ifs)'!A:A,'product_masterlist(ifs)'!C:C,"N/A",0)</f>
        <v>Contact Lenses</v>
      </c>
      <c r="K717">
        <f>VLOOKUP(C717,'product_masterlist(ifs)'!A:I,7,FALSE)</f>
        <v>450</v>
      </c>
    </row>
    <row r="718" spans="1:11" x14ac:dyDescent="0.35">
      <c r="A718" t="s">
        <v>979</v>
      </c>
      <c r="B718" t="s">
        <v>192</v>
      </c>
      <c r="C718" t="s">
        <v>17</v>
      </c>
      <c r="D718">
        <v>6</v>
      </c>
      <c r="E718" t="s">
        <v>20</v>
      </c>
      <c r="F718" t="s">
        <v>18</v>
      </c>
      <c r="G718">
        <v>270</v>
      </c>
      <c r="H718">
        <v>30</v>
      </c>
      <c r="I718" t="s">
        <v>14</v>
      </c>
      <c r="J718" t="str">
        <f>_xlfn.XLOOKUP(C718,'product_masterlist(ifs)'!A:A,'product_masterlist(ifs)'!C:C,"N/A",0)</f>
        <v>Frames</v>
      </c>
      <c r="K718">
        <f>VLOOKUP(C718,'product_masterlist(ifs)'!A:I,7,FALSE)</f>
        <v>45</v>
      </c>
    </row>
    <row r="719" spans="1:11" x14ac:dyDescent="0.35">
      <c r="A719" t="s">
        <v>980</v>
      </c>
      <c r="B719" t="s">
        <v>737</v>
      </c>
      <c r="C719" t="s">
        <v>17</v>
      </c>
      <c r="D719">
        <v>9</v>
      </c>
      <c r="E719" t="s">
        <v>12</v>
      </c>
      <c r="F719" t="s">
        <v>23</v>
      </c>
      <c r="G719">
        <v>405</v>
      </c>
      <c r="H719">
        <v>30</v>
      </c>
      <c r="I719" t="s">
        <v>14</v>
      </c>
      <c r="J719" t="str">
        <f>_xlfn.XLOOKUP(C719,'product_masterlist(ifs)'!A:A,'product_masterlist(ifs)'!C:C,"N/A",0)</f>
        <v>Frames</v>
      </c>
      <c r="K719">
        <f>VLOOKUP(C719,'product_masterlist(ifs)'!A:I,7,FALSE)</f>
        <v>45</v>
      </c>
    </row>
    <row r="720" spans="1:11" x14ac:dyDescent="0.35">
      <c r="A720" t="s">
        <v>981</v>
      </c>
      <c r="B720" t="s">
        <v>468</v>
      </c>
      <c r="C720" t="s">
        <v>17</v>
      </c>
      <c r="D720">
        <v>6</v>
      </c>
      <c r="E720" t="s">
        <v>37</v>
      </c>
      <c r="F720" t="s">
        <v>18</v>
      </c>
      <c r="G720">
        <v>270</v>
      </c>
      <c r="H720">
        <v>30</v>
      </c>
      <c r="I720" t="s">
        <v>14</v>
      </c>
      <c r="J720" t="str">
        <f>_xlfn.XLOOKUP(C720,'product_masterlist(ifs)'!A:A,'product_masterlist(ifs)'!C:C,"N/A",0)</f>
        <v>Frames</v>
      </c>
      <c r="K720">
        <f>VLOOKUP(C720,'product_masterlist(ifs)'!A:I,7,FALSE)</f>
        <v>45</v>
      </c>
    </row>
    <row r="721" spans="1:11" x14ac:dyDescent="0.35">
      <c r="A721" t="s">
        <v>982</v>
      </c>
      <c r="B721" t="s">
        <v>408</v>
      </c>
      <c r="C721" t="s">
        <v>17</v>
      </c>
      <c r="D721">
        <v>21</v>
      </c>
      <c r="E721" t="s">
        <v>37</v>
      </c>
      <c r="F721" t="s">
        <v>18</v>
      </c>
      <c r="G721">
        <v>945</v>
      </c>
      <c r="H721">
        <v>30</v>
      </c>
      <c r="I721" t="s">
        <v>14</v>
      </c>
      <c r="J721" t="str">
        <f>_xlfn.XLOOKUP(C721,'product_masterlist(ifs)'!A:A,'product_masterlist(ifs)'!C:C,"N/A",0)</f>
        <v>Frames</v>
      </c>
      <c r="K721">
        <f>VLOOKUP(C721,'product_masterlist(ifs)'!A:I,7,FALSE)</f>
        <v>45</v>
      </c>
    </row>
    <row r="722" spans="1:11" x14ac:dyDescent="0.35">
      <c r="A722" t="s">
        <v>983</v>
      </c>
      <c r="B722" t="s">
        <v>192</v>
      </c>
      <c r="C722" t="s">
        <v>90</v>
      </c>
      <c r="D722">
        <v>3</v>
      </c>
      <c r="E722" t="s">
        <v>37</v>
      </c>
      <c r="F722" t="s">
        <v>23</v>
      </c>
      <c r="G722" t="s">
        <v>375</v>
      </c>
      <c r="H722">
        <v>30</v>
      </c>
      <c r="I722" t="s">
        <v>14</v>
      </c>
      <c r="J722" t="str">
        <f>_xlfn.XLOOKUP(C722,'product_masterlist(ifs)'!A:A,'product_masterlist(ifs)'!C:C,"N/A",0)</f>
        <v>Frames</v>
      </c>
      <c r="K722">
        <f>VLOOKUP(C722,'product_masterlist(ifs)'!A:I,7,FALSE)</f>
        <v>180</v>
      </c>
    </row>
    <row r="723" spans="1:11" x14ac:dyDescent="0.35">
      <c r="A723" t="s">
        <v>984</v>
      </c>
      <c r="B723" t="s">
        <v>103</v>
      </c>
      <c r="C723" t="s">
        <v>53</v>
      </c>
      <c r="D723">
        <v>3</v>
      </c>
      <c r="E723" t="s">
        <v>20</v>
      </c>
      <c r="F723" t="s">
        <v>23</v>
      </c>
      <c r="G723" t="s">
        <v>278</v>
      </c>
      <c r="H723">
        <v>7</v>
      </c>
      <c r="I723" t="s">
        <v>28</v>
      </c>
      <c r="J723" t="str">
        <f>_xlfn.XLOOKUP(C723,'product_masterlist(ifs)'!A:A,'product_masterlist(ifs)'!C:C,"N/A",0)</f>
        <v>Solutions</v>
      </c>
      <c r="K723">
        <f>VLOOKUP(C723,'product_masterlist(ifs)'!A:I,7,FALSE)</f>
        <v>800</v>
      </c>
    </row>
    <row r="724" spans="1:11" x14ac:dyDescent="0.35">
      <c r="A724" t="s">
        <v>985</v>
      </c>
      <c r="B724" s="1">
        <v>45904</v>
      </c>
      <c r="C724" t="s">
        <v>17</v>
      </c>
      <c r="D724">
        <v>25</v>
      </c>
      <c r="E724" t="s">
        <v>37</v>
      </c>
      <c r="F724" t="s">
        <v>31</v>
      </c>
      <c r="G724">
        <v>1125</v>
      </c>
      <c r="H724">
        <v>30</v>
      </c>
      <c r="I724" t="s">
        <v>14</v>
      </c>
      <c r="J724" t="str">
        <f>_xlfn.XLOOKUP(C724,'product_masterlist(ifs)'!A:A,'product_masterlist(ifs)'!C:C,"N/A",0)</f>
        <v>Frames</v>
      </c>
      <c r="K724">
        <f>VLOOKUP(C724,'product_masterlist(ifs)'!A:I,7,FALSE)</f>
        <v>45</v>
      </c>
    </row>
    <row r="725" spans="1:11" x14ac:dyDescent="0.35">
      <c r="A725" t="s">
        <v>986</v>
      </c>
      <c r="B725" t="s">
        <v>379</v>
      </c>
      <c r="C725" t="s">
        <v>26</v>
      </c>
      <c r="D725">
        <v>16</v>
      </c>
      <c r="E725" t="s">
        <v>12</v>
      </c>
      <c r="F725" t="s">
        <v>23</v>
      </c>
      <c r="G725">
        <v>200</v>
      </c>
      <c r="H725">
        <v>14</v>
      </c>
      <c r="I725" t="s">
        <v>28</v>
      </c>
      <c r="J725" t="str">
        <f>_xlfn.XLOOKUP(C725,'product_masterlist(ifs)'!A:A,'product_masterlist(ifs)'!C:C,"N/A",0)</f>
        <v>Contact Lenses</v>
      </c>
      <c r="K725">
        <f>VLOOKUP(C725,'product_masterlist(ifs)'!A:I,7,FALSE)</f>
        <v>450</v>
      </c>
    </row>
    <row r="726" spans="1:11" x14ac:dyDescent="0.35">
      <c r="A726" t="s">
        <v>987</v>
      </c>
      <c r="B726" t="s">
        <v>988</v>
      </c>
      <c r="C726" t="s">
        <v>33</v>
      </c>
      <c r="D726">
        <v>2</v>
      </c>
      <c r="E726" t="s">
        <v>37</v>
      </c>
      <c r="F726" t="s">
        <v>13</v>
      </c>
      <c r="G726">
        <v>300</v>
      </c>
      <c r="H726">
        <v>45</v>
      </c>
      <c r="I726" t="s">
        <v>34</v>
      </c>
      <c r="J726" t="str">
        <f>_xlfn.XLOOKUP(C726,'product_masterlist(ifs)'!A:A,'product_masterlist(ifs)'!C:C,"N/A",0)</f>
        <v>Surgical</v>
      </c>
      <c r="K726">
        <f>VLOOKUP(C726,'product_masterlist(ifs)'!A:I,7,FALSE)</f>
        <v>15</v>
      </c>
    </row>
    <row r="727" spans="1:11" x14ac:dyDescent="0.35">
      <c r="A727" t="s">
        <v>989</v>
      </c>
      <c r="B727" t="s">
        <v>667</v>
      </c>
      <c r="C727" t="s">
        <v>42</v>
      </c>
      <c r="D727">
        <v>2</v>
      </c>
      <c r="E727" t="s">
        <v>22</v>
      </c>
      <c r="F727" t="s">
        <v>31</v>
      </c>
      <c r="G727">
        <v>50</v>
      </c>
      <c r="H727">
        <v>21</v>
      </c>
      <c r="I727" t="s">
        <v>14</v>
      </c>
      <c r="J727" t="str">
        <f>_xlfn.XLOOKUP(C727,'product_masterlist(ifs)'!A:A,'product_masterlist(ifs)'!C:C,"N/A",0)</f>
        <v>Contact Lenses</v>
      </c>
      <c r="K727">
        <f>VLOOKUP(C727,'product_masterlist(ifs)'!A:I,7,FALSE)</f>
        <v>120</v>
      </c>
    </row>
    <row r="728" spans="1:11" x14ac:dyDescent="0.35">
      <c r="A728" t="s">
        <v>990</v>
      </c>
      <c r="B728" t="s">
        <v>125</v>
      </c>
      <c r="C728" t="s">
        <v>33</v>
      </c>
      <c r="D728">
        <v>15</v>
      </c>
      <c r="E728" t="s">
        <v>22</v>
      </c>
      <c r="F728" t="s">
        <v>13</v>
      </c>
      <c r="G728">
        <v>2250</v>
      </c>
      <c r="H728">
        <v>45</v>
      </c>
      <c r="I728" t="s">
        <v>34</v>
      </c>
      <c r="J728" t="str">
        <f>_xlfn.XLOOKUP(C728,'product_masterlist(ifs)'!A:A,'product_masterlist(ifs)'!C:C,"N/A",0)</f>
        <v>Surgical</v>
      </c>
      <c r="K728">
        <f>VLOOKUP(C728,'product_masterlist(ifs)'!A:I,7,FALSE)</f>
        <v>15</v>
      </c>
    </row>
    <row r="729" spans="1:11" x14ac:dyDescent="0.35">
      <c r="A729" t="s">
        <v>991</v>
      </c>
      <c r="B729" t="s">
        <v>105</v>
      </c>
      <c r="C729" t="s">
        <v>90</v>
      </c>
      <c r="D729">
        <v>25</v>
      </c>
      <c r="E729" t="s">
        <v>22</v>
      </c>
      <c r="F729" t="s">
        <v>23</v>
      </c>
      <c r="G729" t="s">
        <v>308</v>
      </c>
      <c r="H729">
        <v>30</v>
      </c>
      <c r="I729" t="s">
        <v>14</v>
      </c>
      <c r="J729" t="str">
        <f>_xlfn.XLOOKUP(C729,'product_masterlist(ifs)'!A:A,'product_masterlist(ifs)'!C:C,"N/A",0)</f>
        <v>Frames</v>
      </c>
      <c r="K729">
        <f>VLOOKUP(C729,'product_masterlist(ifs)'!A:I,7,FALSE)</f>
        <v>180</v>
      </c>
    </row>
    <row r="730" spans="1:11" x14ac:dyDescent="0.35">
      <c r="A730" t="s">
        <v>992</v>
      </c>
      <c r="B730" t="s">
        <v>763</v>
      </c>
      <c r="C730" t="s">
        <v>42</v>
      </c>
      <c r="D730">
        <v>2</v>
      </c>
      <c r="E730" t="s">
        <v>12</v>
      </c>
      <c r="F730" t="s">
        <v>23</v>
      </c>
      <c r="G730">
        <v>50</v>
      </c>
      <c r="H730">
        <v>21</v>
      </c>
      <c r="I730" t="s">
        <v>14</v>
      </c>
      <c r="J730" t="str">
        <f>_xlfn.XLOOKUP(C730,'product_masterlist(ifs)'!A:A,'product_masterlist(ifs)'!C:C,"N/A",0)</f>
        <v>Contact Lenses</v>
      </c>
      <c r="K730">
        <f>VLOOKUP(C730,'product_masterlist(ifs)'!A:I,7,FALSE)</f>
        <v>120</v>
      </c>
    </row>
    <row r="731" spans="1:11" x14ac:dyDescent="0.35">
      <c r="A731" t="s">
        <v>993</v>
      </c>
      <c r="B731" s="1">
        <v>45939</v>
      </c>
      <c r="C731" t="s">
        <v>33</v>
      </c>
      <c r="D731">
        <v>15</v>
      </c>
      <c r="E731" t="s">
        <v>37</v>
      </c>
      <c r="F731" t="s">
        <v>23</v>
      </c>
      <c r="G731">
        <v>2250</v>
      </c>
      <c r="H731">
        <v>45</v>
      </c>
      <c r="I731" t="s">
        <v>34</v>
      </c>
      <c r="J731" t="str">
        <f>_xlfn.XLOOKUP(C731,'product_masterlist(ifs)'!A:A,'product_masterlist(ifs)'!C:C,"N/A",0)</f>
        <v>Surgical</v>
      </c>
      <c r="K731">
        <f>VLOOKUP(C731,'product_masterlist(ifs)'!A:I,7,FALSE)</f>
        <v>15</v>
      </c>
    </row>
    <row r="732" spans="1:11" x14ac:dyDescent="0.35">
      <c r="A732" t="s">
        <v>994</v>
      </c>
      <c r="B732" t="s">
        <v>205</v>
      </c>
      <c r="C732" t="s">
        <v>17</v>
      </c>
      <c r="D732">
        <v>9</v>
      </c>
      <c r="E732" t="s">
        <v>20</v>
      </c>
      <c r="F732" t="s">
        <v>31</v>
      </c>
      <c r="G732">
        <v>405</v>
      </c>
      <c r="H732">
        <v>30</v>
      </c>
      <c r="I732" t="s">
        <v>14</v>
      </c>
      <c r="J732" t="str">
        <f>_xlfn.XLOOKUP(C732,'product_masterlist(ifs)'!A:A,'product_masterlist(ifs)'!C:C,"N/A",0)</f>
        <v>Frames</v>
      </c>
      <c r="K732">
        <f>VLOOKUP(C732,'product_masterlist(ifs)'!A:I,7,FALSE)</f>
        <v>45</v>
      </c>
    </row>
    <row r="733" spans="1:11" x14ac:dyDescent="0.35">
      <c r="A733" t="s">
        <v>995</v>
      </c>
      <c r="B733" s="1">
        <v>45911</v>
      </c>
      <c r="C733" t="s">
        <v>33</v>
      </c>
      <c r="D733">
        <v>16</v>
      </c>
      <c r="E733" t="s">
        <v>37</v>
      </c>
      <c r="F733" t="s">
        <v>18</v>
      </c>
      <c r="G733">
        <v>2400</v>
      </c>
      <c r="H733">
        <v>45</v>
      </c>
      <c r="I733" t="s">
        <v>34</v>
      </c>
      <c r="J733" t="str">
        <f>_xlfn.XLOOKUP(C733,'product_masterlist(ifs)'!A:A,'product_masterlist(ifs)'!C:C,"N/A",0)</f>
        <v>Surgical</v>
      </c>
      <c r="K733">
        <f>VLOOKUP(C733,'product_masterlist(ifs)'!A:I,7,FALSE)</f>
        <v>15</v>
      </c>
    </row>
    <row r="734" spans="1:11" x14ac:dyDescent="0.35">
      <c r="A734" t="s">
        <v>996</v>
      </c>
      <c r="B734" t="s">
        <v>690</v>
      </c>
      <c r="C734" t="s">
        <v>42</v>
      </c>
      <c r="D734">
        <v>6</v>
      </c>
      <c r="E734" t="s">
        <v>20</v>
      </c>
      <c r="F734" t="s">
        <v>31</v>
      </c>
      <c r="G734">
        <v>150</v>
      </c>
      <c r="H734">
        <v>21</v>
      </c>
      <c r="I734" t="s">
        <v>14</v>
      </c>
      <c r="J734" t="str">
        <f>_xlfn.XLOOKUP(C734,'product_masterlist(ifs)'!A:A,'product_masterlist(ifs)'!C:C,"N/A",0)</f>
        <v>Contact Lenses</v>
      </c>
      <c r="K734">
        <f>VLOOKUP(C734,'product_masterlist(ifs)'!A:I,7,FALSE)</f>
        <v>120</v>
      </c>
    </row>
    <row r="735" spans="1:11" x14ac:dyDescent="0.35">
      <c r="A735" t="s">
        <v>997</v>
      </c>
      <c r="B735" s="1">
        <v>45696</v>
      </c>
      <c r="C735" t="s">
        <v>42</v>
      </c>
      <c r="D735">
        <v>11</v>
      </c>
      <c r="E735" t="s">
        <v>12</v>
      </c>
      <c r="F735" t="s">
        <v>31</v>
      </c>
      <c r="G735">
        <v>275</v>
      </c>
      <c r="H735">
        <v>21</v>
      </c>
      <c r="I735" t="s">
        <v>14</v>
      </c>
      <c r="J735" t="str">
        <f>_xlfn.XLOOKUP(C735,'product_masterlist(ifs)'!A:A,'product_masterlist(ifs)'!C:C,"N/A",0)</f>
        <v>Contact Lenses</v>
      </c>
      <c r="K735">
        <f>VLOOKUP(C735,'product_masterlist(ifs)'!A:I,7,FALSE)</f>
        <v>120</v>
      </c>
    </row>
    <row r="736" spans="1:11" x14ac:dyDescent="0.35">
      <c r="A736" t="s">
        <v>998</v>
      </c>
      <c r="B736" t="s">
        <v>999</v>
      </c>
      <c r="C736" t="s">
        <v>33</v>
      </c>
      <c r="D736">
        <v>14</v>
      </c>
      <c r="E736" t="s">
        <v>37</v>
      </c>
      <c r="F736" t="s">
        <v>31</v>
      </c>
      <c r="G736">
        <v>2100</v>
      </c>
      <c r="H736">
        <v>45</v>
      </c>
      <c r="I736" t="s">
        <v>34</v>
      </c>
      <c r="J736" t="str">
        <f>_xlfn.XLOOKUP(C736,'product_masterlist(ifs)'!A:A,'product_masterlist(ifs)'!C:C,"N/A",0)</f>
        <v>Surgical</v>
      </c>
      <c r="K736">
        <f>VLOOKUP(C736,'product_masterlist(ifs)'!A:I,7,FALSE)</f>
        <v>15</v>
      </c>
    </row>
    <row r="737" spans="1:11" x14ac:dyDescent="0.35">
      <c r="A737" t="s">
        <v>1000</v>
      </c>
      <c r="B737" s="1">
        <v>45962</v>
      </c>
      <c r="C737" t="s">
        <v>53</v>
      </c>
      <c r="D737">
        <v>15</v>
      </c>
      <c r="E737" t="s">
        <v>37</v>
      </c>
      <c r="F737" t="s">
        <v>18</v>
      </c>
      <c r="G737" t="s">
        <v>93</v>
      </c>
      <c r="H737">
        <v>7</v>
      </c>
      <c r="I737" t="s">
        <v>28</v>
      </c>
      <c r="J737" t="str">
        <f>_xlfn.XLOOKUP(C737,'product_masterlist(ifs)'!A:A,'product_masterlist(ifs)'!C:C,"N/A",0)</f>
        <v>Solutions</v>
      </c>
      <c r="K737">
        <f>VLOOKUP(C737,'product_masterlist(ifs)'!A:I,7,FALSE)</f>
        <v>800</v>
      </c>
    </row>
    <row r="738" spans="1:11" x14ac:dyDescent="0.35">
      <c r="A738" t="s">
        <v>1001</v>
      </c>
      <c r="B738" t="s">
        <v>39</v>
      </c>
      <c r="C738" t="s">
        <v>11</v>
      </c>
      <c r="D738">
        <v>24</v>
      </c>
      <c r="E738" t="s">
        <v>12</v>
      </c>
      <c r="F738" t="s">
        <v>31</v>
      </c>
      <c r="G738">
        <v>2040</v>
      </c>
      <c r="H738">
        <v>30</v>
      </c>
      <c r="I738" t="s">
        <v>14</v>
      </c>
      <c r="J738" t="str">
        <f>_xlfn.XLOOKUP(C738,'product_masterlist(ifs)'!A:A,'product_masterlist(ifs)'!C:C,"N/A",0)</f>
        <v>Surgical</v>
      </c>
      <c r="K738">
        <f>VLOOKUP(C738,'product_masterlist(ifs)'!A:I,7,FALSE)</f>
        <v>40</v>
      </c>
    </row>
    <row r="739" spans="1:11" x14ac:dyDescent="0.35">
      <c r="A739" t="s">
        <v>1002</v>
      </c>
      <c r="B739" t="s">
        <v>212</v>
      </c>
      <c r="C739" t="s">
        <v>11</v>
      </c>
      <c r="D739">
        <v>18</v>
      </c>
      <c r="E739" t="s">
        <v>12</v>
      </c>
      <c r="F739" t="s">
        <v>13</v>
      </c>
      <c r="G739">
        <v>1530</v>
      </c>
      <c r="H739">
        <v>30</v>
      </c>
      <c r="I739" t="s">
        <v>14</v>
      </c>
      <c r="J739" t="str">
        <f>_xlfn.XLOOKUP(C739,'product_masterlist(ifs)'!A:A,'product_masterlist(ifs)'!C:C,"N/A",0)</f>
        <v>Surgical</v>
      </c>
      <c r="K739">
        <f>VLOOKUP(C739,'product_masterlist(ifs)'!A:I,7,FALSE)</f>
        <v>40</v>
      </c>
    </row>
    <row r="740" spans="1:11" x14ac:dyDescent="0.35">
      <c r="A740" t="s">
        <v>1003</v>
      </c>
      <c r="B740" t="s">
        <v>345</v>
      </c>
      <c r="C740" t="s">
        <v>11</v>
      </c>
      <c r="D740">
        <v>18</v>
      </c>
      <c r="E740" t="s">
        <v>12</v>
      </c>
      <c r="F740" t="s">
        <v>18</v>
      </c>
      <c r="G740">
        <v>1530</v>
      </c>
      <c r="H740">
        <v>30</v>
      </c>
      <c r="I740" t="s">
        <v>14</v>
      </c>
      <c r="J740" t="str">
        <f>_xlfn.XLOOKUP(C740,'product_masterlist(ifs)'!A:A,'product_masterlist(ifs)'!C:C,"N/A",0)</f>
        <v>Surgical</v>
      </c>
      <c r="K740">
        <f>VLOOKUP(C740,'product_masterlist(ifs)'!A:I,7,FALSE)</f>
        <v>40</v>
      </c>
    </row>
    <row r="741" spans="1:11" x14ac:dyDescent="0.35">
      <c r="A741" t="s">
        <v>1004</v>
      </c>
      <c r="B741" s="1">
        <v>45993</v>
      </c>
      <c r="C741" t="s">
        <v>26</v>
      </c>
      <c r="D741">
        <v>16</v>
      </c>
      <c r="E741" t="s">
        <v>37</v>
      </c>
      <c r="F741" t="s">
        <v>13</v>
      </c>
      <c r="G741">
        <v>200</v>
      </c>
      <c r="H741">
        <v>14</v>
      </c>
      <c r="I741" t="s">
        <v>28</v>
      </c>
      <c r="J741" t="str">
        <f>_xlfn.XLOOKUP(C741,'product_masterlist(ifs)'!A:A,'product_masterlist(ifs)'!C:C,"N/A",0)</f>
        <v>Contact Lenses</v>
      </c>
      <c r="K741">
        <f>VLOOKUP(C741,'product_masterlist(ifs)'!A:I,7,FALSE)</f>
        <v>450</v>
      </c>
    </row>
    <row r="742" spans="1:11" x14ac:dyDescent="0.35">
      <c r="A742" t="s">
        <v>1005</v>
      </c>
      <c r="B742" t="s">
        <v>1006</v>
      </c>
      <c r="C742" t="s">
        <v>53</v>
      </c>
      <c r="D742">
        <v>6</v>
      </c>
      <c r="E742" t="s">
        <v>12</v>
      </c>
      <c r="F742" t="s">
        <v>31</v>
      </c>
      <c r="G742" t="s">
        <v>369</v>
      </c>
      <c r="H742">
        <v>7</v>
      </c>
      <c r="I742" t="s">
        <v>28</v>
      </c>
      <c r="J742" t="str">
        <f>_xlfn.XLOOKUP(C742,'product_masterlist(ifs)'!A:A,'product_masterlist(ifs)'!C:C,"N/A",0)</f>
        <v>Solutions</v>
      </c>
      <c r="K742">
        <f>VLOOKUP(C742,'product_masterlist(ifs)'!A:I,7,FALSE)</f>
        <v>800</v>
      </c>
    </row>
    <row r="743" spans="1:11" x14ac:dyDescent="0.35">
      <c r="A743" t="s">
        <v>1007</v>
      </c>
      <c r="B743" t="s">
        <v>165</v>
      </c>
      <c r="C743" t="s">
        <v>53</v>
      </c>
      <c r="D743">
        <v>5</v>
      </c>
      <c r="E743" t="s">
        <v>37</v>
      </c>
      <c r="F743" t="s">
        <v>13</v>
      </c>
      <c r="G743" t="s">
        <v>854</v>
      </c>
      <c r="H743">
        <v>7</v>
      </c>
      <c r="I743" t="s">
        <v>28</v>
      </c>
      <c r="J743" t="str">
        <f>_xlfn.XLOOKUP(C743,'product_masterlist(ifs)'!A:A,'product_masterlist(ifs)'!C:C,"N/A",0)</f>
        <v>Solutions</v>
      </c>
      <c r="K743">
        <f>VLOOKUP(C743,'product_masterlist(ifs)'!A:I,7,FALSE)</f>
        <v>800</v>
      </c>
    </row>
    <row r="744" spans="1:11" x14ac:dyDescent="0.35">
      <c r="A744" t="s">
        <v>1008</v>
      </c>
      <c r="B744" t="s">
        <v>503</v>
      </c>
      <c r="C744" t="s">
        <v>42</v>
      </c>
      <c r="D744">
        <v>13</v>
      </c>
      <c r="E744" t="s">
        <v>37</v>
      </c>
      <c r="F744" t="s">
        <v>31</v>
      </c>
      <c r="G744">
        <v>325</v>
      </c>
      <c r="H744">
        <v>21</v>
      </c>
      <c r="I744" t="s">
        <v>14</v>
      </c>
      <c r="J744" t="str">
        <f>_xlfn.XLOOKUP(C744,'product_masterlist(ifs)'!A:A,'product_masterlist(ifs)'!C:C,"N/A",0)</f>
        <v>Contact Lenses</v>
      </c>
      <c r="K744">
        <f>VLOOKUP(C744,'product_masterlist(ifs)'!A:I,7,FALSE)</f>
        <v>120</v>
      </c>
    </row>
    <row r="745" spans="1:11" x14ac:dyDescent="0.35">
      <c r="A745" t="s">
        <v>1009</v>
      </c>
      <c r="B745" s="1">
        <v>45700</v>
      </c>
      <c r="C745" t="s">
        <v>42</v>
      </c>
      <c r="D745">
        <v>18</v>
      </c>
      <c r="E745" t="s">
        <v>22</v>
      </c>
      <c r="F745" t="s">
        <v>31</v>
      </c>
      <c r="G745">
        <v>450</v>
      </c>
      <c r="H745">
        <v>21</v>
      </c>
      <c r="I745" t="s">
        <v>14</v>
      </c>
      <c r="J745" t="str">
        <f>_xlfn.XLOOKUP(C745,'product_masterlist(ifs)'!A:A,'product_masterlist(ifs)'!C:C,"N/A",0)</f>
        <v>Contact Lenses</v>
      </c>
      <c r="K745">
        <f>VLOOKUP(C745,'product_masterlist(ifs)'!A:I,7,FALSE)</f>
        <v>120</v>
      </c>
    </row>
    <row r="746" spans="1:11" x14ac:dyDescent="0.35">
      <c r="A746" t="s">
        <v>1010</v>
      </c>
      <c r="B746" t="s">
        <v>352</v>
      </c>
      <c r="C746" t="s">
        <v>33</v>
      </c>
      <c r="D746">
        <v>9</v>
      </c>
      <c r="E746" t="s">
        <v>37</v>
      </c>
      <c r="F746" t="s">
        <v>23</v>
      </c>
      <c r="G746">
        <v>1350</v>
      </c>
      <c r="H746">
        <v>45</v>
      </c>
      <c r="I746" t="s">
        <v>34</v>
      </c>
      <c r="J746" t="str">
        <f>_xlfn.XLOOKUP(C746,'product_masterlist(ifs)'!A:A,'product_masterlist(ifs)'!C:C,"N/A",0)</f>
        <v>Surgical</v>
      </c>
      <c r="K746">
        <f>VLOOKUP(C746,'product_masterlist(ifs)'!A:I,7,FALSE)</f>
        <v>15</v>
      </c>
    </row>
    <row r="747" spans="1:11" x14ac:dyDescent="0.35">
      <c r="A747" t="s">
        <v>1011</v>
      </c>
      <c r="B747" t="s">
        <v>208</v>
      </c>
      <c r="C747" t="s">
        <v>42</v>
      </c>
      <c r="D747">
        <v>11</v>
      </c>
      <c r="E747" t="s">
        <v>37</v>
      </c>
      <c r="F747" t="s">
        <v>23</v>
      </c>
      <c r="G747">
        <v>275</v>
      </c>
      <c r="H747">
        <v>21</v>
      </c>
      <c r="I747" t="s">
        <v>14</v>
      </c>
      <c r="J747" t="str">
        <f>_xlfn.XLOOKUP(C747,'product_masterlist(ifs)'!A:A,'product_masterlist(ifs)'!C:C,"N/A",0)</f>
        <v>Contact Lenses</v>
      </c>
      <c r="K747">
        <f>VLOOKUP(C747,'product_masterlist(ifs)'!A:I,7,FALSE)</f>
        <v>120</v>
      </c>
    </row>
    <row r="748" spans="1:11" x14ac:dyDescent="0.35">
      <c r="A748" t="s">
        <v>1012</v>
      </c>
      <c r="B748" s="1">
        <v>45788</v>
      </c>
      <c r="C748" t="s">
        <v>33</v>
      </c>
      <c r="D748">
        <v>17</v>
      </c>
      <c r="E748" t="s">
        <v>22</v>
      </c>
      <c r="F748" t="s">
        <v>13</v>
      </c>
      <c r="G748">
        <v>2550</v>
      </c>
      <c r="H748">
        <v>45</v>
      </c>
      <c r="I748" t="s">
        <v>34</v>
      </c>
      <c r="J748" t="str">
        <f>_xlfn.XLOOKUP(C748,'product_masterlist(ifs)'!A:A,'product_masterlist(ifs)'!C:C,"N/A",0)</f>
        <v>Surgical</v>
      </c>
      <c r="K748">
        <f>VLOOKUP(C748,'product_masterlist(ifs)'!A:I,7,FALSE)</f>
        <v>15</v>
      </c>
    </row>
    <row r="749" spans="1:11" x14ac:dyDescent="0.35">
      <c r="A749" t="s">
        <v>1013</v>
      </c>
      <c r="B749" s="1">
        <v>45697</v>
      </c>
      <c r="C749" t="s">
        <v>11</v>
      </c>
      <c r="D749">
        <v>1</v>
      </c>
      <c r="E749" t="s">
        <v>12</v>
      </c>
      <c r="F749" t="s">
        <v>18</v>
      </c>
      <c r="G749">
        <v>85</v>
      </c>
      <c r="H749">
        <v>30</v>
      </c>
      <c r="I749" t="s">
        <v>14</v>
      </c>
      <c r="J749" t="str">
        <f>_xlfn.XLOOKUP(C749,'product_masterlist(ifs)'!A:A,'product_masterlist(ifs)'!C:C,"N/A",0)</f>
        <v>Surgical</v>
      </c>
      <c r="K749">
        <f>VLOOKUP(C749,'product_masterlist(ifs)'!A:I,7,FALSE)</f>
        <v>40</v>
      </c>
    </row>
    <row r="750" spans="1:11" x14ac:dyDescent="0.35">
      <c r="A750" t="s">
        <v>1014</v>
      </c>
      <c r="B750" t="s">
        <v>475</v>
      </c>
      <c r="C750" t="s">
        <v>26</v>
      </c>
      <c r="D750">
        <v>3</v>
      </c>
      <c r="E750" t="s">
        <v>12</v>
      </c>
      <c r="F750" t="s">
        <v>13</v>
      </c>
      <c r="G750" t="s">
        <v>40</v>
      </c>
      <c r="H750">
        <v>14</v>
      </c>
      <c r="I750" t="s">
        <v>28</v>
      </c>
      <c r="J750" t="str">
        <f>_xlfn.XLOOKUP(C750,'product_masterlist(ifs)'!A:A,'product_masterlist(ifs)'!C:C,"N/A",0)</f>
        <v>Contact Lenses</v>
      </c>
      <c r="K750">
        <f>VLOOKUP(C750,'product_masterlist(ifs)'!A:I,7,FALSE)</f>
        <v>450</v>
      </c>
    </row>
    <row r="751" spans="1:11" x14ac:dyDescent="0.35">
      <c r="A751" t="s">
        <v>1015</v>
      </c>
      <c r="B751" t="s">
        <v>1016</v>
      </c>
      <c r="C751" t="s">
        <v>33</v>
      </c>
      <c r="D751">
        <v>1</v>
      </c>
      <c r="E751" t="s">
        <v>22</v>
      </c>
      <c r="F751" t="s">
        <v>13</v>
      </c>
      <c r="G751">
        <v>150</v>
      </c>
      <c r="H751">
        <v>45</v>
      </c>
      <c r="I751" t="s">
        <v>34</v>
      </c>
      <c r="J751" t="str">
        <f>_xlfn.XLOOKUP(C751,'product_masterlist(ifs)'!A:A,'product_masterlist(ifs)'!C:C,"N/A",0)</f>
        <v>Surgical</v>
      </c>
      <c r="K751">
        <f>VLOOKUP(C751,'product_masterlist(ifs)'!A:I,7,FALSE)</f>
        <v>15</v>
      </c>
    </row>
    <row r="752" spans="1:11" x14ac:dyDescent="0.35">
      <c r="A752" t="s">
        <v>1017</v>
      </c>
      <c r="B752" t="s">
        <v>451</v>
      </c>
      <c r="C752" t="s">
        <v>53</v>
      </c>
      <c r="D752">
        <v>3</v>
      </c>
      <c r="E752" t="s">
        <v>12</v>
      </c>
      <c r="F752" t="s">
        <v>31</v>
      </c>
      <c r="G752" t="s">
        <v>278</v>
      </c>
      <c r="H752">
        <v>7</v>
      </c>
      <c r="I752" t="s">
        <v>28</v>
      </c>
      <c r="J752" t="str">
        <f>_xlfn.XLOOKUP(C752,'product_masterlist(ifs)'!A:A,'product_masterlist(ifs)'!C:C,"N/A",0)</f>
        <v>Solutions</v>
      </c>
      <c r="K752">
        <f>VLOOKUP(C752,'product_masterlist(ifs)'!A:I,7,FALSE)</f>
        <v>800</v>
      </c>
    </row>
    <row r="753" spans="1:11" x14ac:dyDescent="0.35">
      <c r="A753" t="s">
        <v>1018</v>
      </c>
      <c r="B753" s="1">
        <v>45758</v>
      </c>
      <c r="C753" t="s">
        <v>33</v>
      </c>
      <c r="D753">
        <v>15</v>
      </c>
      <c r="E753" t="s">
        <v>22</v>
      </c>
      <c r="F753" t="s">
        <v>23</v>
      </c>
      <c r="G753">
        <v>2250</v>
      </c>
      <c r="H753">
        <v>45</v>
      </c>
      <c r="I753" t="s">
        <v>34</v>
      </c>
      <c r="J753" t="str">
        <f>_xlfn.XLOOKUP(C753,'product_masterlist(ifs)'!A:A,'product_masterlist(ifs)'!C:C,"N/A",0)</f>
        <v>Surgical</v>
      </c>
      <c r="K753">
        <f>VLOOKUP(C753,'product_masterlist(ifs)'!A:I,7,FALSE)</f>
        <v>15</v>
      </c>
    </row>
    <row r="754" spans="1:11" x14ac:dyDescent="0.35">
      <c r="A754" t="s">
        <v>1019</v>
      </c>
      <c r="B754" t="s">
        <v>975</v>
      </c>
      <c r="C754" t="s">
        <v>90</v>
      </c>
      <c r="D754">
        <v>12</v>
      </c>
      <c r="E754" t="s">
        <v>37</v>
      </c>
      <c r="F754" t="s">
        <v>23</v>
      </c>
      <c r="G754">
        <v>582</v>
      </c>
      <c r="H754">
        <v>30</v>
      </c>
      <c r="I754" t="s">
        <v>14</v>
      </c>
      <c r="J754" t="str">
        <f>_xlfn.XLOOKUP(C754,'product_masterlist(ifs)'!A:A,'product_masterlist(ifs)'!C:C,"N/A",0)</f>
        <v>Frames</v>
      </c>
      <c r="K754">
        <f>VLOOKUP(C754,'product_masterlist(ifs)'!A:I,7,FALSE)</f>
        <v>180</v>
      </c>
    </row>
    <row r="755" spans="1:11" x14ac:dyDescent="0.35">
      <c r="A755" t="s">
        <v>1020</v>
      </c>
      <c r="B755" t="s">
        <v>1021</v>
      </c>
      <c r="C755" t="s">
        <v>42</v>
      </c>
      <c r="D755">
        <v>18</v>
      </c>
      <c r="E755" t="s">
        <v>12</v>
      </c>
      <c r="F755" t="s">
        <v>23</v>
      </c>
      <c r="G755">
        <v>450</v>
      </c>
      <c r="H755">
        <v>21</v>
      </c>
      <c r="I755" t="s">
        <v>14</v>
      </c>
      <c r="J755" t="str">
        <f>_xlfn.XLOOKUP(C755,'product_masterlist(ifs)'!A:A,'product_masterlist(ifs)'!C:C,"N/A",0)</f>
        <v>Contact Lenses</v>
      </c>
      <c r="K755">
        <f>VLOOKUP(C755,'product_masterlist(ifs)'!A:I,7,FALSE)</f>
        <v>120</v>
      </c>
    </row>
    <row r="756" spans="1:11" x14ac:dyDescent="0.35">
      <c r="A756" t="s">
        <v>1022</v>
      </c>
      <c r="B756" t="s">
        <v>379</v>
      </c>
      <c r="C756" t="s">
        <v>26</v>
      </c>
      <c r="D756">
        <v>17</v>
      </c>
      <c r="E756" t="s">
        <v>37</v>
      </c>
      <c r="F756" t="s">
        <v>31</v>
      </c>
      <c r="G756" t="s">
        <v>152</v>
      </c>
      <c r="H756">
        <v>14</v>
      </c>
      <c r="I756" t="s">
        <v>28</v>
      </c>
      <c r="J756" t="str">
        <f>_xlfn.XLOOKUP(C756,'product_masterlist(ifs)'!A:A,'product_masterlist(ifs)'!C:C,"N/A",0)</f>
        <v>Contact Lenses</v>
      </c>
      <c r="K756">
        <f>VLOOKUP(C756,'product_masterlist(ifs)'!A:I,7,FALSE)</f>
        <v>450</v>
      </c>
    </row>
    <row r="757" spans="1:11" x14ac:dyDescent="0.35">
      <c r="A757" t="s">
        <v>1023</v>
      </c>
      <c r="B757" s="1">
        <v>45748</v>
      </c>
      <c r="C757" t="s">
        <v>90</v>
      </c>
      <c r="D757">
        <v>10</v>
      </c>
      <c r="E757" t="s">
        <v>20</v>
      </c>
      <c r="F757" t="s">
        <v>13</v>
      </c>
      <c r="G757">
        <v>485</v>
      </c>
      <c r="H757">
        <v>30</v>
      </c>
      <c r="I757" t="s">
        <v>14</v>
      </c>
      <c r="J757" t="str">
        <f>_xlfn.XLOOKUP(C757,'product_masterlist(ifs)'!A:A,'product_masterlist(ifs)'!C:C,"N/A",0)</f>
        <v>Frames</v>
      </c>
      <c r="K757">
        <f>VLOOKUP(C757,'product_masterlist(ifs)'!A:I,7,FALSE)</f>
        <v>180</v>
      </c>
    </row>
    <row r="758" spans="1:11" x14ac:dyDescent="0.35">
      <c r="A758" t="s">
        <v>1024</v>
      </c>
      <c r="B758" s="1">
        <v>45664</v>
      </c>
      <c r="C758" t="s">
        <v>26</v>
      </c>
      <c r="D758">
        <v>3</v>
      </c>
      <c r="E758" t="s">
        <v>37</v>
      </c>
      <c r="F758" t="s">
        <v>13</v>
      </c>
      <c r="G758" t="s">
        <v>40</v>
      </c>
      <c r="H758">
        <v>14</v>
      </c>
      <c r="I758" t="s">
        <v>28</v>
      </c>
      <c r="J758" t="str">
        <f>_xlfn.XLOOKUP(C758,'product_masterlist(ifs)'!A:A,'product_masterlist(ifs)'!C:C,"N/A",0)</f>
        <v>Contact Lenses</v>
      </c>
      <c r="K758">
        <f>VLOOKUP(C758,'product_masterlist(ifs)'!A:I,7,FALSE)</f>
        <v>450</v>
      </c>
    </row>
    <row r="759" spans="1:11" x14ac:dyDescent="0.35">
      <c r="A759" t="s">
        <v>1025</v>
      </c>
      <c r="B759" t="s">
        <v>716</v>
      </c>
      <c r="C759" t="s">
        <v>11</v>
      </c>
      <c r="D759">
        <v>13</v>
      </c>
      <c r="E759" t="s">
        <v>37</v>
      </c>
      <c r="F759" t="s">
        <v>31</v>
      </c>
      <c r="G759">
        <v>1105</v>
      </c>
      <c r="H759">
        <v>30</v>
      </c>
      <c r="I759" t="s">
        <v>14</v>
      </c>
      <c r="J759" t="str">
        <f>_xlfn.XLOOKUP(C759,'product_masterlist(ifs)'!A:A,'product_masterlist(ifs)'!C:C,"N/A",0)</f>
        <v>Surgical</v>
      </c>
      <c r="K759">
        <f>VLOOKUP(C759,'product_masterlist(ifs)'!A:I,7,FALSE)</f>
        <v>40</v>
      </c>
    </row>
    <row r="760" spans="1:11" x14ac:dyDescent="0.35">
      <c r="A760" t="s">
        <v>1026</v>
      </c>
      <c r="B760" t="s">
        <v>888</v>
      </c>
      <c r="C760" t="s">
        <v>26</v>
      </c>
      <c r="D760">
        <v>5</v>
      </c>
      <c r="E760" t="s">
        <v>12</v>
      </c>
      <c r="F760" t="s">
        <v>18</v>
      </c>
      <c r="G760" t="s">
        <v>155</v>
      </c>
      <c r="H760">
        <v>14</v>
      </c>
      <c r="I760" t="s">
        <v>28</v>
      </c>
      <c r="J760" t="str">
        <f>_xlfn.XLOOKUP(C760,'product_masterlist(ifs)'!A:A,'product_masterlist(ifs)'!C:C,"N/A",0)</f>
        <v>Contact Lenses</v>
      </c>
      <c r="K760">
        <f>VLOOKUP(C760,'product_masterlist(ifs)'!A:I,7,FALSE)</f>
        <v>450</v>
      </c>
    </row>
    <row r="761" spans="1:11" x14ac:dyDescent="0.35">
      <c r="A761" t="s">
        <v>1027</v>
      </c>
      <c r="B761" s="1">
        <v>45901</v>
      </c>
      <c r="C761" t="s">
        <v>33</v>
      </c>
      <c r="D761">
        <v>18</v>
      </c>
      <c r="E761" t="s">
        <v>37</v>
      </c>
      <c r="F761" t="s">
        <v>31</v>
      </c>
      <c r="G761">
        <v>2700</v>
      </c>
      <c r="H761">
        <v>45</v>
      </c>
      <c r="I761" t="s">
        <v>34</v>
      </c>
      <c r="J761" t="str">
        <f>_xlfn.XLOOKUP(C761,'product_masterlist(ifs)'!A:A,'product_masterlist(ifs)'!C:C,"N/A",0)</f>
        <v>Surgical</v>
      </c>
      <c r="K761">
        <f>VLOOKUP(C761,'product_masterlist(ifs)'!A:I,7,FALSE)</f>
        <v>15</v>
      </c>
    </row>
    <row r="762" spans="1:11" x14ac:dyDescent="0.35">
      <c r="A762" t="s">
        <v>1028</v>
      </c>
      <c r="B762" t="s">
        <v>233</v>
      </c>
      <c r="C762" t="s">
        <v>42</v>
      </c>
      <c r="D762">
        <v>3</v>
      </c>
      <c r="E762" t="s">
        <v>22</v>
      </c>
      <c r="F762" t="s">
        <v>13</v>
      </c>
      <c r="G762">
        <v>75</v>
      </c>
      <c r="H762">
        <v>21</v>
      </c>
      <c r="I762" t="s">
        <v>14</v>
      </c>
      <c r="J762" t="str">
        <f>_xlfn.XLOOKUP(C762,'product_masterlist(ifs)'!A:A,'product_masterlist(ifs)'!C:C,"N/A",0)</f>
        <v>Contact Lenses</v>
      </c>
      <c r="K762">
        <f>VLOOKUP(C762,'product_masterlist(ifs)'!A:I,7,FALSE)</f>
        <v>120</v>
      </c>
    </row>
    <row r="763" spans="1:11" x14ac:dyDescent="0.35">
      <c r="A763" t="s">
        <v>1029</v>
      </c>
      <c r="B763" t="s">
        <v>289</v>
      </c>
      <c r="C763" t="s">
        <v>17</v>
      </c>
      <c r="D763">
        <v>1</v>
      </c>
      <c r="E763" t="s">
        <v>20</v>
      </c>
      <c r="F763" t="s">
        <v>23</v>
      </c>
      <c r="G763">
        <v>45</v>
      </c>
      <c r="H763">
        <v>30</v>
      </c>
      <c r="I763" t="s">
        <v>14</v>
      </c>
      <c r="J763" t="str">
        <f>_xlfn.XLOOKUP(C763,'product_masterlist(ifs)'!A:A,'product_masterlist(ifs)'!C:C,"N/A",0)</f>
        <v>Frames</v>
      </c>
      <c r="K763">
        <f>VLOOKUP(C763,'product_masterlist(ifs)'!A:I,7,FALSE)</f>
        <v>45</v>
      </c>
    </row>
    <row r="764" spans="1:11" x14ac:dyDescent="0.35">
      <c r="A764" t="s">
        <v>1030</v>
      </c>
      <c r="B764" s="1">
        <v>45877</v>
      </c>
      <c r="C764" t="s">
        <v>26</v>
      </c>
      <c r="D764">
        <v>5</v>
      </c>
      <c r="E764" t="s">
        <v>20</v>
      </c>
      <c r="F764" t="s">
        <v>18</v>
      </c>
      <c r="G764" t="s">
        <v>155</v>
      </c>
      <c r="H764">
        <v>14</v>
      </c>
      <c r="I764" t="s">
        <v>28</v>
      </c>
      <c r="J764" t="str">
        <f>_xlfn.XLOOKUP(C764,'product_masterlist(ifs)'!A:A,'product_masterlist(ifs)'!C:C,"N/A",0)</f>
        <v>Contact Lenses</v>
      </c>
      <c r="K764">
        <f>VLOOKUP(C764,'product_masterlist(ifs)'!A:I,7,FALSE)</f>
        <v>450</v>
      </c>
    </row>
    <row r="765" spans="1:11" x14ac:dyDescent="0.35">
      <c r="A765" t="s">
        <v>1031</v>
      </c>
      <c r="B765" s="1">
        <v>45839</v>
      </c>
      <c r="C765" t="s">
        <v>53</v>
      </c>
      <c r="D765">
        <v>11</v>
      </c>
      <c r="E765" t="s">
        <v>22</v>
      </c>
      <c r="F765" t="s">
        <v>18</v>
      </c>
      <c r="G765" t="s">
        <v>240</v>
      </c>
      <c r="H765">
        <v>7</v>
      </c>
      <c r="I765" t="s">
        <v>28</v>
      </c>
      <c r="J765" t="str">
        <f>_xlfn.XLOOKUP(C765,'product_masterlist(ifs)'!A:A,'product_masterlist(ifs)'!C:C,"N/A",0)</f>
        <v>Solutions</v>
      </c>
      <c r="K765">
        <f>VLOOKUP(C765,'product_masterlist(ifs)'!A:I,7,FALSE)</f>
        <v>800</v>
      </c>
    </row>
    <row r="766" spans="1:11" x14ac:dyDescent="0.35">
      <c r="A766" t="s">
        <v>1032</v>
      </c>
      <c r="B766" s="1">
        <v>45879</v>
      </c>
      <c r="C766" t="s">
        <v>33</v>
      </c>
      <c r="D766">
        <v>11</v>
      </c>
      <c r="E766" t="s">
        <v>37</v>
      </c>
      <c r="F766" t="s">
        <v>13</v>
      </c>
      <c r="G766">
        <v>1650</v>
      </c>
      <c r="H766">
        <v>45</v>
      </c>
      <c r="I766" t="s">
        <v>34</v>
      </c>
      <c r="J766" t="str">
        <f>_xlfn.XLOOKUP(C766,'product_masterlist(ifs)'!A:A,'product_masterlist(ifs)'!C:C,"N/A",0)</f>
        <v>Surgical</v>
      </c>
      <c r="K766">
        <f>VLOOKUP(C766,'product_masterlist(ifs)'!A:I,7,FALSE)</f>
        <v>15</v>
      </c>
    </row>
    <row r="767" spans="1:11" x14ac:dyDescent="0.35">
      <c r="A767" t="s">
        <v>1033</v>
      </c>
      <c r="B767" t="s">
        <v>1034</v>
      </c>
      <c r="C767" t="s">
        <v>11</v>
      </c>
      <c r="D767">
        <v>13</v>
      </c>
      <c r="E767" t="s">
        <v>22</v>
      </c>
      <c r="F767" t="s">
        <v>18</v>
      </c>
      <c r="G767">
        <v>1105</v>
      </c>
      <c r="H767">
        <v>30</v>
      </c>
      <c r="I767" t="s">
        <v>14</v>
      </c>
      <c r="J767" t="str">
        <f>_xlfn.XLOOKUP(C767,'product_masterlist(ifs)'!A:A,'product_masterlist(ifs)'!C:C,"N/A",0)</f>
        <v>Surgical</v>
      </c>
      <c r="K767">
        <f>VLOOKUP(C767,'product_masterlist(ifs)'!A:I,7,FALSE)</f>
        <v>40</v>
      </c>
    </row>
    <row r="768" spans="1:11" x14ac:dyDescent="0.35">
      <c r="A768" t="s">
        <v>1035</v>
      </c>
      <c r="B768" t="s">
        <v>246</v>
      </c>
      <c r="C768" t="s">
        <v>17</v>
      </c>
      <c r="D768">
        <v>12</v>
      </c>
      <c r="E768" t="s">
        <v>22</v>
      </c>
      <c r="F768" t="s">
        <v>23</v>
      </c>
      <c r="G768">
        <v>540</v>
      </c>
      <c r="H768">
        <v>30</v>
      </c>
      <c r="I768" t="s">
        <v>14</v>
      </c>
      <c r="J768" t="str">
        <f>_xlfn.XLOOKUP(C768,'product_masterlist(ifs)'!A:A,'product_masterlist(ifs)'!C:C,"N/A",0)</f>
        <v>Frames</v>
      </c>
      <c r="K768">
        <f>VLOOKUP(C768,'product_masterlist(ifs)'!A:I,7,FALSE)</f>
        <v>45</v>
      </c>
    </row>
    <row r="769" spans="1:11" x14ac:dyDescent="0.35">
      <c r="A769" t="s">
        <v>1036</v>
      </c>
      <c r="B769" t="s">
        <v>129</v>
      </c>
      <c r="C769" t="s">
        <v>90</v>
      </c>
      <c r="D769">
        <v>24</v>
      </c>
      <c r="E769" t="s">
        <v>20</v>
      </c>
      <c r="F769" t="s">
        <v>23</v>
      </c>
      <c r="G769">
        <v>1164</v>
      </c>
      <c r="H769">
        <v>30</v>
      </c>
      <c r="I769" t="s">
        <v>14</v>
      </c>
      <c r="J769" t="str">
        <f>_xlfn.XLOOKUP(C769,'product_masterlist(ifs)'!A:A,'product_masterlist(ifs)'!C:C,"N/A",0)</f>
        <v>Frames</v>
      </c>
      <c r="K769">
        <f>VLOOKUP(C769,'product_masterlist(ifs)'!A:I,7,FALSE)</f>
        <v>180</v>
      </c>
    </row>
    <row r="770" spans="1:11" x14ac:dyDescent="0.35">
      <c r="A770" t="s">
        <v>1037</v>
      </c>
      <c r="B770" t="s">
        <v>168</v>
      </c>
      <c r="C770" t="s">
        <v>53</v>
      </c>
      <c r="D770">
        <v>6</v>
      </c>
      <c r="E770" t="s">
        <v>37</v>
      </c>
      <c r="F770" t="s">
        <v>31</v>
      </c>
      <c r="G770" t="s">
        <v>369</v>
      </c>
      <c r="H770">
        <v>7</v>
      </c>
      <c r="I770" t="s">
        <v>28</v>
      </c>
      <c r="J770" t="str">
        <f>_xlfn.XLOOKUP(C770,'product_masterlist(ifs)'!A:A,'product_masterlist(ifs)'!C:C,"N/A",0)</f>
        <v>Solutions</v>
      </c>
      <c r="K770">
        <f>VLOOKUP(C770,'product_masterlist(ifs)'!A:I,7,FALSE)</f>
        <v>800</v>
      </c>
    </row>
    <row r="771" spans="1:11" x14ac:dyDescent="0.35">
      <c r="A771" t="s">
        <v>1038</v>
      </c>
      <c r="B771" s="1">
        <v>45781</v>
      </c>
      <c r="C771" t="s">
        <v>53</v>
      </c>
      <c r="D771">
        <v>24</v>
      </c>
      <c r="E771" t="s">
        <v>22</v>
      </c>
      <c r="F771" t="s">
        <v>18</v>
      </c>
      <c r="G771">
        <v>102</v>
      </c>
      <c r="H771">
        <v>7</v>
      </c>
      <c r="I771" t="s">
        <v>28</v>
      </c>
      <c r="J771" t="str">
        <f>_xlfn.XLOOKUP(C771,'product_masterlist(ifs)'!A:A,'product_masterlist(ifs)'!C:C,"N/A",0)</f>
        <v>Solutions</v>
      </c>
      <c r="K771">
        <f>VLOOKUP(C771,'product_masterlist(ifs)'!A:I,7,FALSE)</f>
        <v>800</v>
      </c>
    </row>
    <row r="772" spans="1:11" x14ac:dyDescent="0.35">
      <c r="A772" t="s">
        <v>1039</v>
      </c>
      <c r="B772" s="1">
        <v>45819</v>
      </c>
      <c r="C772" t="s">
        <v>11</v>
      </c>
      <c r="D772">
        <v>21</v>
      </c>
      <c r="E772" t="s">
        <v>12</v>
      </c>
      <c r="F772" t="s">
        <v>18</v>
      </c>
      <c r="G772">
        <v>1785</v>
      </c>
      <c r="H772">
        <v>30</v>
      </c>
      <c r="I772" t="s">
        <v>14</v>
      </c>
      <c r="J772" t="str">
        <f>_xlfn.XLOOKUP(C772,'product_masterlist(ifs)'!A:A,'product_masterlist(ifs)'!C:C,"N/A",0)</f>
        <v>Surgical</v>
      </c>
      <c r="K772">
        <f>VLOOKUP(C772,'product_masterlist(ifs)'!A:I,7,FALSE)</f>
        <v>40</v>
      </c>
    </row>
    <row r="773" spans="1:11" x14ac:dyDescent="0.35">
      <c r="A773" t="s">
        <v>1040</v>
      </c>
      <c r="B773" t="s">
        <v>293</v>
      </c>
      <c r="C773" t="s">
        <v>17</v>
      </c>
      <c r="D773">
        <v>21</v>
      </c>
      <c r="E773" t="s">
        <v>20</v>
      </c>
      <c r="F773" t="s">
        <v>23</v>
      </c>
      <c r="G773">
        <v>945</v>
      </c>
      <c r="H773">
        <v>30</v>
      </c>
      <c r="I773" t="s">
        <v>14</v>
      </c>
      <c r="J773" t="str">
        <f>_xlfn.XLOOKUP(C773,'product_masterlist(ifs)'!A:A,'product_masterlist(ifs)'!C:C,"N/A",0)</f>
        <v>Frames</v>
      </c>
      <c r="K773">
        <f>VLOOKUP(C773,'product_masterlist(ifs)'!A:I,7,FALSE)</f>
        <v>45</v>
      </c>
    </row>
    <row r="774" spans="1:11" x14ac:dyDescent="0.35">
      <c r="A774" t="s">
        <v>1041</v>
      </c>
      <c r="B774" t="s">
        <v>10</v>
      </c>
      <c r="C774" t="s">
        <v>90</v>
      </c>
      <c r="D774">
        <v>9</v>
      </c>
      <c r="E774" t="s">
        <v>20</v>
      </c>
      <c r="F774" t="s">
        <v>31</v>
      </c>
      <c r="G774" t="s">
        <v>91</v>
      </c>
      <c r="H774">
        <v>30</v>
      </c>
      <c r="I774" t="s">
        <v>14</v>
      </c>
      <c r="J774" t="str">
        <f>_xlfn.XLOOKUP(C774,'product_masterlist(ifs)'!A:A,'product_masterlist(ifs)'!C:C,"N/A",0)</f>
        <v>Frames</v>
      </c>
      <c r="K774">
        <f>VLOOKUP(C774,'product_masterlist(ifs)'!A:I,7,FALSE)</f>
        <v>180</v>
      </c>
    </row>
    <row r="775" spans="1:11" x14ac:dyDescent="0.35">
      <c r="A775" t="s">
        <v>1042</v>
      </c>
      <c r="B775" t="s">
        <v>999</v>
      </c>
      <c r="C775" t="s">
        <v>53</v>
      </c>
      <c r="D775">
        <v>2</v>
      </c>
      <c r="E775" t="s">
        <v>20</v>
      </c>
      <c r="F775" t="s">
        <v>13</v>
      </c>
      <c r="G775" t="s">
        <v>291</v>
      </c>
      <c r="H775">
        <v>7</v>
      </c>
      <c r="I775" t="s">
        <v>28</v>
      </c>
      <c r="J775" t="str">
        <f>_xlfn.XLOOKUP(C775,'product_masterlist(ifs)'!A:A,'product_masterlist(ifs)'!C:C,"N/A",0)</f>
        <v>Solutions</v>
      </c>
      <c r="K775">
        <f>VLOOKUP(C775,'product_masterlist(ifs)'!A:I,7,FALSE)</f>
        <v>800</v>
      </c>
    </row>
    <row r="776" spans="1:11" x14ac:dyDescent="0.35">
      <c r="A776" t="s">
        <v>1043</v>
      </c>
      <c r="B776" t="s">
        <v>302</v>
      </c>
      <c r="C776" t="s">
        <v>90</v>
      </c>
      <c r="D776">
        <v>13</v>
      </c>
      <c r="E776" t="s">
        <v>22</v>
      </c>
      <c r="F776" t="s">
        <v>31</v>
      </c>
      <c r="G776" t="s">
        <v>262</v>
      </c>
      <c r="H776">
        <v>30</v>
      </c>
      <c r="I776" t="s">
        <v>14</v>
      </c>
      <c r="J776" t="str">
        <f>_xlfn.XLOOKUP(C776,'product_masterlist(ifs)'!A:A,'product_masterlist(ifs)'!C:C,"N/A",0)</f>
        <v>Frames</v>
      </c>
      <c r="K776">
        <f>VLOOKUP(C776,'product_masterlist(ifs)'!A:I,7,FALSE)</f>
        <v>180</v>
      </c>
    </row>
    <row r="777" spans="1:11" x14ac:dyDescent="0.35">
      <c r="A777" t="s">
        <v>1044</v>
      </c>
      <c r="B777" s="1">
        <v>45850</v>
      </c>
      <c r="C777" t="s">
        <v>90</v>
      </c>
      <c r="D777">
        <v>16</v>
      </c>
      <c r="E777" t="s">
        <v>20</v>
      </c>
      <c r="F777" t="s">
        <v>31</v>
      </c>
      <c r="G777">
        <v>776</v>
      </c>
      <c r="H777">
        <v>30</v>
      </c>
      <c r="I777" t="s">
        <v>14</v>
      </c>
      <c r="J777" t="str">
        <f>_xlfn.XLOOKUP(C777,'product_masterlist(ifs)'!A:A,'product_masterlist(ifs)'!C:C,"N/A",0)</f>
        <v>Frames</v>
      </c>
      <c r="K777">
        <f>VLOOKUP(C777,'product_masterlist(ifs)'!A:I,7,FALSE)</f>
        <v>180</v>
      </c>
    </row>
    <row r="778" spans="1:11" x14ac:dyDescent="0.35">
      <c r="A778" t="s">
        <v>1045</v>
      </c>
      <c r="B778" t="s">
        <v>475</v>
      </c>
      <c r="C778" t="s">
        <v>42</v>
      </c>
      <c r="D778">
        <v>8</v>
      </c>
      <c r="E778" t="s">
        <v>12</v>
      </c>
      <c r="F778" t="s">
        <v>18</v>
      </c>
      <c r="G778">
        <v>200</v>
      </c>
      <c r="H778">
        <v>21</v>
      </c>
      <c r="I778" t="s">
        <v>14</v>
      </c>
      <c r="J778" t="str">
        <f>_xlfn.XLOOKUP(C778,'product_masterlist(ifs)'!A:A,'product_masterlist(ifs)'!C:C,"N/A",0)</f>
        <v>Contact Lenses</v>
      </c>
      <c r="K778">
        <f>VLOOKUP(C778,'product_masterlist(ifs)'!A:I,7,FALSE)</f>
        <v>120</v>
      </c>
    </row>
    <row r="779" spans="1:11" x14ac:dyDescent="0.35">
      <c r="A779" t="s">
        <v>1046</v>
      </c>
      <c r="B779" s="1">
        <v>45966</v>
      </c>
      <c r="C779" t="s">
        <v>90</v>
      </c>
      <c r="D779">
        <v>14</v>
      </c>
      <c r="E779" t="s">
        <v>20</v>
      </c>
      <c r="F779" t="s">
        <v>31</v>
      </c>
      <c r="G779">
        <v>679</v>
      </c>
      <c r="H779">
        <v>30</v>
      </c>
      <c r="I779" t="s">
        <v>14</v>
      </c>
      <c r="J779" t="str">
        <f>_xlfn.XLOOKUP(C779,'product_masterlist(ifs)'!A:A,'product_masterlist(ifs)'!C:C,"N/A",0)</f>
        <v>Frames</v>
      </c>
      <c r="K779">
        <f>VLOOKUP(C779,'product_masterlist(ifs)'!A:I,7,FALSE)</f>
        <v>180</v>
      </c>
    </row>
    <row r="780" spans="1:11" x14ac:dyDescent="0.35">
      <c r="A780" t="s">
        <v>1047</v>
      </c>
      <c r="B780" s="1">
        <v>45789</v>
      </c>
      <c r="C780" t="s">
        <v>17</v>
      </c>
      <c r="D780">
        <v>13</v>
      </c>
      <c r="E780" t="s">
        <v>22</v>
      </c>
      <c r="F780" t="s">
        <v>23</v>
      </c>
      <c r="G780">
        <v>585</v>
      </c>
      <c r="H780">
        <v>30</v>
      </c>
      <c r="I780" t="s">
        <v>14</v>
      </c>
      <c r="J780" t="str">
        <f>_xlfn.XLOOKUP(C780,'product_masterlist(ifs)'!A:A,'product_masterlist(ifs)'!C:C,"N/A",0)</f>
        <v>Frames</v>
      </c>
      <c r="K780">
        <f>VLOOKUP(C780,'product_masterlist(ifs)'!A:I,7,FALSE)</f>
        <v>45</v>
      </c>
    </row>
    <row r="781" spans="1:11" x14ac:dyDescent="0.35">
      <c r="A781" t="s">
        <v>1048</v>
      </c>
      <c r="B781" s="1">
        <v>45720</v>
      </c>
      <c r="C781" t="s">
        <v>42</v>
      </c>
      <c r="D781">
        <v>5</v>
      </c>
      <c r="E781" t="s">
        <v>20</v>
      </c>
      <c r="F781" t="s">
        <v>13</v>
      </c>
      <c r="G781">
        <v>125</v>
      </c>
      <c r="H781">
        <v>21</v>
      </c>
      <c r="I781" t="s">
        <v>14</v>
      </c>
      <c r="J781" t="str">
        <f>_xlfn.XLOOKUP(C781,'product_masterlist(ifs)'!A:A,'product_masterlist(ifs)'!C:C,"N/A",0)</f>
        <v>Contact Lenses</v>
      </c>
      <c r="K781">
        <f>VLOOKUP(C781,'product_masterlist(ifs)'!A:I,7,FALSE)</f>
        <v>120</v>
      </c>
    </row>
    <row r="782" spans="1:11" x14ac:dyDescent="0.35">
      <c r="A782" t="s">
        <v>1049</v>
      </c>
      <c r="B782" t="s">
        <v>1050</v>
      </c>
      <c r="C782" t="s">
        <v>17</v>
      </c>
      <c r="D782">
        <v>3</v>
      </c>
      <c r="E782" t="s">
        <v>20</v>
      </c>
      <c r="F782" t="s">
        <v>23</v>
      </c>
      <c r="G782">
        <v>135</v>
      </c>
      <c r="H782">
        <v>30</v>
      </c>
      <c r="I782" t="s">
        <v>14</v>
      </c>
      <c r="J782" t="str">
        <f>_xlfn.XLOOKUP(C782,'product_masterlist(ifs)'!A:A,'product_masterlist(ifs)'!C:C,"N/A",0)</f>
        <v>Frames</v>
      </c>
      <c r="K782">
        <f>VLOOKUP(C782,'product_masterlist(ifs)'!A:I,7,FALSE)</f>
        <v>45</v>
      </c>
    </row>
    <row r="783" spans="1:11" x14ac:dyDescent="0.35">
      <c r="A783" t="s">
        <v>1051</v>
      </c>
      <c r="B783" t="s">
        <v>446</v>
      </c>
      <c r="C783" t="s">
        <v>11</v>
      </c>
      <c r="D783">
        <v>8</v>
      </c>
      <c r="E783" t="s">
        <v>22</v>
      </c>
      <c r="F783" t="s">
        <v>18</v>
      </c>
      <c r="G783">
        <v>680</v>
      </c>
      <c r="H783">
        <v>30</v>
      </c>
      <c r="I783" t="s">
        <v>14</v>
      </c>
      <c r="J783" t="str">
        <f>_xlfn.XLOOKUP(C783,'product_masterlist(ifs)'!A:A,'product_masterlist(ifs)'!C:C,"N/A",0)</f>
        <v>Surgical</v>
      </c>
      <c r="K783">
        <f>VLOOKUP(C783,'product_masterlist(ifs)'!A:I,7,FALSE)</f>
        <v>40</v>
      </c>
    </row>
    <row r="784" spans="1:11" x14ac:dyDescent="0.35">
      <c r="A784" t="s">
        <v>1052</v>
      </c>
      <c r="B784" s="1">
        <v>45993</v>
      </c>
      <c r="C784" t="s">
        <v>53</v>
      </c>
      <c r="D784">
        <v>7</v>
      </c>
      <c r="E784" t="s">
        <v>37</v>
      </c>
      <c r="F784" t="s">
        <v>13</v>
      </c>
      <c r="G784" t="s">
        <v>320</v>
      </c>
      <c r="H784">
        <v>7</v>
      </c>
      <c r="I784" t="s">
        <v>28</v>
      </c>
      <c r="J784" t="str">
        <f>_xlfn.XLOOKUP(C784,'product_masterlist(ifs)'!A:A,'product_masterlist(ifs)'!C:C,"N/A",0)</f>
        <v>Solutions</v>
      </c>
      <c r="K784">
        <f>VLOOKUP(C784,'product_masterlist(ifs)'!A:I,7,FALSE)</f>
        <v>800</v>
      </c>
    </row>
    <row r="785" spans="1:11" x14ac:dyDescent="0.35">
      <c r="A785" t="s">
        <v>1053</v>
      </c>
      <c r="B785" t="s">
        <v>625</v>
      </c>
      <c r="C785" t="s">
        <v>26</v>
      </c>
      <c r="D785">
        <v>9</v>
      </c>
      <c r="E785" t="s">
        <v>37</v>
      </c>
      <c r="F785" t="s">
        <v>18</v>
      </c>
      <c r="G785" t="s">
        <v>170</v>
      </c>
      <c r="H785">
        <v>14</v>
      </c>
      <c r="I785" t="s">
        <v>28</v>
      </c>
      <c r="J785" t="str">
        <f>_xlfn.XLOOKUP(C785,'product_masterlist(ifs)'!A:A,'product_masterlist(ifs)'!C:C,"N/A",0)</f>
        <v>Contact Lenses</v>
      </c>
      <c r="K785">
        <f>VLOOKUP(C785,'product_masterlist(ifs)'!A:I,7,FALSE)</f>
        <v>450</v>
      </c>
    </row>
    <row r="786" spans="1:11" x14ac:dyDescent="0.35">
      <c r="A786" t="s">
        <v>1054</v>
      </c>
      <c r="B786" t="s">
        <v>52</v>
      </c>
      <c r="C786" t="s">
        <v>17</v>
      </c>
      <c r="D786">
        <v>18</v>
      </c>
      <c r="E786" t="s">
        <v>37</v>
      </c>
      <c r="F786" t="s">
        <v>31</v>
      </c>
      <c r="G786">
        <v>810</v>
      </c>
      <c r="H786">
        <v>30</v>
      </c>
      <c r="I786" t="s">
        <v>14</v>
      </c>
      <c r="J786" t="str">
        <f>_xlfn.XLOOKUP(C786,'product_masterlist(ifs)'!A:A,'product_masterlist(ifs)'!C:C,"N/A",0)</f>
        <v>Frames</v>
      </c>
      <c r="K786">
        <f>VLOOKUP(C786,'product_masterlist(ifs)'!A:I,7,FALSE)</f>
        <v>45</v>
      </c>
    </row>
    <row r="787" spans="1:11" x14ac:dyDescent="0.35">
      <c r="A787" t="s">
        <v>1055</v>
      </c>
      <c r="B787" t="s">
        <v>891</v>
      </c>
      <c r="C787" t="s">
        <v>26</v>
      </c>
      <c r="D787">
        <v>6</v>
      </c>
      <c r="E787" t="s">
        <v>22</v>
      </c>
      <c r="F787" t="s">
        <v>23</v>
      </c>
      <c r="G787">
        <v>75</v>
      </c>
      <c r="H787">
        <v>14</v>
      </c>
      <c r="I787" t="s">
        <v>28</v>
      </c>
      <c r="J787" t="str">
        <f>_xlfn.XLOOKUP(C787,'product_masterlist(ifs)'!A:A,'product_masterlist(ifs)'!C:C,"N/A",0)</f>
        <v>Contact Lenses</v>
      </c>
      <c r="K787">
        <f>VLOOKUP(C787,'product_masterlist(ifs)'!A:I,7,FALSE)</f>
        <v>450</v>
      </c>
    </row>
    <row r="788" spans="1:11" x14ac:dyDescent="0.35">
      <c r="A788" t="s">
        <v>1056</v>
      </c>
      <c r="B788" s="1">
        <v>45993</v>
      </c>
      <c r="C788" t="s">
        <v>26</v>
      </c>
      <c r="D788">
        <v>8</v>
      </c>
      <c r="E788" t="s">
        <v>22</v>
      </c>
      <c r="F788" t="s">
        <v>23</v>
      </c>
      <c r="G788">
        <v>100</v>
      </c>
      <c r="H788">
        <v>14</v>
      </c>
      <c r="I788" t="s">
        <v>28</v>
      </c>
      <c r="J788" t="str">
        <f>_xlfn.XLOOKUP(C788,'product_masterlist(ifs)'!A:A,'product_masterlist(ifs)'!C:C,"N/A",0)</f>
        <v>Contact Lenses</v>
      </c>
      <c r="K788">
        <f>VLOOKUP(C788,'product_masterlist(ifs)'!A:I,7,FALSE)</f>
        <v>450</v>
      </c>
    </row>
    <row r="789" spans="1:11" x14ac:dyDescent="0.35">
      <c r="A789" t="s">
        <v>1057</v>
      </c>
      <c r="B789" s="1">
        <v>45942</v>
      </c>
      <c r="C789" t="s">
        <v>42</v>
      </c>
      <c r="D789">
        <v>13</v>
      </c>
      <c r="E789" t="s">
        <v>12</v>
      </c>
      <c r="F789" t="s">
        <v>31</v>
      </c>
      <c r="G789">
        <v>325</v>
      </c>
      <c r="H789">
        <v>21</v>
      </c>
      <c r="I789" t="s">
        <v>14</v>
      </c>
      <c r="J789" t="str">
        <f>_xlfn.XLOOKUP(C789,'product_masterlist(ifs)'!A:A,'product_masterlist(ifs)'!C:C,"N/A",0)</f>
        <v>Contact Lenses</v>
      </c>
      <c r="K789">
        <f>VLOOKUP(C789,'product_masterlist(ifs)'!A:I,7,FALSE)</f>
        <v>120</v>
      </c>
    </row>
    <row r="790" spans="1:11" x14ac:dyDescent="0.35">
      <c r="A790" t="s">
        <v>1058</v>
      </c>
      <c r="B790" s="1">
        <v>45667</v>
      </c>
      <c r="C790" t="s">
        <v>42</v>
      </c>
      <c r="D790">
        <v>4</v>
      </c>
      <c r="E790" t="s">
        <v>37</v>
      </c>
      <c r="F790" t="s">
        <v>13</v>
      </c>
      <c r="G790">
        <v>100</v>
      </c>
      <c r="H790">
        <v>21</v>
      </c>
      <c r="I790" t="s">
        <v>14</v>
      </c>
      <c r="J790" t="str">
        <f>_xlfn.XLOOKUP(C790,'product_masterlist(ifs)'!A:A,'product_masterlist(ifs)'!C:C,"N/A",0)</f>
        <v>Contact Lenses</v>
      </c>
      <c r="K790">
        <f>VLOOKUP(C790,'product_masterlist(ifs)'!A:I,7,FALSE)</f>
        <v>120</v>
      </c>
    </row>
    <row r="791" spans="1:11" x14ac:dyDescent="0.35">
      <c r="A791" t="s">
        <v>1059</v>
      </c>
      <c r="B791" t="s">
        <v>1060</v>
      </c>
      <c r="C791" t="s">
        <v>17</v>
      </c>
      <c r="D791">
        <v>24</v>
      </c>
      <c r="E791" t="s">
        <v>20</v>
      </c>
      <c r="F791" t="s">
        <v>18</v>
      </c>
      <c r="G791">
        <v>1080</v>
      </c>
      <c r="H791">
        <v>30</v>
      </c>
      <c r="I791" t="s">
        <v>14</v>
      </c>
      <c r="J791" t="str">
        <f>_xlfn.XLOOKUP(C791,'product_masterlist(ifs)'!A:A,'product_masterlist(ifs)'!C:C,"N/A",0)</f>
        <v>Frames</v>
      </c>
      <c r="K791">
        <f>VLOOKUP(C791,'product_masterlist(ifs)'!A:I,7,FALSE)</f>
        <v>45</v>
      </c>
    </row>
    <row r="792" spans="1:11" x14ac:dyDescent="0.35">
      <c r="A792" t="s">
        <v>1061</v>
      </c>
      <c r="B792" s="1">
        <v>45841</v>
      </c>
      <c r="C792" t="s">
        <v>17</v>
      </c>
      <c r="D792">
        <v>23</v>
      </c>
      <c r="E792" t="s">
        <v>20</v>
      </c>
      <c r="F792" t="s">
        <v>23</v>
      </c>
      <c r="G792">
        <v>1035</v>
      </c>
      <c r="H792">
        <v>30</v>
      </c>
      <c r="I792" t="s">
        <v>14</v>
      </c>
      <c r="J792" t="str">
        <f>_xlfn.XLOOKUP(C792,'product_masterlist(ifs)'!A:A,'product_masterlist(ifs)'!C:C,"N/A",0)</f>
        <v>Frames</v>
      </c>
      <c r="K792">
        <f>VLOOKUP(C792,'product_masterlist(ifs)'!A:I,7,FALSE)</f>
        <v>45</v>
      </c>
    </row>
    <row r="793" spans="1:11" x14ac:dyDescent="0.35">
      <c r="A793" t="s">
        <v>1062</v>
      </c>
      <c r="B793" s="1">
        <v>45939</v>
      </c>
      <c r="C793" t="s">
        <v>42</v>
      </c>
      <c r="D793">
        <v>6</v>
      </c>
      <c r="E793" t="s">
        <v>12</v>
      </c>
      <c r="F793" t="s">
        <v>31</v>
      </c>
      <c r="G793">
        <v>150</v>
      </c>
      <c r="H793">
        <v>21</v>
      </c>
      <c r="I793" t="s">
        <v>14</v>
      </c>
      <c r="J793" t="str">
        <f>_xlfn.XLOOKUP(C793,'product_masterlist(ifs)'!A:A,'product_masterlist(ifs)'!C:C,"N/A",0)</f>
        <v>Contact Lenses</v>
      </c>
      <c r="K793">
        <f>VLOOKUP(C793,'product_masterlist(ifs)'!A:I,7,FALSE)</f>
        <v>120</v>
      </c>
    </row>
    <row r="794" spans="1:11" x14ac:dyDescent="0.35">
      <c r="A794" t="s">
        <v>1063</v>
      </c>
      <c r="B794" s="1">
        <v>45818</v>
      </c>
      <c r="C794" t="s">
        <v>42</v>
      </c>
      <c r="D794">
        <v>7</v>
      </c>
      <c r="E794" t="s">
        <v>12</v>
      </c>
      <c r="F794" t="s">
        <v>13</v>
      </c>
      <c r="G794">
        <v>175</v>
      </c>
      <c r="H794">
        <v>21</v>
      </c>
      <c r="I794" t="s">
        <v>14</v>
      </c>
      <c r="J794" t="str">
        <f>_xlfn.XLOOKUP(C794,'product_masterlist(ifs)'!A:A,'product_masterlist(ifs)'!C:C,"N/A",0)</f>
        <v>Contact Lenses</v>
      </c>
      <c r="K794">
        <f>VLOOKUP(C794,'product_masterlist(ifs)'!A:I,7,FALSE)</f>
        <v>120</v>
      </c>
    </row>
    <row r="795" spans="1:11" x14ac:dyDescent="0.35">
      <c r="A795" t="s">
        <v>1064</v>
      </c>
      <c r="B795" t="s">
        <v>952</v>
      </c>
      <c r="C795" t="s">
        <v>90</v>
      </c>
      <c r="D795">
        <v>11</v>
      </c>
      <c r="E795" t="s">
        <v>22</v>
      </c>
      <c r="F795" t="s">
        <v>18</v>
      </c>
      <c r="G795" t="s">
        <v>238</v>
      </c>
      <c r="H795">
        <v>30</v>
      </c>
      <c r="I795" t="s">
        <v>14</v>
      </c>
      <c r="J795" t="str">
        <f>_xlfn.XLOOKUP(C795,'product_masterlist(ifs)'!A:A,'product_masterlist(ifs)'!C:C,"N/A",0)</f>
        <v>Frames</v>
      </c>
      <c r="K795">
        <f>VLOOKUP(C795,'product_masterlist(ifs)'!A:I,7,FALSE)</f>
        <v>180</v>
      </c>
    </row>
    <row r="796" spans="1:11" x14ac:dyDescent="0.35">
      <c r="A796" t="s">
        <v>1065</v>
      </c>
      <c r="B796" t="s">
        <v>700</v>
      </c>
      <c r="C796" t="s">
        <v>53</v>
      </c>
      <c r="D796">
        <v>13</v>
      </c>
      <c r="E796" t="s">
        <v>12</v>
      </c>
      <c r="F796" t="s">
        <v>18</v>
      </c>
      <c r="G796" t="s">
        <v>188</v>
      </c>
      <c r="H796">
        <v>7</v>
      </c>
      <c r="I796" t="s">
        <v>28</v>
      </c>
      <c r="J796" t="str">
        <f>_xlfn.XLOOKUP(C796,'product_masterlist(ifs)'!A:A,'product_masterlist(ifs)'!C:C,"N/A",0)</f>
        <v>Solutions</v>
      </c>
      <c r="K796">
        <f>VLOOKUP(C796,'product_masterlist(ifs)'!A:I,7,FALSE)</f>
        <v>800</v>
      </c>
    </row>
    <row r="797" spans="1:11" x14ac:dyDescent="0.35">
      <c r="A797" t="s">
        <v>1066</v>
      </c>
      <c r="B797" t="s">
        <v>704</v>
      </c>
      <c r="C797" t="s">
        <v>53</v>
      </c>
      <c r="D797">
        <v>15</v>
      </c>
      <c r="E797" t="s">
        <v>12</v>
      </c>
      <c r="F797" t="s">
        <v>18</v>
      </c>
      <c r="G797" t="s">
        <v>93</v>
      </c>
      <c r="H797">
        <v>7</v>
      </c>
      <c r="I797" t="s">
        <v>28</v>
      </c>
      <c r="J797" t="str">
        <f>_xlfn.XLOOKUP(C797,'product_masterlist(ifs)'!A:A,'product_masterlist(ifs)'!C:C,"N/A",0)</f>
        <v>Solutions</v>
      </c>
      <c r="K797">
        <f>VLOOKUP(C797,'product_masterlist(ifs)'!A:I,7,FALSE)</f>
        <v>800</v>
      </c>
    </row>
    <row r="798" spans="1:11" x14ac:dyDescent="0.35">
      <c r="A798" t="s">
        <v>1067</v>
      </c>
      <c r="B798" t="s">
        <v>757</v>
      </c>
      <c r="C798" t="s">
        <v>11</v>
      </c>
      <c r="D798">
        <v>1</v>
      </c>
      <c r="E798" t="s">
        <v>12</v>
      </c>
      <c r="F798" t="s">
        <v>23</v>
      </c>
      <c r="G798">
        <v>85</v>
      </c>
      <c r="H798">
        <v>30</v>
      </c>
      <c r="I798" t="s">
        <v>14</v>
      </c>
      <c r="J798" t="str">
        <f>_xlfn.XLOOKUP(C798,'product_masterlist(ifs)'!A:A,'product_masterlist(ifs)'!C:C,"N/A",0)</f>
        <v>Surgical</v>
      </c>
      <c r="K798">
        <f>VLOOKUP(C798,'product_masterlist(ifs)'!A:I,7,FALSE)</f>
        <v>40</v>
      </c>
    </row>
    <row r="799" spans="1:11" x14ac:dyDescent="0.35">
      <c r="A799" t="s">
        <v>1068</v>
      </c>
      <c r="B799" t="s">
        <v>444</v>
      </c>
      <c r="C799" t="s">
        <v>17</v>
      </c>
      <c r="D799">
        <v>11</v>
      </c>
      <c r="E799" t="s">
        <v>37</v>
      </c>
      <c r="F799" t="s">
        <v>31</v>
      </c>
      <c r="G799">
        <v>495</v>
      </c>
      <c r="H799">
        <v>30</v>
      </c>
      <c r="I799" t="s">
        <v>14</v>
      </c>
      <c r="J799" t="str">
        <f>_xlfn.XLOOKUP(C799,'product_masterlist(ifs)'!A:A,'product_masterlist(ifs)'!C:C,"N/A",0)</f>
        <v>Frames</v>
      </c>
      <c r="K799">
        <f>VLOOKUP(C799,'product_masterlist(ifs)'!A:I,7,FALSE)</f>
        <v>45</v>
      </c>
    </row>
    <row r="800" spans="1:11" x14ac:dyDescent="0.35">
      <c r="A800" t="s">
        <v>1069</v>
      </c>
      <c r="B800" s="1">
        <v>46002</v>
      </c>
      <c r="C800" t="s">
        <v>90</v>
      </c>
      <c r="D800">
        <v>18</v>
      </c>
      <c r="E800" t="s">
        <v>22</v>
      </c>
      <c r="F800" t="s">
        <v>23</v>
      </c>
      <c r="G800">
        <v>873</v>
      </c>
      <c r="H800">
        <v>30</v>
      </c>
      <c r="I800" t="s">
        <v>14</v>
      </c>
      <c r="J800" t="str">
        <f>_xlfn.XLOOKUP(C800,'product_masterlist(ifs)'!A:A,'product_masterlist(ifs)'!C:C,"N/A",0)</f>
        <v>Frames</v>
      </c>
      <c r="K800">
        <f>VLOOKUP(C800,'product_masterlist(ifs)'!A:I,7,FALSE)</f>
        <v>180</v>
      </c>
    </row>
    <row r="801" spans="1:11" x14ac:dyDescent="0.35">
      <c r="A801" t="s">
        <v>1070</v>
      </c>
      <c r="B801" t="s">
        <v>258</v>
      </c>
      <c r="C801" t="s">
        <v>53</v>
      </c>
      <c r="D801">
        <v>15</v>
      </c>
      <c r="E801" t="s">
        <v>20</v>
      </c>
      <c r="F801" t="s">
        <v>13</v>
      </c>
      <c r="G801" t="s">
        <v>93</v>
      </c>
      <c r="H801">
        <v>7</v>
      </c>
      <c r="I801" t="s">
        <v>28</v>
      </c>
      <c r="J801" t="str">
        <f>_xlfn.XLOOKUP(C801,'product_masterlist(ifs)'!A:A,'product_masterlist(ifs)'!C:C,"N/A",0)</f>
        <v>Solutions</v>
      </c>
      <c r="K801">
        <f>VLOOKUP(C801,'product_masterlist(ifs)'!A:I,7,FALSE)</f>
        <v>800</v>
      </c>
    </row>
    <row r="802" spans="1:11" x14ac:dyDescent="0.35">
      <c r="A802" t="s">
        <v>1071</v>
      </c>
      <c r="B802" t="s">
        <v>224</v>
      </c>
      <c r="C802" t="s">
        <v>11</v>
      </c>
      <c r="D802">
        <v>21</v>
      </c>
      <c r="E802" t="s">
        <v>12</v>
      </c>
      <c r="F802" t="s">
        <v>18</v>
      </c>
      <c r="G802">
        <v>1785</v>
      </c>
      <c r="H802">
        <v>30</v>
      </c>
      <c r="I802" t="s">
        <v>14</v>
      </c>
      <c r="J802" t="str">
        <f>_xlfn.XLOOKUP(C802,'product_masterlist(ifs)'!A:A,'product_masterlist(ifs)'!C:C,"N/A",0)</f>
        <v>Surgical</v>
      </c>
      <c r="K802">
        <f>VLOOKUP(C802,'product_masterlist(ifs)'!A:I,7,FALSE)</f>
        <v>40</v>
      </c>
    </row>
    <row r="803" spans="1:11" x14ac:dyDescent="0.35">
      <c r="A803" t="s">
        <v>1072</v>
      </c>
      <c r="B803" t="s">
        <v>952</v>
      </c>
      <c r="C803" t="s">
        <v>33</v>
      </c>
      <c r="D803">
        <v>16</v>
      </c>
      <c r="E803" t="s">
        <v>22</v>
      </c>
      <c r="F803" t="s">
        <v>13</v>
      </c>
      <c r="G803">
        <v>2400</v>
      </c>
      <c r="H803">
        <v>45</v>
      </c>
      <c r="I803" t="s">
        <v>34</v>
      </c>
      <c r="J803" t="str">
        <f>_xlfn.XLOOKUP(C803,'product_masterlist(ifs)'!A:A,'product_masterlist(ifs)'!C:C,"N/A",0)</f>
        <v>Surgical</v>
      </c>
      <c r="K803">
        <f>VLOOKUP(C803,'product_masterlist(ifs)'!A:I,7,FALSE)</f>
        <v>15</v>
      </c>
    </row>
    <row r="804" spans="1:11" x14ac:dyDescent="0.35">
      <c r="A804" t="s">
        <v>1073</v>
      </c>
      <c r="B804" s="1">
        <v>45811</v>
      </c>
      <c r="C804" t="s">
        <v>33</v>
      </c>
      <c r="D804">
        <v>6</v>
      </c>
      <c r="E804" t="s">
        <v>22</v>
      </c>
      <c r="F804" t="s">
        <v>23</v>
      </c>
      <c r="G804">
        <v>900</v>
      </c>
      <c r="H804">
        <v>45</v>
      </c>
      <c r="I804" t="s">
        <v>34</v>
      </c>
      <c r="J804" t="str">
        <f>_xlfn.XLOOKUP(C804,'product_masterlist(ifs)'!A:A,'product_masterlist(ifs)'!C:C,"N/A",0)</f>
        <v>Surgical</v>
      </c>
      <c r="K804">
        <f>VLOOKUP(C804,'product_masterlist(ifs)'!A:I,7,FALSE)</f>
        <v>15</v>
      </c>
    </row>
    <row r="805" spans="1:11" x14ac:dyDescent="0.35">
      <c r="A805" t="s">
        <v>1074</v>
      </c>
      <c r="B805" s="1">
        <v>45667</v>
      </c>
      <c r="C805" t="s">
        <v>53</v>
      </c>
      <c r="D805">
        <v>24</v>
      </c>
      <c r="E805" t="s">
        <v>20</v>
      </c>
      <c r="F805" t="s">
        <v>23</v>
      </c>
      <c r="G805">
        <v>102</v>
      </c>
      <c r="H805">
        <v>7</v>
      </c>
      <c r="I805" t="s">
        <v>28</v>
      </c>
      <c r="J805" t="str">
        <f>_xlfn.XLOOKUP(C805,'product_masterlist(ifs)'!A:A,'product_masterlist(ifs)'!C:C,"N/A",0)</f>
        <v>Solutions</v>
      </c>
      <c r="K805">
        <f>VLOOKUP(C805,'product_masterlist(ifs)'!A:I,7,FALSE)</f>
        <v>800</v>
      </c>
    </row>
    <row r="806" spans="1:11" x14ac:dyDescent="0.35">
      <c r="A806" t="s">
        <v>1075</v>
      </c>
      <c r="B806" t="s">
        <v>151</v>
      </c>
      <c r="C806" t="s">
        <v>42</v>
      </c>
      <c r="D806">
        <v>24</v>
      </c>
      <c r="E806" t="s">
        <v>22</v>
      </c>
      <c r="F806" t="s">
        <v>31</v>
      </c>
      <c r="G806">
        <v>600</v>
      </c>
      <c r="H806">
        <v>21</v>
      </c>
      <c r="I806" t="s">
        <v>14</v>
      </c>
      <c r="J806" t="str">
        <f>_xlfn.XLOOKUP(C806,'product_masterlist(ifs)'!A:A,'product_masterlist(ifs)'!C:C,"N/A",0)</f>
        <v>Contact Lenses</v>
      </c>
      <c r="K806">
        <f>VLOOKUP(C806,'product_masterlist(ifs)'!A:I,7,FALSE)</f>
        <v>120</v>
      </c>
    </row>
    <row r="807" spans="1:11" x14ac:dyDescent="0.35">
      <c r="A807" t="s">
        <v>1076</v>
      </c>
      <c r="B807" t="s">
        <v>65</v>
      </c>
      <c r="C807" t="s">
        <v>42</v>
      </c>
      <c r="D807">
        <v>5</v>
      </c>
      <c r="E807" t="s">
        <v>22</v>
      </c>
      <c r="F807" t="s">
        <v>23</v>
      </c>
      <c r="G807">
        <v>125</v>
      </c>
      <c r="H807">
        <v>21</v>
      </c>
      <c r="I807" t="s">
        <v>14</v>
      </c>
      <c r="J807" t="str">
        <f>_xlfn.XLOOKUP(C807,'product_masterlist(ifs)'!A:A,'product_masterlist(ifs)'!C:C,"N/A",0)</f>
        <v>Contact Lenses</v>
      </c>
      <c r="K807">
        <f>VLOOKUP(C807,'product_masterlist(ifs)'!A:I,7,FALSE)</f>
        <v>120</v>
      </c>
    </row>
    <row r="808" spans="1:11" x14ac:dyDescent="0.35">
      <c r="A808" t="s">
        <v>1077</v>
      </c>
      <c r="B808" s="1">
        <v>45689</v>
      </c>
      <c r="C808" t="s">
        <v>11</v>
      </c>
      <c r="D808">
        <v>12</v>
      </c>
      <c r="E808" t="s">
        <v>22</v>
      </c>
      <c r="F808" t="s">
        <v>23</v>
      </c>
      <c r="G808">
        <v>1020</v>
      </c>
      <c r="H808">
        <v>30</v>
      </c>
      <c r="I808" t="s">
        <v>14</v>
      </c>
      <c r="J808" t="str">
        <f>_xlfn.XLOOKUP(C808,'product_masterlist(ifs)'!A:A,'product_masterlist(ifs)'!C:C,"N/A",0)</f>
        <v>Surgical</v>
      </c>
      <c r="K808">
        <f>VLOOKUP(C808,'product_masterlist(ifs)'!A:I,7,FALSE)</f>
        <v>40</v>
      </c>
    </row>
    <row r="809" spans="1:11" x14ac:dyDescent="0.35">
      <c r="A809" t="s">
        <v>1078</v>
      </c>
      <c r="B809" s="1">
        <v>45847</v>
      </c>
      <c r="C809" t="s">
        <v>53</v>
      </c>
      <c r="D809">
        <v>3</v>
      </c>
      <c r="E809" t="s">
        <v>22</v>
      </c>
      <c r="F809" t="s">
        <v>18</v>
      </c>
      <c r="G809" t="s">
        <v>278</v>
      </c>
      <c r="H809">
        <v>7</v>
      </c>
      <c r="I809" t="s">
        <v>28</v>
      </c>
      <c r="J809" t="str">
        <f>_xlfn.XLOOKUP(C809,'product_masterlist(ifs)'!A:A,'product_masterlist(ifs)'!C:C,"N/A",0)</f>
        <v>Solutions</v>
      </c>
      <c r="K809">
        <f>VLOOKUP(C809,'product_masterlist(ifs)'!A:I,7,FALSE)</f>
        <v>800</v>
      </c>
    </row>
    <row r="810" spans="1:11" x14ac:dyDescent="0.35">
      <c r="A810" t="s">
        <v>1079</v>
      </c>
      <c r="B810" t="s">
        <v>138</v>
      </c>
      <c r="C810" t="s">
        <v>17</v>
      </c>
      <c r="D810">
        <v>9</v>
      </c>
      <c r="E810" t="s">
        <v>20</v>
      </c>
      <c r="F810" t="s">
        <v>18</v>
      </c>
      <c r="G810">
        <v>405</v>
      </c>
      <c r="H810">
        <v>30</v>
      </c>
      <c r="I810" t="s">
        <v>14</v>
      </c>
      <c r="J810" t="str">
        <f>_xlfn.XLOOKUP(C810,'product_masterlist(ifs)'!A:A,'product_masterlist(ifs)'!C:C,"N/A",0)</f>
        <v>Frames</v>
      </c>
      <c r="K810">
        <f>VLOOKUP(C810,'product_masterlist(ifs)'!A:I,7,FALSE)</f>
        <v>45</v>
      </c>
    </row>
    <row r="811" spans="1:11" x14ac:dyDescent="0.35">
      <c r="A811" t="s">
        <v>1080</v>
      </c>
      <c r="B811" t="s">
        <v>636</v>
      </c>
      <c r="C811" t="s">
        <v>26</v>
      </c>
      <c r="D811">
        <v>24</v>
      </c>
      <c r="E811" t="s">
        <v>20</v>
      </c>
      <c r="F811" t="s">
        <v>31</v>
      </c>
      <c r="G811">
        <v>300</v>
      </c>
      <c r="H811">
        <v>14</v>
      </c>
      <c r="I811" t="s">
        <v>28</v>
      </c>
      <c r="J811" t="str">
        <f>_xlfn.XLOOKUP(C811,'product_masterlist(ifs)'!A:A,'product_masterlist(ifs)'!C:C,"N/A",0)</f>
        <v>Contact Lenses</v>
      </c>
      <c r="K811">
        <f>VLOOKUP(C811,'product_masterlist(ifs)'!A:I,7,FALSE)</f>
        <v>450</v>
      </c>
    </row>
    <row r="812" spans="1:11" x14ac:dyDescent="0.35">
      <c r="A812" t="s">
        <v>1081</v>
      </c>
      <c r="B812" t="s">
        <v>248</v>
      </c>
      <c r="C812" t="s">
        <v>26</v>
      </c>
      <c r="D812">
        <v>12</v>
      </c>
      <c r="E812" t="s">
        <v>37</v>
      </c>
      <c r="F812" t="s">
        <v>31</v>
      </c>
      <c r="G812">
        <v>150</v>
      </c>
      <c r="H812">
        <v>14</v>
      </c>
      <c r="I812" t="s">
        <v>28</v>
      </c>
      <c r="J812" t="str">
        <f>_xlfn.XLOOKUP(C812,'product_masterlist(ifs)'!A:A,'product_masterlist(ifs)'!C:C,"N/A",0)</f>
        <v>Contact Lenses</v>
      </c>
      <c r="K812">
        <f>VLOOKUP(C812,'product_masterlist(ifs)'!A:I,7,FALSE)</f>
        <v>450</v>
      </c>
    </row>
    <row r="813" spans="1:11" x14ac:dyDescent="0.35">
      <c r="A813" t="s">
        <v>1082</v>
      </c>
      <c r="B813" t="s">
        <v>310</v>
      </c>
      <c r="C813" t="s">
        <v>90</v>
      </c>
      <c r="D813">
        <v>19</v>
      </c>
      <c r="E813" t="s">
        <v>22</v>
      </c>
      <c r="F813" t="s">
        <v>31</v>
      </c>
      <c r="G813" t="s">
        <v>504</v>
      </c>
      <c r="H813">
        <v>30</v>
      </c>
      <c r="I813" t="s">
        <v>14</v>
      </c>
      <c r="J813" t="str">
        <f>_xlfn.XLOOKUP(C813,'product_masterlist(ifs)'!A:A,'product_masterlist(ifs)'!C:C,"N/A",0)</f>
        <v>Frames</v>
      </c>
      <c r="K813">
        <f>VLOOKUP(C813,'product_masterlist(ifs)'!A:I,7,FALSE)</f>
        <v>180</v>
      </c>
    </row>
    <row r="814" spans="1:11" x14ac:dyDescent="0.35">
      <c r="A814" t="s">
        <v>1083</v>
      </c>
      <c r="B814" t="s">
        <v>747</v>
      </c>
      <c r="C814" t="s">
        <v>17</v>
      </c>
      <c r="D814">
        <v>22</v>
      </c>
      <c r="E814" t="s">
        <v>37</v>
      </c>
      <c r="F814" t="s">
        <v>31</v>
      </c>
      <c r="G814">
        <v>990</v>
      </c>
      <c r="H814">
        <v>30</v>
      </c>
      <c r="I814" t="s">
        <v>14</v>
      </c>
      <c r="J814" t="str">
        <f>_xlfn.XLOOKUP(C814,'product_masterlist(ifs)'!A:A,'product_masterlist(ifs)'!C:C,"N/A",0)</f>
        <v>Frames</v>
      </c>
      <c r="K814">
        <f>VLOOKUP(C814,'product_masterlist(ifs)'!A:I,7,FALSE)</f>
        <v>45</v>
      </c>
    </row>
    <row r="815" spans="1:11" x14ac:dyDescent="0.35">
      <c r="A815" t="s">
        <v>1084</v>
      </c>
      <c r="B815" t="s">
        <v>838</v>
      </c>
      <c r="C815" t="s">
        <v>53</v>
      </c>
      <c r="D815">
        <v>14</v>
      </c>
      <c r="E815" t="s">
        <v>22</v>
      </c>
      <c r="F815" t="s">
        <v>23</v>
      </c>
      <c r="G815" t="s">
        <v>228</v>
      </c>
      <c r="H815">
        <v>7</v>
      </c>
      <c r="I815" t="s">
        <v>28</v>
      </c>
      <c r="J815" t="str">
        <f>_xlfn.XLOOKUP(C815,'product_masterlist(ifs)'!A:A,'product_masterlist(ifs)'!C:C,"N/A",0)</f>
        <v>Solutions</v>
      </c>
      <c r="K815">
        <f>VLOOKUP(C815,'product_masterlist(ifs)'!A:I,7,FALSE)</f>
        <v>800</v>
      </c>
    </row>
    <row r="816" spans="1:11" x14ac:dyDescent="0.35">
      <c r="A816" t="s">
        <v>1085</v>
      </c>
      <c r="B816" t="s">
        <v>1006</v>
      </c>
      <c r="C816" t="s">
        <v>33</v>
      </c>
      <c r="D816">
        <v>5</v>
      </c>
      <c r="E816" t="s">
        <v>37</v>
      </c>
      <c r="F816" t="s">
        <v>31</v>
      </c>
      <c r="G816">
        <v>750</v>
      </c>
      <c r="H816">
        <v>45</v>
      </c>
      <c r="I816" t="s">
        <v>34</v>
      </c>
      <c r="J816" t="str">
        <f>_xlfn.XLOOKUP(C816,'product_masterlist(ifs)'!A:A,'product_masterlist(ifs)'!C:C,"N/A",0)</f>
        <v>Surgical</v>
      </c>
      <c r="K816">
        <f>VLOOKUP(C816,'product_masterlist(ifs)'!A:I,7,FALSE)</f>
        <v>15</v>
      </c>
    </row>
    <row r="817" spans="1:11" x14ac:dyDescent="0.35">
      <c r="A817" t="s">
        <v>1086</v>
      </c>
      <c r="B817" s="1">
        <v>45717</v>
      </c>
      <c r="C817" t="s">
        <v>11</v>
      </c>
      <c r="D817">
        <v>13</v>
      </c>
      <c r="E817" t="s">
        <v>20</v>
      </c>
      <c r="F817" t="s">
        <v>18</v>
      </c>
      <c r="G817">
        <v>1105</v>
      </c>
      <c r="H817">
        <v>30</v>
      </c>
      <c r="I817" t="s">
        <v>14</v>
      </c>
      <c r="J817" t="str">
        <f>_xlfn.XLOOKUP(C817,'product_masterlist(ifs)'!A:A,'product_masterlist(ifs)'!C:C,"N/A",0)</f>
        <v>Surgical</v>
      </c>
      <c r="K817">
        <f>VLOOKUP(C817,'product_masterlist(ifs)'!A:I,7,FALSE)</f>
        <v>40</v>
      </c>
    </row>
    <row r="818" spans="1:11" x14ac:dyDescent="0.35">
      <c r="A818" t="s">
        <v>1087</v>
      </c>
      <c r="B818" t="s">
        <v>1034</v>
      </c>
      <c r="C818" t="s">
        <v>26</v>
      </c>
      <c r="D818">
        <v>18</v>
      </c>
      <c r="E818" t="s">
        <v>20</v>
      </c>
      <c r="F818" t="s">
        <v>13</v>
      </c>
      <c r="G818">
        <v>225</v>
      </c>
      <c r="H818">
        <v>14</v>
      </c>
      <c r="I818" t="s">
        <v>28</v>
      </c>
      <c r="J818" t="str">
        <f>_xlfn.XLOOKUP(C818,'product_masterlist(ifs)'!A:A,'product_masterlist(ifs)'!C:C,"N/A",0)</f>
        <v>Contact Lenses</v>
      </c>
      <c r="K818">
        <f>VLOOKUP(C818,'product_masterlist(ifs)'!A:I,7,FALSE)</f>
        <v>450</v>
      </c>
    </row>
    <row r="819" spans="1:11" x14ac:dyDescent="0.35">
      <c r="A819" t="s">
        <v>1088</v>
      </c>
      <c r="B819" t="s">
        <v>770</v>
      </c>
      <c r="C819" t="s">
        <v>42</v>
      </c>
      <c r="D819">
        <v>21</v>
      </c>
      <c r="E819" t="s">
        <v>12</v>
      </c>
      <c r="F819" t="s">
        <v>31</v>
      </c>
      <c r="G819">
        <v>525</v>
      </c>
      <c r="H819">
        <v>21</v>
      </c>
      <c r="I819" t="s">
        <v>14</v>
      </c>
      <c r="J819" t="str">
        <f>_xlfn.XLOOKUP(C819,'product_masterlist(ifs)'!A:A,'product_masterlist(ifs)'!C:C,"N/A",0)</f>
        <v>Contact Lenses</v>
      </c>
      <c r="K819">
        <f>VLOOKUP(C819,'product_masterlist(ifs)'!A:I,7,FALSE)</f>
        <v>120</v>
      </c>
    </row>
    <row r="820" spans="1:11" x14ac:dyDescent="0.35">
      <c r="A820" t="s">
        <v>1089</v>
      </c>
      <c r="B820" s="1">
        <v>45994</v>
      </c>
      <c r="C820" t="s">
        <v>17</v>
      </c>
      <c r="D820">
        <v>4</v>
      </c>
      <c r="E820" t="s">
        <v>37</v>
      </c>
      <c r="F820" t="s">
        <v>18</v>
      </c>
      <c r="G820">
        <v>180</v>
      </c>
      <c r="H820">
        <v>30</v>
      </c>
      <c r="I820" t="s">
        <v>14</v>
      </c>
      <c r="J820" t="str">
        <f>_xlfn.XLOOKUP(C820,'product_masterlist(ifs)'!A:A,'product_masterlist(ifs)'!C:C,"N/A",0)</f>
        <v>Frames</v>
      </c>
      <c r="K820">
        <f>VLOOKUP(C820,'product_masterlist(ifs)'!A:I,7,FALSE)</f>
        <v>45</v>
      </c>
    </row>
    <row r="821" spans="1:11" x14ac:dyDescent="0.35">
      <c r="A821" t="s">
        <v>1090</v>
      </c>
      <c r="B821" t="s">
        <v>475</v>
      </c>
      <c r="C821" t="s">
        <v>53</v>
      </c>
      <c r="D821">
        <v>3</v>
      </c>
      <c r="E821" t="s">
        <v>22</v>
      </c>
      <c r="F821" t="s">
        <v>23</v>
      </c>
      <c r="G821" t="s">
        <v>278</v>
      </c>
      <c r="H821">
        <v>7</v>
      </c>
      <c r="I821" t="s">
        <v>28</v>
      </c>
      <c r="J821" t="str">
        <f>_xlfn.XLOOKUP(C821,'product_masterlist(ifs)'!A:A,'product_masterlist(ifs)'!C:C,"N/A",0)</f>
        <v>Solutions</v>
      </c>
      <c r="K821">
        <f>VLOOKUP(C821,'product_masterlist(ifs)'!A:I,7,FALSE)</f>
        <v>800</v>
      </c>
    </row>
    <row r="822" spans="1:11" x14ac:dyDescent="0.35">
      <c r="A822" t="s">
        <v>1091</v>
      </c>
      <c r="B822" t="s">
        <v>975</v>
      </c>
      <c r="C822" t="s">
        <v>42</v>
      </c>
      <c r="D822">
        <v>17</v>
      </c>
      <c r="E822" t="s">
        <v>22</v>
      </c>
      <c r="F822" t="s">
        <v>13</v>
      </c>
      <c r="G822">
        <v>425</v>
      </c>
      <c r="H822">
        <v>21</v>
      </c>
      <c r="I822" t="s">
        <v>14</v>
      </c>
      <c r="J822" t="str">
        <f>_xlfn.XLOOKUP(C822,'product_masterlist(ifs)'!A:A,'product_masterlist(ifs)'!C:C,"N/A",0)</f>
        <v>Contact Lenses</v>
      </c>
      <c r="K822">
        <f>VLOOKUP(C822,'product_masterlist(ifs)'!A:I,7,FALSE)</f>
        <v>120</v>
      </c>
    </row>
    <row r="823" spans="1:11" x14ac:dyDescent="0.35">
      <c r="A823" t="s">
        <v>1092</v>
      </c>
      <c r="B823" t="s">
        <v>1006</v>
      </c>
      <c r="C823" t="s">
        <v>26</v>
      </c>
      <c r="D823">
        <v>19</v>
      </c>
      <c r="E823" t="s">
        <v>12</v>
      </c>
      <c r="F823" t="s">
        <v>13</v>
      </c>
      <c r="G823" t="s">
        <v>1093</v>
      </c>
      <c r="H823">
        <v>14</v>
      </c>
      <c r="I823" t="s">
        <v>28</v>
      </c>
      <c r="J823" t="str">
        <f>_xlfn.XLOOKUP(C823,'product_masterlist(ifs)'!A:A,'product_masterlist(ifs)'!C:C,"N/A",0)</f>
        <v>Contact Lenses</v>
      </c>
      <c r="K823">
        <f>VLOOKUP(C823,'product_masterlist(ifs)'!A:I,7,FALSE)</f>
        <v>450</v>
      </c>
    </row>
    <row r="824" spans="1:11" x14ac:dyDescent="0.35">
      <c r="A824" t="s">
        <v>1094</v>
      </c>
      <c r="B824" t="s">
        <v>352</v>
      </c>
      <c r="C824" t="s">
        <v>33</v>
      </c>
      <c r="D824">
        <v>3</v>
      </c>
      <c r="E824" t="s">
        <v>20</v>
      </c>
      <c r="F824" t="s">
        <v>13</v>
      </c>
      <c r="G824">
        <v>450</v>
      </c>
      <c r="H824">
        <v>45</v>
      </c>
      <c r="I824" t="s">
        <v>34</v>
      </c>
      <c r="J824" t="str">
        <f>_xlfn.XLOOKUP(C824,'product_masterlist(ifs)'!A:A,'product_masterlist(ifs)'!C:C,"N/A",0)</f>
        <v>Surgical</v>
      </c>
      <c r="K824">
        <f>VLOOKUP(C824,'product_masterlist(ifs)'!A:I,7,FALSE)</f>
        <v>15</v>
      </c>
    </row>
    <row r="825" spans="1:11" x14ac:dyDescent="0.35">
      <c r="A825" t="s">
        <v>1095</v>
      </c>
      <c r="B825" t="s">
        <v>737</v>
      </c>
      <c r="C825" t="s">
        <v>53</v>
      </c>
      <c r="D825">
        <v>5</v>
      </c>
      <c r="E825" t="s">
        <v>37</v>
      </c>
      <c r="F825" t="s">
        <v>18</v>
      </c>
      <c r="G825" t="s">
        <v>854</v>
      </c>
      <c r="H825">
        <v>7</v>
      </c>
      <c r="I825" t="s">
        <v>28</v>
      </c>
      <c r="J825" t="str">
        <f>_xlfn.XLOOKUP(C825,'product_masterlist(ifs)'!A:A,'product_masterlist(ifs)'!C:C,"N/A",0)</f>
        <v>Solutions</v>
      </c>
      <c r="K825">
        <f>VLOOKUP(C825,'product_masterlist(ifs)'!A:I,7,FALSE)</f>
        <v>800</v>
      </c>
    </row>
    <row r="826" spans="1:11" x14ac:dyDescent="0.35">
      <c r="A826" t="s">
        <v>1096</v>
      </c>
      <c r="B826" t="s">
        <v>237</v>
      </c>
      <c r="C826" t="s">
        <v>53</v>
      </c>
      <c r="D826">
        <v>24</v>
      </c>
      <c r="E826" t="s">
        <v>22</v>
      </c>
      <c r="F826" t="s">
        <v>18</v>
      </c>
      <c r="G826">
        <v>102</v>
      </c>
      <c r="H826">
        <v>7</v>
      </c>
      <c r="I826" t="s">
        <v>28</v>
      </c>
      <c r="J826" t="str">
        <f>_xlfn.XLOOKUP(C826,'product_masterlist(ifs)'!A:A,'product_masterlist(ifs)'!C:C,"N/A",0)</f>
        <v>Solutions</v>
      </c>
      <c r="K826">
        <f>VLOOKUP(C826,'product_masterlist(ifs)'!A:I,7,FALSE)</f>
        <v>800</v>
      </c>
    </row>
    <row r="827" spans="1:11" x14ac:dyDescent="0.35">
      <c r="A827" t="s">
        <v>1097</v>
      </c>
      <c r="B827" t="s">
        <v>10</v>
      </c>
      <c r="C827" t="s">
        <v>42</v>
      </c>
      <c r="D827">
        <v>17</v>
      </c>
      <c r="E827" t="s">
        <v>20</v>
      </c>
      <c r="F827" t="s">
        <v>13</v>
      </c>
      <c r="G827">
        <v>425</v>
      </c>
      <c r="H827">
        <v>21</v>
      </c>
      <c r="I827" t="s">
        <v>14</v>
      </c>
      <c r="J827" t="str">
        <f>_xlfn.XLOOKUP(C827,'product_masterlist(ifs)'!A:A,'product_masterlist(ifs)'!C:C,"N/A",0)</f>
        <v>Contact Lenses</v>
      </c>
      <c r="K827">
        <f>VLOOKUP(C827,'product_masterlist(ifs)'!A:I,7,FALSE)</f>
        <v>120</v>
      </c>
    </row>
    <row r="828" spans="1:11" x14ac:dyDescent="0.35">
      <c r="A828" t="s">
        <v>1098</v>
      </c>
      <c r="B828" t="s">
        <v>1099</v>
      </c>
      <c r="C828" t="s">
        <v>11</v>
      </c>
      <c r="D828">
        <v>6</v>
      </c>
      <c r="E828" t="s">
        <v>37</v>
      </c>
      <c r="F828" t="s">
        <v>18</v>
      </c>
      <c r="G828">
        <v>510</v>
      </c>
      <c r="H828">
        <v>30</v>
      </c>
      <c r="I828" t="s">
        <v>14</v>
      </c>
      <c r="J828" t="str">
        <f>_xlfn.XLOOKUP(C828,'product_masterlist(ifs)'!A:A,'product_masterlist(ifs)'!C:C,"N/A",0)</f>
        <v>Surgical</v>
      </c>
      <c r="K828">
        <f>VLOOKUP(C828,'product_masterlist(ifs)'!A:I,7,FALSE)</f>
        <v>40</v>
      </c>
    </row>
    <row r="829" spans="1:11" x14ac:dyDescent="0.35">
      <c r="A829" t="s">
        <v>1100</v>
      </c>
      <c r="B829" s="1">
        <v>45727</v>
      </c>
      <c r="C829" t="s">
        <v>42</v>
      </c>
      <c r="D829">
        <v>5</v>
      </c>
      <c r="E829" t="s">
        <v>12</v>
      </c>
      <c r="F829" t="s">
        <v>18</v>
      </c>
      <c r="G829">
        <v>125</v>
      </c>
      <c r="H829">
        <v>21</v>
      </c>
      <c r="I829" t="s">
        <v>14</v>
      </c>
      <c r="J829" t="str">
        <f>_xlfn.XLOOKUP(C829,'product_masterlist(ifs)'!A:A,'product_masterlist(ifs)'!C:C,"N/A",0)</f>
        <v>Contact Lenses</v>
      </c>
      <c r="K829">
        <f>VLOOKUP(C829,'product_masterlist(ifs)'!A:I,7,FALSE)</f>
        <v>120</v>
      </c>
    </row>
    <row r="830" spans="1:11" x14ac:dyDescent="0.35">
      <c r="A830" t="s">
        <v>1101</v>
      </c>
      <c r="B830" s="1">
        <v>45845</v>
      </c>
      <c r="C830" t="s">
        <v>33</v>
      </c>
      <c r="D830">
        <v>5</v>
      </c>
      <c r="E830" t="s">
        <v>20</v>
      </c>
      <c r="F830" t="s">
        <v>23</v>
      </c>
      <c r="G830">
        <v>750</v>
      </c>
      <c r="H830">
        <v>45</v>
      </c>
      <c r="I830" t="s">
        <v>34</v>
      </c>
      <c r="J830" t="str">
        <f>_xlfn.XLOOKUP(C830,'product_masterlist(ifs)'!A:A,'product_masterlist(ifs)'!C:C,"N/A",0)</f>
        <v>Surgical</v>
      </c>
      <c r="K830">
        <f>VLOOKUP(C830,'product_masterlist(ifs)'!A:I,7,FALSE)</f>
        <v>15</v>
      </c>
    </row>
    <row r="831" spans="1:11" x14ac:dyDescent="0.35">
      <c r="A831" t="s">
        <v>1102</v>
      </c>
      <c r="B831" t="s">
        <v>1103</v>
      </c>
      <c r="C831" t="s">
        <v>17</v>
      </c>
      <c r="D831">
        <v>13</v>
      </c>
      <c r="E831" t="s">
        <v>37</v>
      </c>
      <c r="F831" t="s">
        <v>18</v>
      </c>
      <c r="G831">
        <v>585</v>
      </c>
      <c r="H831">
        <v>30</v>
      </c>
      <c r="I831" t="s">
        <v>14</v>
      </c>
      <c r="J831" t="str">
        <f>_xlfn.XLOOKUP(C831,'product_masterlist(ifs)'!A:A,'product_masterlist(ifs)'!C:C,"N/A",0)</f>
        <v>Frames</v>
      </c>
      <c r="K831">
        <f>VLOOKUP(C831,'product_masterlist(ifs)'!A:I,7,FALSE)</f>
        <v>45</v>
      </c>
    </row>
    <row r="832" spans="1:11" x14ac:dyDescent="0.35">
      <c r="A832" t="s">
        <v>1104</v>
      </c>
      <c r="B832" t="s">
        <v>975</v>
      </c>
      <c r="C832" t="s">
        <v>90</v>
      </c>
      <c r="D832">
        <v>21</v>
      </c>
      <c r="E832" t="s">
        <v>37</v>
      </c>
      <c r="F832" t="s">
        <v>13</v>
      </c>
      <c r="G832" t="s">
        <v>120</v>
      </c>
      <c r="H832">
        <v>30</v>
      </c>
      <c r="I832" t="s">
        <v>14</v>
      </c>
      <c r="J832" t="str">
        <f>_xlfn.XLOOKUP(C832,'product_masterlist(ifs)'!A:A,'product_masterlist(ifs)'!C:C,"N/A",0)</f>
        <v>Frames</v>
      </c>
      <c r="K832">
        <f>VLOOKUP(C832,'product_masterlist(ifs)'!A:I,7,FALSE)</f>
        <v>180</v>
      </c>
    </row>
    <row r="833" spans="1:11" x14ac:dyDescent="0.35">
      <c r="A833" t="s">
        <v>1105</v>
      </c>
      <c r="B833" t="s">
        <v>323</v>
      </c>
      <c r="C833" t="s">
        <v>11</v>
      </c>
      <c r="D833">
        <v>14</v>
      </c>
      <c r="E833" t="s">
        <v>20</v>
      </c>
      <c r="F833" t="s">
        <v>13</v>
      </c>
      <c r="G833">
        <v>1190</v>
      </c>
      <c r="H833">
        <v>30</v>
      </c>
      <c r="I833" t="s">
        <v>14</v>
      </c>
      <c r="J833" t="str">
        <f>_xlfn.XLOOKUP(C833,'product_masterlist(ifs)'!A:A,'product_masterlist(ifs)'!C:C,"N/A",0)</f>
        <v>Surgical</v>
      </c>
      <c r="K833">
        <f>VLOOKUP(C833,'product_masterlist(ifs)'!A:I,7,FALSE)</f>
        <v>40</v>
      </c>
    </row>
    <row r="834" spans="1:11" x14ac:dyDescent="0.35">
      <c r="A834" t="s">
        <v>1106</v>
      </c>
      <c r="B834" t="s">
        <v>58</v>
      </c>
      <c r="C834" t="s">
        <v>26</v>
      </c>
      <c r="D834">
        <v>6</v>
      </c>
      <c r="E834" t="s">
        <v>12</v>
      </c>
      <c r="F834" t="s">
        <v>18</v>
      </c>
      <c r="G834">
        <v>75</v>
      </c>
      <c r="H834">
        <v>14</v>
      </c>
      <c r="I834" t="s">
        <v>28</v>
      </c>
      <c r="J834" t="str">
        <f>_xlfn.XLOOKUP(C834,'product_masterlist(ifs)'!A:A,'product_masterlist(ifs)'!C:C,"N/A",0)</f>
        <v>Contact Lenses</v>
      </c>
      <c r="K834">
        <f>VLOOKUP(C834,'product_masterlist(ifs)'!A:I,7,FALSE)</f>
        <v>450</v>
      </c>
    </row>
    <row r="835" spans="1:11" x14ac:dyDescent="0.35">
      <c r="A835" t="s">
        <v>1107</v>
      </c>
      <c r="B835" t="s">
        <v>129</v>
      </c>
      <c r="C835" t="s">
        <v>26</v>
      </c>
      <c r="D835">
        <v>17</v>
      </c>
      <c r="E835" t="s">
        <v>12</v>
      </c>
      <c r="F835" t="s">
        <v>18</v>
      </c>
      <c r="G835" t="s">
        <v>152</v>
      </c>
      <c r="H835">
        <v>14</v>
      </c>
      <c r="I835" t="s">
        <v>28</v>
      </c>
      <c r="J835" t="str">
        <f>_xlfn.XLOOKUP(C835,'product_masterlist(ifs)'!A:A,'product_masterlist(ifs)'!C:C,"N/A",0)</f>
        <v>Contact Lenses</v>
      </c>
      <c r="K835">
        <f>VLOOKUP(C835,'product_masterlist(ifs)'!A:I,7,FALSE)</f>
        <v>450</v>
      </c>
    </row>
    <row r="836" spans="1:11" x14ac:dyDescent="0.35">
      <c r="A836" t="s">
        <v>1108</v>
      </c>
      <c r="B836" t="s">
        <v>950</v>
      </c>
      <c r="C836" t="s">
        <v>17</v>
      </c>
      <c r="D836">
        <v>2</v>
      </c>
      <c r="E836" t="s">
        <v>37</v>
      </c>
      <c r="F836" t="s">
        <v>18</v>
      </c>
      <c r="G836">
        <v>90</v>
      </c>
      <c r="H836">
        <v>30</v>
      </c>
      <c r="I836" t="s">
        <v>14</v>
      </c>
      <c r="J836" t="str">
        <f>_xlfn.XLOOKUP(C836,'product_masterlist(ifs)'!A:A,'product_masterlist(ifs)'!C:C,"N/A",0)</f>
        <v>Frames</v>
      </c>
      <c r="K836">
        <f>VLOOKUP(C836,'product_masterlist(ifs)'!A:I,7,FALSE)</f>
        <v>45</v>
      </c>
    </row>
    <row r="837" spans="1:11" x14ac:dyDescent="0.35">
      <c r="A837" t="s">
        <v>1109</v>
      </c>
      <c r="B837" t="s">
        <v>183</v>
      </c>
      <c r="C837" t="s">
        <v>42</v>
      </c>
      <c r="D837">
        <v>4</v>
      </c>
      <c r="E837" t="s">
        <v>20</v>
      </c>
      <c r="F837" t="s">
        <v>31</v>
      </c>
      <c r="G837">
        <v>100</v>
      </c>
      <c r="H837">
        <v>21</v>
      </c>
      <c r="I837" t="s">
        <v>14</v>
      </c>
      <c r="J837" t="str">
        <f>_xlfn.XLOOKUP(C837,'product_masterlist(ifs)'!A:A,'product_masterlist(ifs)'!C:C,"N/A",0)</f>
        <v>Contact Lenses</v>
      </c>
      <c r="K837">
        <f>VLOOKUP(C837,'product_masterlist(ifs)'!A:I,7,FALSE)</f>
        <v>120</v>
      </c>
    </row>
    <row r="838" spans="1:11" x14ac:dyDescent="0.35">
      <c r="A838" t="s">
        <v>1110</v>
      </c>
      <c r="B838" t="s">
        <v>823</v>
      </c>
      <c r="C838" t="s">
        <v>33</v>
      </c>
      <c r="D838">
        <v>17</v>
      </c>
      <c r="E838" t="s">
        <v>22</v>
      </c>
      <c r="F838" t="s">
        <v>31</v>
      </c>
      <c r="G838">
        <v>2550</v>
      </c>
      <c r="H838">
        <v>45</v>
      </c>
      <c r="I838" t="s">
        <v>34</v>
      </c>
      <c r="J838" t="str">
        <f>_xlfn.XLOOKUP(C838,'product_masterlist(ifs)'!A:A,'product_masterlist(ifs)'!C:C,"N/A",0)</f>
        <v>Surgical</v>
      </c>
      <c r="K838">
        <f>VLOOKUP(C838,'product_masterlist(ifs)'!A:I,7,FALSE)</f>
        <v>15</v>
      </c>
    </row>
    <row r="839" spans="1:11" x14ac:dyDescent="0.35">
      <c r="A839" t="s">
        <v>1111</v>
      </c>
      <c r="B839" t="s">
        <v>708</v>
      </c>
      <c r="C839" t="s">
        <v>90</v>
      </c>
      <c r="D839">
        <v>23</v>
      </c>
      <c r="E839" t="s">
        <v>37</v>
      </c>
      <c r="F839" t="s">
        <v>31</v>
      </c>
      <c r="G839" t="s">
        <v>123</v>
      </c>
      <c r="H839">
        <v>30</v>
      </c>
      <c r="I839" t="s">
        <v>14</v>
      </c>
      <c r="J839" t="str">
        <f>_xlfn.XLOOKUP(C839,'product_masterlist(ifs)'!A:A,'product_masterlist(ifs)'!C:C,"N/A",0)</f>
        <v>Frames</v>
      </c>
      <c r="K839">
        <f>VLOOKUP(C839,'product_masterlist(ifs)'!A:I,7,FALSE)</f>
        <v>180</v>
      </c>
    </row>
    <row r="840" spans="1:11" x14ac:dyDescent="0.35">
      <c r="A840" t="s">
        <v>1112</v>
      </c>
      <c r="B840" t="s">
        <v>747</v>
      </c>
      <c r="C840" t="s">
        <v>53</v>
      </c>
      <c r="D840">
        <v>11</v>
      </c>
      <c r="E840" t="s">
        <v>20</v>
      </c>
      <c r="F840" t="s">
        <v>18</v>
      </c>
      <c r="G840" t="s">
        <v>240</v>
      </c>
      <c r="H840">
        <v>7</v>
      </c>
      <c r="I840" t="s">
        <v>28</v>
      </c>
      <c r="J840" t="str">
        <f>_xlfn.XLOOKUP(C840,'product_masterlist(ifs)'!A:A,'product_masterlist(ifs)'!C:C,"N/A",0)</f>
        <v>Solutions</v>
      </c>
      <c r="K840">
        <f>VLOOKUP(C840,'product_masterlist(ifs)'!A:I,7,FALSE)</f>
        <v>800</v>
      </c>
    </row>
    <row r="841" spans="1:11" x14ac:dyDescent="0.35">
      <c r="A841" t="s">
        <v>1113</v>
      </c>
      <c r="B841" s="1">
        <v>45846</v>
      </c>
      <c r="C841" t="s">
        <v>26</v>
      </c>
      <c r="D841">
        <v>2</v>
      </c>
      <c r="E841" t="s">
        <v>12</v>
      </c>
      <c r="F841" t="s">
        <v>13</v>
      </c>
      <c r="G841">
        <v>25</v>
      </c>
      <c r="H841">
        <v>14</v>
      </c>
      <c r="I841" t="s">
        <v>28</v>
      </c>
      <c r="J841" t="str">
        <f>_xlfn.XLOOKUP(C841,'product_masterlist(ifs)'!A:A,'product_masterlist(ifs)'!C:C,"N/A",0)</f>
        <v>Contact Lenses</v>
      </c>
      <c r="K841">
        <f>VLOOKUP(C841,'product_masterlist(ifs)'!A:I,7,FALSE)</f>
        <v>450</v>
      </c>
    </row>
    <row r="842" spans="1:11" x14ac:dyDescent="0.35">
      <c r="A842" t="s">
        <v>1114</v>
      </c>
      <c r="B842" t="s">
        <v>414</v>
      </c>
      <c r="C842" t="s">
        <v>33</v>
      </c>
      <c r="D842">
        <v>13</v>
      </c>
      <c r="E842" t="s">
        <v>37</v>
      </c>
      <c r="F842" t="s">
        <v>23</v>
      </c>
      <c r="G842">
        <v>1950</v>
      </c>
      <c r="H842">
        <v>45</v>
      </c>
      <c r="I842" t="s">
        <v>34</v>
      </c>
      <c r="J842" t="str">
        <f>_xlfn.XLOOKUP(C842,'product_masterlist(ifs)'!A:A,'product_masterlist(ifs)'!C:C,"N/A",0)</f>
        <v>Surgical</v>
      </c>
      <c r="K842">
        <f>VLOOKUP(C842,'product_masterlist(ifs)'!A:I,7,FALSE)</f>
        <v>15</v>
      </c>
    </row>
    <row r="843" spans="1:11" x14ac:dyDescent="0.35">
      <c r="A843" t="s">
        <v>1115</v>
      </c>
      <c r="B843" t="s">
        <v>704</v>
      </c>
      <c r="C843" t="s">
        <v>33</v>
      </c>
      <c r="D843">
        <v>7</v>
      </c>
      <c r="E843" t="s">
        <v>12</v>
      </c>
      <c r="F843" t="s">
        <v>31</v>
      </c>
      <c r="G843">
        <v>1050</v>
      </c>
      <c r="H843">
        <v>45</v>
      </c>
      <c r="I843" t="s">
        <v>34</v>
      </c>
      <c r="J843" t="str">
        <f>_xlfn.XLOOKUP(C843,'product_masterlist(ifs)'!A:A,'product_masterlist(ifs)'!C:C,"N/A",0)</f>
        <v>Surgical</v>
      </c>
      <c r="K843">
        <f>VLOOKUP(C843,'product_masterlist(ifs)'!A:I,7,FALSE)</f>
        <v>15</v>
      </c>
    </row>
    <row r="844" spans="1:11" x14ac:dyDescent="0.35">
      <c r="A844" t="s">
        <v>1116</v>
      </c>
      <c r="B844" t="s">
        <v>129</v>
      </c>
      <c r="C844" t="s">
        <v>53</v>
      </c>
      <c r="D844">
        <v>14</v>
      </c>
      <c r="E844" t="s">
        <v>20</v>
      </c>
      <c r="F844" t="s">
        <v>13</v>
      </c>
      <c r="G844" t="s">
        <v>228</v>
      </c>
      <c r="H844">
        <v>7</v>
      </c>
      <c r="I844" t="s">
        <v>28</v>
      </c>
      <c r="J844" t="str">
        <f>_xlfn.XLOOKUP(C844,'product_masterlist(ifs)'!A:A,'product_masterlist(ifs)'!C:C,"N/A",0)</f>
        <v>Solutions</v>
      </c>
      <c r="K844">
        <f>VLOOKUP(C844,'product_masterlist(ifs)'!A:I,7,FALSE)</f>
        <v>800</v>
      </c>
    </row>
    <row r="845" spans="1:11" x14ac:dyDescent="0.35">
      <c r="A845" t="s">
        <v>1117</v>
      </c>
      <c r="B845" t="s">
        <v>58</v>
      </c>
      <c r="C845" t="s">
        <v>11</v>
      </c>
      <c r="D845">
        <v>8</v>
      </c>
      <c r="E845" t="s">
        <v>22</v>
      </c>
      <c r="F845" t="s">
        <v>23</v>
      </c>
      <c r="G845">
        <v>680</v>
      </c>
      <c r="H845">
        <v>30</v>
      </c>
      <c r="I845" t="s">
        <v>14</v>
      </c>
      <c r="J845" t="str">
        <f>_xlfn.XLOOKUP(C845,'product_masterlist(ifs)'!A:A,'product_masterlist(ifs)'!C:C,"N/A",0)</f>
        <v>Surgical</v>
      </c>
      <c r="K845">
        <f>VLOOKUP(C845,'product_masterlist(ifs)'!A:I,7,FALSE)</f>
        <v>40</v>
      </c>
    </row>
    <row r="846" spans="1:11" x14ac:dyDescent="0.35">
      <c r="A846" t="s">
        <v>1118</v>
      </c>
      <c r="B846" s="1">
        <v>45850</v>
      </c>
      <c r="C846" t="s">
        <v>11</v>
      </c>
      <c r="D846">
        <v>10</v>
      </c>
      <c r="E846" t="s">
        <v>20</v>
      </c>
      <c r="F846" t="s">
        <v>18</v>
      </c>
      <c r="G846">
        <v>850</v>
      </c>
      <c r="H846">
        <v>30</v>
      </c>
      <c r="I846" t="s">
        <v>14</v>
      </c>
      <c r="J846" t="str">
        <f>_xlfn.XLOOKUP(C846,'product_masterlist(ifs)'!A:A,'product_masterlist(ifs)'!C:C,"N/A",0)</f>
        <v>Surgical</v>
      </c>
      <c r="K846">
        <f>VLOOKUP(C846,'product_masterlist(ifs)'!A:I,7,FALSE)</f>
        <v>40</v>
      </c>
    </row>
    <row r="847" spans="1:11" x14ac:dyDescent="0.35">
      <c r="A847" t="s">
        <v>1119</v>
      </c>
      <c r="B847" s="1">
        <v>45659</v>
      </c>
      <c r="C847" t="s">
        <v>33</v>
      </c>
      <c r="D847">
        <v>13</v>
      </c>
      <c r="E847" t="s">
        <v>22</v>
      </c>
      <c r="F847" t="s">
        <v>18</v>
      </c>
      <c r="G847">
        <v>1950</v>
      </c>
      <c r="H847">
        <v>45</v>
      </c>
      <c r="I847" t="s">
        <v>34</v>
      </c>
      <c r="J847" t="str">
        <f>_xlfn.XLOOKUP(C847,'product_masterlist(ifs)'!A:A,'product_masterlist(ifs)'!C:C,"N/A",0)</f>
        <v>Surgical</v>
      </c>
      <c r="K847">
        <f>VLOOKUP(C847,'product_masterlist(ifs)'!A:I,7,FALSE)</f>
        <v>15</v>
      </c>
    </row>
    <row r="848" spans="1:11" x14ac:dyDescent="0.35">
      <c r="A848" t="s">
        <v>1120</v>
      </c>
      <c r="B848" s="1">
        <v>45660</v>
      </c>
      <c r="C848" t="s">
        <v>26</v>
      </c>
      <c r="D848">
        <v>9</v>
      </c>
      <c r="E848" t="s">
        <v>37</v>
      </c>
      <c r="F848" t="s">
        <v>23</v>
      </c>
      <c r="G848" t="s">
        <v>170</v>
      </c>
      <c r="H848">
        <v>14</v>
      </c>
      <c r="I848" t="s">
        <v>28</v>
      </c>
      <c r="J848" t="str">
        <f>_xlfn.XLOOKUP(C848,'product_masterlist(ifs)'!A:A,'product_masterlist(ifs)'!C:C,"N/A",0)</f>
        <v>Contact Lenses</v>
      </c>
      <c r="K848">
        <f>VLOOKUP(C848,'product_masterlist(ifs)'!A:I,7,FALSE)</f>
        <v>450</v>
      </c>
    </row>
    <row r="849" spans="1:11" x14ac:dyDescent="0.35">
      <c r="A849" t="s">
        <v>1121</v>
      </c>
      <c r="B849" t="s">
        <v>515</v>
      </c>
      <c r="C849" t="s">
        <v>90</v>
      </c>
      <c r="D849">
        <v>12</v>
      </c>
      <c r="E849" t="s">
        <v>22</v>
      </c>
      <c r="F849" t="s">
        <v>13</v>
      </c>
      <c r="G849">
        <v>582</v>
      </c>
      <c r="H849">
        <v>30</v>
      </c>
      <c r="I849" t="s">
        <v>14</v>
      </c>
      <c r="J849" t="str">
        <f>_xlfn.XLOOKUP(C849,'product_masterlist(ifs)'!A:A,'product_masterlist(ifs)'!C:C,"N/A",0)</f>
        <v>Frames</v>
      </c>
      <c r="K849">
        <f>VLOOKUP(C849,'product_masterlist(ifs)'!A:I,7,FALSE)</f>
        <v>180</v>
      </c>
    </row>
    <row r="850" spans="1:11" x14ac:dyDescent="0.35">
      <c r="A850" t="s">
        <v>1122</v>
      </c>
      <c r="B850" s="1">
        <v>45692</v>
      </c>
      <c r="C850" t="s">
        <v>42</v>
      </c>
      <c r="D850">
        <v>20</v>
      </c>
      <c r="E850" t="s">
        <v>37</v>
      </c>
      <c r="F850" t="s">
        <v>18</v>
      </c>
      <c r="G850">
        <v>500</v>
      </c>
      <c r="H850">
        <v>21</v>
      </c>
      <c r="I850" t="s">
        <v>14</v>
      </c>
      <c r="J850" t="str">
        <f>_xlfn.XLOOKUP(C850,'product_masterlist(ifs)'!A:A,'product_masterlist(ifs)'!C:C,"N/A",0)</f>
        <v>Contact Lenses</v>
      </c>
      <c r="K850">
        <f>VLOOKUP(C850,'product_masterlist(ifs)'!A:I,7,FALSE)</f>
        <v>120</v>
      </c>
    </row>
    <row r="851" spans="1:11" x14ac:dyDescent="0.35">
      <c r="A851" t="s">
        <v>1123</v>
      </c>
      <c r="B851" s="1">
        <v>45973</v>
      </c>
      <c r="C851" t="s">
        <v>11</v>
      </c>
      <c r="D851">
        <v>17</v>
      </c>
      <c r="E851" t="s">
        <v>37</v>
      </c>
      <c r="F851" t="s">
        <v>31</v>
      </c>
      <c r="G851">
        <v>1445</v>
      </c>
      <c r="H851">
        <v>30</v>
      </c>
      <c r="I851" t="s">
        <v>14</v>
      </c>
      <c r="J851" t="str">
        <f>_xlfn.XLOOKUP(C851,'product_masterlist(ifs)'!A:A,'product_masterlist(ifs)'!C:C,"N/A",0)</f>
        <v>Surgical</v>
      </c>
      <c r="K851">
        <f>VLOOKUP(C851,'product_masterlist(ifs)'!A:I,7,FALSE)</f>
        <v>40</v>
      </c>
    </row>
    <row r="852" spans="1:11" x14ac:dyDescent="0.35">
      <c r="A852" t="s">
        <v>1124</v>
      </c>
      <c r="B852" t="s">
        <v>1125</v>
      </c>
      <c r="C852" t="s">
        <v>26</v>
      </c>
      <c r="D852">
        <v>7</v>
      </c>
      <c r="E852" t="s">
        <v>12</v>
      </c>
      <c r="F852" t="s">
        <v>18</v>
      </c>
      <c r="G852" t="s">
        <v>27</v>
      </c>
      <c r="H852">
        <v>14</v>
      </c>
      <c r="I852" t="s">
        <v>28</v>
      </c>
      <c r="J852" t="str">
        <f>_xlfn.XLOOKUP(C852,'product_masterlist(ifs)'!A:A,'product_masterlist(ifs)'!C:C,"N/A",0)</f>
        <v>Contact Lenses</v>
      </c>
      <c r="K852">
        <f>VLOOKUP(C852,'product_masterlist(ifs)'!A:I,7,FALSE)</f>
        <v>450</v>
      </c>
    </row>
    <row r="853" spans="1:11" x14ac:dyDescent="0.35">
      <c r="A853" t="s">
        <v>1126</v>
      </c>
      <c r="B853" s="1">
        <v>45971</v>
      </c>
      <c r="C853" t="s">
        <v>53</v>
      </c>
      <c r="D853">
        <v>5</v>
      </c>
      <c r="E853" t="s">
        <v>12</v>
      </c>
      <c r="F853" t="s">
        <v>18</v>
      </c>
      <c r="G853" t="s">
        <v>854</v>
      </c>
      <c r="H853">
        <v>7</v>
      </c>
      <c r="I853" t="s">
        <v>28</v>
      </c>
      <c r="J853" t="str">
        <f>_xlfn.XLOOKUP(C853,'product_masterlist(ifs)'!A:A,'product_masterlist(ifs)'!C:C,"N/A",0)</f>
        <v>Solutions</v>
      </c>
      <c r="K853">
        <f>VLOOKUP(C853,'product_masterlist(ifs)'!A:I,7,FALSE)</f>
        <v>800</v>
      </c>
    </row>
    <row r="854" spans="1:11" x14ac:dyDescent="0.35">
      <c r="A854" t="s">
        <v>1127</v>
      </c>
      <c r="B854" t="s">
        <v>535</v>
      </c>
      <c r="C854" t="s">
        <v>33</v>
      </c>
      <c r="D854">
        <v>22</v>
      </c>
      <c r="E854" t="s">
        <v>20</v>
      </c>
      <c r="F854" t="s">
        <v>23</v>
      </c>
      <c r="G854">
        <v>3300</v>
      </c>
      <c r="H854">
        <v>45</v>
      </c>
      <c r="I854" t="s">
        <v>34</v>
      </c>
      <c r="J854" t="str">
        <f>_xlfn.XLOOKUP(C854,'product_masterlist(ifs)'!A:A,'product_masterlist(ifs)'!C:C,"N/A",0)</f>
        <v>Surgical</v>
      </c>
      <c r="K854">
        <f>VLOOKUP(C854,'product_masterlist(ifs)'!A:I,7,FALSE)</f>
        <v>15</v>
      </c>
    </row>
    <row r="855" spans="1:11" x14ac:dyDescent="0.35">
      <c r="A855" t="s">
        <v>1128</v>
      </c>
      <c r="B855" s="1">
        <v>45998</v>
      </c>
      <c r="C855" t="s">
        <v>17</v>
      </c>
      <c r="D855">
        <v>9</v>
      </c>
      <c r="E855" t="s">
        <v>20</v>
      </c>
      <c r="F855" t="s">
        <v>23</v>
      </c>
      <c r="G855">
        <v>405</v>
      </c>
      <c r="H855">
        <v>30</v>
      </c>
      <c r="I855" t="s">
        <v>14</v>
      </c>
      <c r="J855" t="str">
        <f>_xlfn.XLOOKUP(C855,'product_masterlist(ifs)'!A:A,'product_masterlist(ifs)'!C:C,"N/A",0)</f>
        <v>Frames</v>
      </c>
      <c r="K855">
        <f>VLOOKUP(C855,'product_masterlist(ifs)'!A:I,7,FALSE)</f>
        <v>45</v>
      </c>
    </row>
    <row r="856" spans="1:11" x14ac:dyDescent="0.35">
      <c r="A856" t="s">
        <v>1129</v>
      </c>
      <c r="B856" t="s">
        <v>214</v>
      </c>
      <c r="C856" t="s">
        <v>11</v>
      </c>
      <c r="D856">
        <v>15</v>
      </c>
      <c r="E856" t="s">
        <v>20</v>
      </c>
      <c r="F856" t="s">
        <v>13</v>
      </c>
      <c r="G856">
        <v>1275</v>
      </c>
      <c r="H856">
        <v>30</v>
      </c>
      <c r="I856" t="s">
        <v>14</v>
      </c>
      <c r="J856" t="str">
        <f>_xlfn.XLOOKUP(C856,'product_masterlist(ifs)'!A:A,'product_masterlist(ifs)'!C:C,"N/A",0)</f>
        <v>Surgical</v>
      </c>
      <c r="K856">
        <f>VLOOKUP(C856,'product_masterlist(ifs)'!A:I,7,FALSE)</f>
        <v>40</v>
      </c>
    </row>
    <row r="857" spans="1:11" x14ac:dyDescent="0.35">
      <c r="A857" t="s">
        <v>1130</v>
      </c>
      <c r="B857" t="s">
        <v>1131</v>
      </c>
      <c r="C857" t="s">
        <v>90</v>
      </c>
      <c r="D857">
        <v>4</v>
      </c>
      <c r="E857" t="s">
        <v>37</v>
      </c>
      <c r="F857" t="s">
        <v>23</v>
      </c>
      <c r="G857">
        <v>194</v>
      </c>
      <c r="H857">
        <v>30</v>
      </c>
      <c r="I857" t="s">
        <v>14</v>
      </c>
      <c r="J857" t="str">
        <f>_xlfn.XLOOKUP(C857,'product_masterlist(ifs)'!A:A,'product_masterlist(ifs)'!C:C,"N/A",0)</f>
        <v>Frames</v>
      </c>
      <c r="K857">
        <f>VLOOKUP(C857,'product_masterlist(ifs)'!A:I,7,FALSE)</f>
        <v>180</v>
      </c>
    </row>
    <row r="858" spans="1:11" x14ac:dyDescent="0.35">
      <c r="A858" t="s">
        <v>1132</v>
      </c>
      <c r="B858" t="s">
        <v>1006</v>
      </c>
      <c r="C858" t="s">
        <v>53</v>
      </c>
      <c r="D858">
        <v>15</v>
      </c>
      <c r="E858" t="s">
        <v>37</v>
      </c>
      <c r="F858" t="s">
        <v>18</v>
      </c>
      <c r="G858" t="s">
        <v>93</v>
      </c>
      <c r="H858">
        <v>7</v>
      </c>
      <c r="I858" t="s">
        <v>28</v>
      </c>
      <c r="J858" t="str">
        <f>_xlfn.XLOOKUP(C858,'product_masterlist(ifs)'!A:A,'product_masterlist(ifs)'!C:C,"N/A",0)</f>
        <v>Solutions</v>
      </c>
      <c r="K858">
        <f>VLOOKUP(C858,'product_masterlist(ifs)'!A:I,7,FALSE)</f>
        <v>800</v>
      </c>
    </row>
    <row r="859" spans="1:11" x14ac:dyDescent="0.35">
      <c r="A859" t="s">
        <v>1133</v>
      </c>
      <c r="B859" s="1">
        <v>45905</v>
      </c>
      <c r="C859" t="s">
        <v>11</v>
      </c>
      <c r="D859">
        <v>14</v>
      </c>
      <c r="E859" t="s">
        <v>22</v>
      </c>
      <c r="F859" t="s">
        <v>13</v>
      </c>
      <c r="G859">
        <v>1190</v>
      </c>
      <c r="H859">
        <v>30</v>
      </c>
      <c r="I859" t="s">
        <v>14</v>
      </c>
      <c r="J859" t="str">
        <f>_xlfn.XLOOKUP(C859,'product_masterlist(ifs)'!A:A,'product_masterlist(ifs)'!C:C,"N/A",0)</f>
        <v>Surgical</v>
      </c>
      <c r="K859">
        <f>VLOOKUP(C859,'product_masterlist(ifs)'!A:I,7,FALSE)</f>
        <v>40</v>
      </c>
    </row>
    <row r="860" spans="1:11" x14ac:dyDescent="0.35">
      <c r="A860" t="s">
        <v>1134</v>
      </c>
      <c r="B860" s="1">
        <v>45780</v>
      </c>
      <c r="C860" t="s">
        <v>42</v>
      </c>
      <c r="D860">
        <v>25</v>
      </c>
      <c r="E860" t="s">
        <v>12</v>
      </c>
      <c r="F860" t="s">
        <v>13</v>
      </c>
      <c r="G860">
        <v>625</v>
      </c>
      <c r="H860">
        <v>21</v>
      </c>
      <c r="I860" t="s">
        <v>14</v>
      </c>
      <c r="J860" t="str">
        <f>_xlfn.XLOOKUP(C860,'product_masterlist(ifs)'!A:A,'product_masterlist(ifs)'!C:C,"N/A",0)</f>
        <v>Contact Lenses</v>
      </c>
      <c r="K860">
        <f>VLOOKUP(C860,'product_masterlist(ifs)'!A:I,7,FALSE)</f>
        <v>120</v>
      </c>
    </row>
    <row r="861" spans="1:11" x14ac:dyDescent="0.35">
      <c r="A861" t="s">
        <v>1135</v>
      </c>
      <c r="B861" t="s">
        <v>711</v>
      </c>
      <c r="C861" t="s">
        <v>42</v>
      </c>
      <c r="D861">
        <v>25</v>
      </c>
      <c r="E861" t="s">
        <v>22</v>
      </c>
      <c r="F861" t="s">
        <v>13</v>
      </c>
      <c r="G861">
        <v>625</v>
      </c>
      <c r="H861">
        <v>21</v>
      </c>
      <c r="I861" t="s">
        <v>14</v>
      </c>
      <c r="J861" t="str">
        <f>_xlfn.XLOOKUP(C861,'product_masterlist(ifs)'!A:A,'product_masterlist(ifs)'!C:C,"N/A",0)</f>
        <v>Contact Lenses</v>
      </c>
      <c r="K861">
        <f>VLOOKUP(C861,'product_masterlist(ifs)'!A:I,7,FALSE)</f>
        <v>120</v>
      </c>
    </row>
    <row r="862" spans="1:11" x14ac:dyDescent="0.35">
      <c r="A862" t="s">
        <v>1136</v>
      </c>
      <c r="B862" t="s">
        <v>988</v>
      </c>
      <c r="C862" t="s">
        <v>33</v>
      </c>
      <c r="D862">
        <v>24</v>
      </c>
      <c r="E862" t="s">
        <v>12</v>
      </c>
      <c r="F862" t="s">
        <v>23</v>
      </c>
      <c r="G862">
        <v>3600</v>
      </c>
      <c r="H862">
        <v>45</v>
      </c>
      <c r="I862" t="s">
        <v>34</v>
      </c>
      <c r="J862" t="str">
        <f>_xlfn.XLOOKUP(C862,'product_masterlist(ifs)'!A:A,'product_masterlist(ifs)'!C:C,"N/A",0)</f>
        <v>Surgical</v>
      </c>
      <c r="K862">
        <f>VLOOKUP(C862,'product_masterlist(ifs)'!A:I,7,FALSE)</f>
        <v>15</v>
      </c>
    </row>
    <row r="863" spans="1:11" x14ac:dyDescent="0.35">
      <c r="A863" t="s">
        <v>1137</v>
      </c>
      <c r="B863" t="s">
        <v>97</v>
      </c>
      <c r="C863" t="s">
        <v>53</v>
      </c>
      <c r="D863">
        <v>17</v>
      </c>
      <c r="E863" t="s">
        <v>12</v>
      </c>
      <c r="F863" t="s">
        <v>31</v>
      </c>
      <c r="G863" t="s">
        <v>698</v>
      </c>
      <c r="H863">
        <v>7</v>
      </c>
      <c r="I863" t="s">
        <v>28</v>
      </c>
      <c r="J863" t="str">
        <f>_xlfn.XLOOKUP(C863,'product_masterlist(ifs)'!A:A,'product_masterlist(ifs)'!C:C,"N/A",0)</f>
        <v>Solutions</v>
      </c>
      <c r="K863">
        <f>VLOOKUP(C863,'product_masterlist(ifs)'!A:I,7,FALSE)</f>
        <v>800</v>
      </c>
    </row>
    <row r="864" spans="1:11" x14ac:dyDescent="0.35">
      <c r="A864" t="s">
        <v>1138</v>
      </c>
      <c r="B864" s="1">
        <v>45669</v>
      </c>
      <c r="C864" t="s">
        <v>90</v>
      </c>
      <c r="D864">
        <v>12</v>
      </c>
      <c r="E864" t="s">
        <v>22</v>
      </c>
      <c r="F864" t="s">
        <v>31</v>
      </c>
      <c r="G864">
        <v>582</v>
      </c>
      <c r="H864">
        <v>30</v>
      </c>
      <c r="I864" t="s">
        <v>14</v>
      </c>
      <c r="J864" t="str">
        <f>_xlfn.XLOOKUP(C864,'product_masterlist(ifs)'!A:A,'product_masterlist(ifs)'!C:C,"N/A",0)</f>
        <v>Frames</v>
      </c>
      <c r="K864">
        <f>VLOOKUP(C864,'product_masterlist(ifs)'!A:I,7,FALSE)</f>
        <v>180</v>
      </c>
    </row>
    <row r="865" spans="1:11" x14ac:dyDescent="0.35">
      <c r="A865" t="s">
        <v>1139</v>
      </c>
      <c r="B865" t="s">
        <v>246</v>
      </c>
      <c r="C865" t="s">
        <v>26</v>
      </c>
      <c r="D865">
        <v>19</v>
      </c>
      <c r="E865" t="s">
        <v>12</v>
      </c>
      <c r="F865" t="s">
        <v>31</v>
      </c>
      <c r="G865" t="s">
        <v>1093</v>
      </c>
      <c r="H865">
        <v>14</v>
      </c>
      <c r="I865" t="s">
        <v>28</v>
      </c>
      <c r="J865" t="str">
        <f>_xlfn.XLOOKUP(C865,'product_masterlist(ifs)'!A:A,'product_masterlist(ifs)'!C:C,"N/A",0)</f>
        <v>Contact Lenses</v>
      </c>
      <c r="K865">
        <f>VLOOKUP(C865,'product_masterlist(ifs)'!A:I,7,FALSE)</f>
        <v>450</v>
      </c>
    </row>
    <row r="866" spans="1:11" x14ac:dyDescent="0.35">
      <c r="A866" t="s">
        <v>1140</v>
      </c>
      <c r="B866" s="1">
        <v>45904</v>
      </c>
      <c r="C866" t="s">
        <v>11</v>
      </c>
      <c r="D866">
        <v>15</v>
      </c>
      <c r="E866" t="s">
        <v>12</v>
      </c>
      <c r="F866" t="s">
        <v>13</v>
      </c>
      <c r="G866">
        <v>1275</v>
      </c>
      <c r="H866">
        <v>30</v>
      </c>
      <c r="I866" t="s">
        <v>14</v>
      </c>
      <c r="J866" t="str">
        <f>_xlfn.XLOOKUP(C866,'product_masterlist(ifs)'!A:A,'product_masterlist(ifs)'!C:C,"N/A",0)</f>
        <v>Surgical</v>
      </c>
      <c r="K866">
        <f>VLOOKUP(C866,'product_masterlist(ifs)'!A:I,7,FALSE)</f>
        <v>40</v>
      </c>
    </row>
    <row r="867" spans="1:11" x14ac:dyDescent="0.35">
      <c r="A867" t="s">
        <v>1141</v>
      </c>
      <c r="B867" t="s">
        <v>1103</v>
      </c>
      <c r="C867" t="s">
        <v>26</v>
      </c>
      <c r="D867">
        <v>22</v>
      </c>
      <c r="E867" t="s">
        <v>37</v>
      </c>
      <c r="F867" t="s">
        <v>31</v>
      </c>
      <c r="G867">
        <v>275</v>
      </c>
      <c r="H867">
        <v>14</v>
      </c>
      <c r="I867" t="s">
        <v>28</v>
      </c>
      <c r="J867" t="str">
        <f>_xlfn.XLOOKUP(C867,'product_masterlist(ifs)'!A:A,'product_masterlist(ifs)'!C:C,"N/A",0)</f>
        <v>Contact Lenses</v>
      </c>
      <c r="K867">
        <f>VLOOKUP(C867,'product_masterlist(ifs)'!A:I,7,FALSE)</f>
        <v>450</v>
      </c>
    </row>
    <row r="868" spans="1:11" x14ac:dyDescent="0.35">
      <c r="A868" t="s">
        <v>1142</v>
      </c>
      <c r="B868" t="s">
        <v>108</v>
      </c>
      <c r="C868" t="s">
        <v>53</v>
      </c>
      <c r="D868">
        <v>19</v>
      </c>
      <c r="E868" t="s">
        <v>22</v>
      </c>
      <c r="F868" t="s">
        <v>18</v>
      </c>
      <c r="G868" t="s">
        <v>54</v>
      </c>
      <c r="H868">
        <v>7</v>
      </c>
      <c r="I868" t="s">
        <v>28</v>
      </c>
      <c r="J868" t="str">
        <f>_xlfn.XLOOKUP(C868,'product_masterlist(ifs)'!A:A,'product_masterlist(ifs)'!C:C,"N/A",0)</f>
        <v>Solutions</v>
      </c>
      <c r="K868">
        <f>VLOOKUP(C868,'product_masterlist(ifs)'!A:I,7,FALSE)</f>
        <v>800</v>
      </c>
    </row>
    <row r="869" spans="1:11" x14ac:dyDescent="0.35">
      <c r="A869" t="s">
        <v>1143</v>
      </c>
      <c r="B869" s="1">
        <v>45754</v>
      </c>
      <c r="C869" t="s">
        <v>90</v>
      </c>
      <c r="D869">
        <v>5</v>
      </c>
      <c r="E869" t="s">
        <v>20</v>
      </c>
      <c r="F869" t="s">
        <v>31</v>
      </c>
      <c r="G869" t="s">
        <v>332</v>
      </c>
      <c r="H869">
        <v>30</v>
      </c>
      <c r="I869" t="s">
        <v>14</v>
      </c>
      <c r="J869" t="str">
        <f>_xlfn.XLOOKUP(C869,'product_masterlist(ifs)'!A:A,'product_masterlist(ifs)'!C:C,"N/A",0)</f>
        <v>Frames</v>
      </c>
      <c r="K869">
        <f>VLOOKUP(C869,'product_masterlist(ifs)'!A:I,7,FALSE)</f>
        <v>180</v>
      </c>
    </row>
    <row r="870" spans="1:11" x14ac:dyDescent="0.35">
      <c r="A870" t="s">
        <v>1144</v>
      </c>
      <c r="B870" t="s">
        <v>87</v>
      </c>
      <c r="C870" t="s">
        <v>11</v>
      </c>
      <c r="D870">
        <v>10</v>
      </c>
      <c r="E870" t="s">
        <v>37</v>
      </c>
      <c r="F870" t="s">
        <v>13</v>
      </c>
      <c r="G870">
        <v>850</v>
      </c>
      <c r="H870">
        <v>30</v>
      </c>
      <c r="I870" t="s">
        <v>14</v>
      </c>
      <c r="J870" t="str">
        <f>_xlfn.XLOOKUP(C870,'product_masterlist(ifs)'!A:A,'product_masterlist(ifs)'!C:C,"N/A",0)</f>
        <v>Surgical</v>
      </c>
      <c r="K870">
        <f>VLOOKUP(C870,'product_masterlist(ifs)'!A:I,7,FALSE)</f>
        <v>40</v>
      </c>
    </row>
    <row r="871" spans="1:11" x14ac:dyDescent="0.35">
      <c r="A871" t="s">
        <v>1145</v>
      </c>
      <c r="B871" t="s">
        <v>192</v>
      </c>
      <c r="C871" t="s">
        <v>53</v>
      </c>
      <c r="D871">
        <v>2</v>
      </c>
      <c r="E871" t="s">
        <v>22</v>
      </c>
      <c r="F871" t="s">
        <v>18</v>
      </c>
      <c r="G871" t="s">
        <v>291</v>
      </c>
      <c r="H871">
        <v>7</v>
      </c>
      <c r="I871" t="s">
        <v>28</v>
      </c>
      <c r="J871" t="str">
        <f>_xlfn.XLOOKUP(C871,'product_masterlist(ifs)'!A:A,'product_masterlist(ifs)'!C:C,"N/A",0)</f>
        <v>Solutions</v>
      </c>
      <c r="K871">
        <f>VLOOKUP(C871,'product_masterlist(ifs)'!A:I,7,FALSE)</f>
        <v>800</v>
      </c>
    </row>
    <row r="872" spans="1:11" x14ac:dyDescent="0.35">
      <c r="A872" t="s">
        <v>1146</v>
      </c>
      <c r="B872" s="1">
        <v>45813</v>
      </c>
      <c r="C872" t="s">
        <v>11</v>
      </c>
      <c r="D872">
        <v>11</v>
      </c>
      <c r="E872" t="s">
        <v>37</v>
      </c>
      <c r="F872" t="s">
        <v>18</v>
      </c>
      <c r="G872">
        <v>935</v>
      </c>
      <c r="H872">
        <v>30</v>
      </c>
      <c r="I872" t="s">
        <v>14</v>
      </c>
      <c r="J872" t="str">
        <f>_xlfn.XLOOKUP(C872,'product_masterlist(ifs)'!A:A,'product_masterlist(ifs)'!C:C,"N/A",0)</f>
        <v>Surgical</v>
      </c>
      <c r="K872">
        <f>VLOOKUP(C872,'product_masterlist(ifs)'!A:I,7,FALSE)</f>
        <v>40</v>
      </c>
    </row>
    <row r="873" spans="1:11" x14ac:dyDescent="0.35">
      <c r="A873" t="s">
        <v>1147</v>
      </c>
      <c r="B873" t="s">
        <v>1099</v>
      </c>
      <c r="C873" t="s">
        <v>42</v>
      </c>
      <c r="D873">
        <v>17</v>
      </c>
      <c r="E873" t="s">
        <v>12</v>
      </c>
      <c r="F873" t="s">
        <v>13</v>
      </c>
      <c r="G873">
        <v>425</v>
      </c>
      <c r="H873">
        <v>21</v>
      </c>
      <c r="I873" t="s">
        <v>14</v>
      </c>
      <c r="J873" t="str">
        <f>_xlfn.XLOOKUP(C873,'product_masterlist(ifs)'!A:A,'product_masterlist(ifs)'!C:C,"N/A",0)</f>
        <v>Contact Lenses</v>
      </c>
      <c r="K873">
        <f>VLOOKUP(C873,'product_masterlist(ifs)'!A:I,7,FALSE)</f>
        <v>120</v>
      </c>
    </row>
    <row r="874" spans="1:11" x14ac:dyDescent="0.35">
      <c r="A874" t="s">
        <v>1148</v>
      </c>
      <c r="B874" t="s">
        <v>36</v>
      </c>
      <c r="C874" t="s">
        <v>33</v>
      </c>
      <c r="D874">
        <v>7</v>
      </c>
      <c r="E874" t="s">
        <v>37</v>
      </c>
      <c r="F874" t="s">
        <v>18</v>
      </c>
      <c r="G874">
        <v>1050</v>
      </c>
      <c r="H874">
        <v>45</v>
      </c>
      <c r="I874" t="s">
        <v>34</v>
      </c>
      <c r="J874" t="str">
        <f>_xlfn.XLOOKUP(C874,'product_masterlist(ifs)'!A:A,'product_masterlist(ifs)'!C:C,"N/A",0)</f>
        <v>Surgical</v>
      </c>
      <c r="K874">
        <f>VLOOKUP(C874,'product_masterlist(ifs)'!A:I,7,FALSE)</f>
        <v>15</v>
      </c>
    </row>
    <row r="875" spans="1:11" x14ac:dyDescent="0.35">
      <c r="A875" t="s">
        <v>1149</v>
      </c>
      <c r="B875" t="s">
        <v>1150</v>
      </c>
      <c r="C875" t="s">
        <v>17</v>
      </c>
      <c r="D875">
        <v>3</v>
      </c>
      <c r="E875" t="s">
        <v>37</v>
      </c>
      <c r="F875" t="s">
        <v>13</v>
      </c>
      <c r="G875">
        <v>135</v>
      </c>
      <c r="H875">
        <v>30</v>
      </c>
      <c r="I875" t="s">
        <v>14</v>
      </c>
      <c r="J875" t="str">
        <f>_xlfn.XLOOKUP(C875,'product_masterlist(ifs)'!A:A,'product_masterlist(ifs)'!C:C,"N/A",0)</f>
        <v>Frames</v>
      </c>
      <c r="K875">
        <f>VLOOKUP(C875,'product_masterlist(ifs)'!A:I,7,FALSE)</f>
        <v>45</v>
      </c>
    </row>
    <row r="876" spans="1:11" x14ac:dyDescent="0.35">
      <c r="A876" t="s">
        <v>1151</v>
      </c>
      <c r="B876" s="1">
        <v>45779</v>
      </c>
      <c r="C876" t="s">
        <v>26</v>
      </c>
      <c r="D876">
        <v>20</v>
      </c>
      <c r="E876" t="s">
        <v>12</v>
      </c>
      <c r="F876" t="s">
        <v>23</v>
      </c>
      <c r="G876">
        <v>250</v>
      </c>
      <c r="H876">
        <v>14</v>
      </c>
      <c r="I876" t="s">
        <v>28</v>
      </c>
      <c r="J876" t="str">
        <f>_xlfn.XLOOKUP(C876,'product_masterlist(ifs)'!A:A,'product_masterlist(ifs)'!C:C,"N/A",0)</f>
        <v>Contact Lenses</v>
      </c>
      <c r="K876">
        <f>VLOOKUP(C876,'product_masterlist(ifs)'!A:I,7,FALSE)</f>
        <v>450</v>
      </c>
    </row>
    <row r="877" spans="1:11" x14ac:dyDescent="0.35">
      <c r="A877" t="s">
        <v>1152</v>
      </c>
      <c r="B877" s="1">
        <v>45727</v>
      </c>
      <c r="C877" t="s">
        <v>33</v>
      </c>
      <c r="D877">
        <v>11</v>
      </c>
      <c r="E877" t="s">
        <v>37</v>
      </c>
      <c r="F877" t="s">
        <v>18</v>
      </c>
      <c r="G877">
        <v>1650</v>
      </c>
      <c r="H877">
        <v>45</v>
      </c>
      <c r="I877" t="s">
        <v>34</v>
      </c>
      <c r="J877" t="str">
        <f>_xlfn.XLOOKUP(C877,'product_masterlist(ifs)'!A:A,'product_masterlist(ifs)'!C:C,"N/A",0)</f>
        <v>Surgical</v>
      </c>
      <c r="K877">
        <f>VLOOKUP(C877,'product_masterlist(ifs)'!A:I,7,FALSE)</f>
        <v>15</v>
      </c>
    </row>
    <row r="878" spans="1:11" x14ac:dyDescent="0.35">
      <c r="A878" t="s">
        <v>1153</v>
      </c>
      <c r="B878" t="s">
        <v>246</v>
      </c>
      <c r="C878" t="s">
        <v>33</v>
      </c>
      <c r="D878">
        <v>24</v>
      </c>
      <c r="E878" t="s">
        <v>12</v>
      </c>
      <c r="F878" t="s">
        <v>23</v>
      </c>
      <c r="G878">
        <v>3600</v>
      </c>
      <c r="H878">
        <v>45</v>
      </c>
      <c r="I878" t="s">
        <v>34</v>
      </c>
      <c r="J878" t="str">
        <f>_xlfn.XLOOKUP(C878,'product_masterlist(ifs)'!A:A,'product_masterlist(ifs)'!C:C,"N/A",0)</f>
        <v>Surgical</v>
      </c>
      <c r="K878">
        <f>VLOOKUP(C878,'product_masterlist(ifs)'!A:I,7,FALSE)</f>
        <v>15</v>
      </c>
    </row>
    <row r="879" spans="1:11" x14ac:dyDescent="0.35">
      <c r="A879" t="s">
        <v>1154</v>
      </c>
      <c r="B879" t="s">
        <v>151</v>
      </c>
      <c r="C879" t="s">
        <v>26</v>
      </c>
      <c r="D879">
        <v>16</v>
      </c>
      <c r="E879" t="s">
        <v>37</v>
      </c>
      <c r="F879" t="s">
        <v>31</v>
      </c>
      <c r="G879">
        <v>200</v>
      </c>
      <c r="H879">
        <v>14</v>
      </c>
      <c r="I879" t="s">
        <v>28</v>
      </c>
      <c r="J879" t="str">
        <f>_xlfn.XLOOKUP(C879,'product_masterlist(ifs)'!A:A,'product_masterlist(ifs)'!C:C,"N/A",0)</f>
        <v>Contact Lenses</v>
      </c>
      <c r="K879">
        <f>VLOOKUP(C879,'product_masterlist(ifs)'!A:I,7,FALSE)</f>
        <v>450</v>
      </c>
    </row>
    <row r="880" spans="1:11" x14ac:dyDescent="0.35">
      <c r="A880" t="s">
        <v>1155</v>
      </c>
      <c r="B880" s="1">
        <v>45788</v>
      </c>
      <c r="C880" t="s">
        <v>42</v>
      </c>
      <c r="D880">
        <v>6</v>
      </c>
      <c r="E880" t="s">
        <v>22</v>
      </c>
      <c r="F880" t="s">
        <v>31</v>
      </c>
      <c r="G880">
        <v>150</v>
      </c>
      <c r="H880">
        <v>21</v>
      </c>
      <c r="I880" t="s">
        <v>14</v>
      </c>
      <c r="J880" t="str">
        <f>_xlfn.XLOOKUP(C880,'product_masterlist(ifs)'!A:A,'product_masterlist(ifs)'!C:C,"N/A",0)</f>
        <v>Contact Lenses</v>
      </c>
      <c r="K880">
        <f>VLOOKUP(C880,'product_masterlist(ifs)'!A:I,7,FALSE)</f>
        <v>120</v>
      </c>
    </row>
    <row r="881" spans="1:11" x14ac:dyDescent="0.35">
      <c r="A881" t="s">
        <v>1156</v>
      </c>
      <c r="B881" s="1">
        <v>45907</v>
      </c>
      <c r="C881" t="s">
        <v>26</v>
      </c>
      <c r="D881">
        <v>4</v>
      </c>
      <c r="E881" t="s">
        <v>12</v>
      </c>
      <c r="F881" t="s">
        <v>23</v>
      </c>
      <c r="G881">
        <v>50</v>
      </c>
      <c r="H881">
        <v>14</v>
      </c>
      <c r="I881" t="s">
        <v>28</v>
      </c>
      <c r="J881" t="str">
        <f>_xlfn.XLOOKUP(C881,'product_masterlist(ifs)'!A:A,'product_masterlist(ifs)'!C:C,"N/A",0)</f>
        <v>Contact Lenses</v>
      </c>
      <c r="K881">
        <f>VLOOKUP(C881,'product_masterlist(ifs)'!A:I,7,FALSE)</f>
        <v>450</v>
      </c>
    </row>
    <row r="882" spans="1:11" x14ac:dyDescent="0.35">
      <c r="A882" t="s">
        <v>1157</v>
      </c>
      <c r="B882" s="1">
        <v>45935</v>
      </c>
      <c r="C882" t="s">
        <v>53</v>
      </c>
      <c r="D882">
        <v>22</v>
      </c>
      <c r="E882" t="s">
        <v>12</v>
      </c>
      <c r="F882" t="s">
        <v>18</v>
      </c>
      <c r="G882" t="s">
        <v>176</v>
      </c>
      <c r="H882">
        <v>7</v>
      </c>
      <c r="I882" t="s">
        <v>28</v>
      </c>
      <c r="J882" t="str">
        <f>_xlfn.XLOOKUP(C882,'product_masterlist(ifs)'!A:A,'product_masterlist(ifs)'!C:C,"N/A",0)</f>
        <v>Solutions</v>
      </c>
      <c r="K882">
        <f>VLOOKUP(C882,'product_masterlist(ifs)'!A:I,7,FALSE)</f>
        <v>800</v>
      </c>
    </row>
    <row r="883" spans="1:11" x14ac:dyDescent="0.35">
      <c r="A883" t="s">
        <v>1158</v>
      </c>
      <c r="B883" t="s">
        <v>489</v>
      </c>
      <c r="C883" t="s">
        <v>26</v>
      </c>
      <c r="D883">
        <v>23</v>
      </c>
      <c r="E883" t="s">
        <v>12</v>
      </c>
      <c r="F883" t="s">
        <v>31</v>
      </c>
      <c r="G883" t="s">
        <v>162</v>
      </c>
      <c r="H883">
        <v>14</v>
      </c>
      <c r="I883" t="s">
        <v>28</v>
      </c>
      <c r="J883" t="str">
        <f>_xlfn.XLOOKUP(C883,'product_masterlist(ifs)'!A:A,'product_masterlist(ifs)'!C:C,"N/A",0)</f>
        <v>Contact Lenses</v>
      </c>
      <c r="K883">
        <f>VLOOKUP(C883,'product_masterlist(ifs)'!A:I,7,FALSE)</f>
        <v>450</v>
      </c>
    </row>
    <row r="884" spans="1:11" x14ac:dyDescent="0.35">
      <c r="A884" t="s">
        <v>1159</v>
      </c>
      <c r="B884" t="s">
        <v>271</v>
      </c>
      <c r="C884" t="s">
        <v>26</v>
      </c>
      <c r="D884">
        <v>22</v>
      </c>
      <c r="E884" t="s">
        <v>20</v>
      </c>
      <c r="F884" t="s">
        <v>23</v>
      </c>
      <c r="G884">
        <v>275</v>
      </c>
      <c r="H884">
        <v>14</v>
      </c>
      <c r="I884" t="s">
        <v>28</v>
      </c>
      <c r="J884" t="str">
        <f>_xlfn.XLOOKUP(C884,'product_masterlist(ifs)'!A:A,'product_masterlist(ifs)'!C:C,"N/A",0)</f>
        <v>Contact Lenses</v>
      </c>
      <c r="K884">
        <f>VLOOKUP(C884,'product_masterlist(ifs)'!A:I,7,FALSE)</f>
        <v>450</v>
      </c>
    </row>
    <row r="885" spans="1:11" x14ac:dyDescent="0.35">
      <c r="A885" t="s">
        <v>1160</v>
      </c>
      <c r="B885" t="s">
        <v>350</v>
      </c>
      <c r="C885" t="s">
        <v>90</v>
      </c>
      <c r="D885">
        <v>11</v>
      </c>
      <c r="E885" t="s">
        <v>22</v>
      </c>
      <c r="F885" t="s">
        <v>13</v>
      </c>
      <c r="G885" t="s">
        <v>238</v>
      </c>
      <c r="H885">
        <v>30</v>
      </c>
      <c r="I885" t="s">
        <v>14</v>
      </c>
      <c r="J885" t="str">
        <f>_xlfn.XLOOKUP(C885,'product_masterlist(ifs)'!A:A,'product_masterlist(ifs)'!C:C,"N/A",0)</f>
        <v>Frames</v>
      </c>
      <c r="K885">
        <f>VLOOKUP(C885,'product_masterlist(ifs)'!A:I,7,FALSE)</f>
        <v>180</v>
      </c>
    </row>
    <row r="886" spans="1:11" x14ac:dyDescent="0.35">
      <c r="A886" t="s">
        <v>1161</v>
      </c>
      <c r="B886" s="1">
        <v>45689</v>
      </c>
      <c r="C886" t="s">
        <v>90</v>
      </c>
      <c r="D886">
        <v>15</v>
      </c>
      <c r="E886" t="s">
        <v>37</v>
      </c>
      <c r="F886" t="s">
        <v>18</v>
      </c>
      <c r="G886" t="s">
        <v>250</v>
      </c>
      <c r="H886">
        <v>30</v>
      </c>
      <c r="I886" t="s">
        <v>14</v>
      </c>
      <c r="J886" t="str">
        <f>_xlfn.XLOOKUP(C886,'product_masterlist(ifs)'!A:A,'product_masterlist(ifs)'!C:C,"N/A",0)</f>
        <v>Frames</v>
      </c>
      <c r="K886">
        <f>VLOOKUP(C886,'product_masterlist(ifs)'!A:I,7,FALSE)</f>
        <v>180</v>
      </c>
    </row>
    <row r="887" spans="1:11" x14ac:dyDescent="0.35">
      <c r="A887" t="s">
        <v>1162</v>
      </c>
      <c r="B887" t="s">
        <v>87</v>
      </c>
      <c r="C887" t="s">
        <v>90</v>
      </c>
      <c r="D887">
        <v>1</v>
      </c>
      <c r="E887" t="s">
        <v>20</v>
      </c>
      <c r="F887" t="s">
        <v>31</v>
      </c>
      <c r="G887" t="s">
        <v>109</v>
      </c>
      <c r="H887">
        <v>30</v>
      </c>
      <c r="I887" t="s">
        <v>14</v>
      </c>
      <c r="J887" t="str">
        <f>_xlfn.XLOOKUP(C887,'product_masterlist(ifs)'!A:A,'product_masterlist(ifs)'!C:C,"N/A",0)</f>
        <v>Frames</v>
      </c>
      <c r="K887">
        <f>VLOOKUP(C887,'product_masterlist(ifs)'!A:I,7,FALSE)</f>
        <v>180</v>
      </c>
    </row>
    <row r="888" spans="1:11" x14ac:dyDescent="0.35">
      <c r="A888" t="s">
        <v>1163</v>
      </c>
      <c r="B888" t="s">
        <v>246</v>
      </c>
      <c r="C888" t="s">
        <v>17</v>
      </c>
      <c r="D888">
        <v>24</v>
      </c>
      <c r="E888" t="s">
        <v>12</v>
      </c>
      <c r="F888" t="s">
        <v>31</v>
      </c>
      <c r="G888">
        <v>1080</v>
      </c>
      <c r="H888">
        <v>30</v>
      </c>
      <c r="I888" t="s">
        <v>14</v>
      </c>
      <c r="J888" t="str">
        <f>_xlfn.XLOOKUP(C888,'product_masterlist(ifs)'!A:A,'product_masterlist(ifs)'!C:C,"N/A",0)</f>
        <v>Frames</v>
      </c>
      <c r="K888">
        <f>VLOOKUP(C888,'product_masterlist(ifs)'!A:I,7,FALSE)</f>
        <v>45</v>
      </c>
    </row>
    <row r="889" spans="1:11" x14ac:dyDescent="0.35">
      <c r="A889" t="s">
        <v>1164</v>
      </c>
      <c r="B889" s="1">
        <v>45786</v>
      </c>
      <c r="C889" t="s">
        <v>17</v>
      </c>
      <c r="D889">
        <v>25</v>
      </c>
      <c r="E889" t="s">
        <v>22</v>
      </c>
      <c r="F889" t="s">
        <v>23</v>
      </c>
      <c r="G889">
        <v>1125</v>
      </c>
      <c r="H889">
        <v>30</v>
      </c>
      <c r="I889" t="s">
        <v>14</v>
      </c>
      <c r="J889" t="str">
        <f>_xlfn.XLOOKUP(C889,'product_masterlist(ifs)'!A:A,'product_masterlist(ifs)'!C:C,"N/A",0)</f>
        <v>Frames</v>
      </c>
      <c r="K889">
        <f>VLOOKUP(C889,'product_masterlist(ifs)'!A:I,7,FALSE)</f>
        <v>45</v>
      </c>
    </row>
    <row r="890" spans="1:11" x14ac:dyDescent="0.35">
      <c r="A890" t="s">
        <v>1165</v>
      </c>
      <c r="B890" s="1">
        <v>45665</v>
      </c>
      <c r="C890" t="s">
        <v>11</v>
      </c>
      <c r="D890">
        <v>7</v>
      </c>
      <c r="E890" t="s">
        <v>12</v>
      </c>
      <c r="F890" t="s">
        <v>23</v>
      </c>
      <c r="G890">
        <v>595</v>
      </c>
      <c r="H890">
        <v>30</v>
      </c>
      <c r="I890" t="s">
        <v>14</v>
      </c>
      <c r="J890" t="str">
        <f>_xlfn.XLOOKUP(C890,'product_masterlist(ifs)'!A:A,'product_masterlist(ifs)'!C:C,"N/A",0)</f>
        <v>Surgical</v>
      </c>
      <c r="K890">
        <f>VLOOKUP(C890,'product_masterlist(ifs)'!A:I,7,FALSE)</f>
        <v>40</v>
      </c>
    </row>
    <row r="891" spans="1:11" x14ac:dyDescent="0.35">
      <c r="A891" t="s">
        <v>1166</v>
      </c>
      <c r="B891" s="1">
        <v>45756</v>
      </c>
      <c r="C891" t="s">
        <v>90</v>
      </c>
      <c r="D891">
        <v>16</v>
      </c>
      <c r="E891" t="s">
        <v>37</v>
      </c>
      <c r="F891" t="s">
        <v>31</v>
      </c>
      <c r="G891">
        <v>776</v>
      </c>
      <c r="H891">
        <v>30</v>
      </c>
      <c r="I891" t="s">
        <v>14</v>
      </c>
      <c r="J891" t="str">
        <f>_xlfn.XLOOKUP(C891,'product_masterlist(ifs)'!A:A,'product_masterlist(ifs)'!C:C,"N/A",0)</f>
        <v>Frames</v>
      </c>
      <c r="K891">
        <f>VLOOKUP(C891,'product_masterlist(ifs)'!A:I,7,FALSE)</f>
        <v>180</v>
      </c>
    </row>
    <row r="892" spans="1:11" x14ac:dyDescent="0.35">
      <c r="A892" t="s">
        <v>1167</v>
      </c>
      <c r="B892" s="1">
        <v>45996</v>
      </c>
      <c r="C892" t="s">
        <v>53</v>
      </c>
      <c r="D892">
        <v>6</v>
      </c>
      <c r="E892" t="s">
        <v>22</v>
      </c>
      <c r="F892" t="s">
        <v>31</v>
      </c>
      <c r="G892" t="s">
        <v>369</v>
      </c>
      <c r="H892">
        <v>7</v>
      </c>
      <c r="I892" t="s">
        <v>28</v>
      </c>
      <c r="J892" t="str">
        <f>_xlfn.XLOOKUP(C892,'product_masterlist(ifs)'!A:A,'product_masterlist(ifs)'!C:C,"N/A",0)</f>
        <v>Solutions</v>
      </c>
      <c r="K892">
        <f>VLOOKUP(C892,'product_masterlist(ifs)'!A:I,7,FALSE)</f>
        <v>800</v>
      </c>
    </row>
    <row r="893" spans="1:11" x14ac:dyDescent="0.35">
      <c r="A893" t="s">
        <v>1168</v>
      </c>
      <c r="B893" t="s">
        <v>97</v>
      </c>
      <c r="C893" t="s">
        <v>90</v>
      </c>
      <c r="D893">
        <v>6</v>
      </c>
      <c r="E893" t="s">
        <v>12</v>
      </c>
      <c r="F893" t="s">
        <v>23</v>
      </c>
      <c r="G893">
        <v>291</v>
      </c>
      <c r="H893">
        <v>30</v>
      </c>
      <c r="I893" t="s">
        <v>14</v>
      </c>
      <c r="J893" t="str">
        <f>_xlfn.XLOOKUP(C893,'product_masterlist(ifs)'!A:A,'product_masterlist(ifs)'!C:C,"N/A",0)</f>
        <v>Frames</v>
      </c>
      <c r="K893">
        <f>VLOOKUP(C893,'product_masterlist(ifs)'!A:I,7,FALSE)</f>
        <v>180</v>
      </c>
    </row>
    <row r="894" spans="1:11" x14ac:dyDescent="0.35">
      <c r="A894" t="s">
        <v>1169</v>
      </c>
      <c r="B894" s="1">
        <v>45871</v>
      </c>
      <c r="C894" t="s">
        <v>17</v>
      </c>
      <c r="D894">
        <v>17</v>
      </c>
      <c r="E894" t="s">
        <v>12</v>
      </c>
      <c r="F894" t="s">
        <v>18</v>
      </c>
      <c r="G894">
        <v>765</v>
      </c>
      <c r="H894">
        <v>30</v>
      </c>
      <c r="I894" t="s">
        <v>14</v>
      </c>
      <c r="J894" t="str">
        <f>_xlfn.XLOOKUP(C894,'product_masterlist(ifs)'!A:A,'product_masterlist(ifs)'!C:C,"N/A",0)</f>
        <v>Frames</v>
      </c>
      <c r="K894">
        <f>VLOOKUP(C894,'product_masterlist(ifs)'!A:I,7,FALSE)</f>
        <v>45</v>
      </c>
    </row>
    <row r="895" spans="1:11" x14ac:dyDescent="0.35">
      <c r="A895" t="s">
        <v>1170</v>
      </c>
      <c r="B895" t="s">
        <v>700</v>
      </c>
      <c r="C895" t="s">
        <v>53</v>
      </c>
      <c r="D895">
        <v>16</v>
      </c>
      <c r="E895" t="s">
        <v>22</v>
      </c>
      <c r="F895" t="s">
        <v>13</v>
      </c>
      <c r="G895">
        <v>68</v>
      </c>
      <c r="H895">
        <v>7</v>
      </c>
      <c r="I895" t="s">
        <v>28</v>
      </c>
      <c r="J895" t="str">
        <f>_xlfn.XLOOKUP(C895,'product_masterlist(ifs)'!A:A,'product_masterlist(ifs)'!C:C,"N/A",0)</f>
        <v>Solutions</v>
      </c>
      <c r="K895">
        <f>VLOOKUP(C895,'product_masterlist(ifs)'!A:I,7,FALSE)</f>
        <v>800</v>
      </c>
    </row>
    <row r="896" spans="1:11" x14ac:dyDescent="0.35">
      <c r="A896" t="s">
        <v>1171</v>
      </c>
      <c r="B896" s="1">
        <v>45850</v>
      </c>
      <c r="C896" t="s">
        <v>11</v>
      </c>
      <c r="D896">
        <v>5</v>
      </c>
      <c r="E896" t="s">
        <v>37</v>
      </c>
      <c r="F896" t="s">
        <v>23</v>
      </c>
      <c r="G896">
        <v>425</v>
      </c>
      <c r="H896">
        <v>30</v>
      </c>
      <c r="I896" t="s">
        <v>14</v>
      </c>
      <c r="J896" t="str">
        <f>_xlfn.XLOOKUP(C896,'product_masterlist(ifs)'!A:A,'product_masterlist(ifs)'!C:C,"N/A",0)</f>
        <v>Surgical</v>
      </c>
      <c r="K896">
        <f>VLOOKUP(C896,'product_masterlist(ifs)'!A:I,7,FALSE)</f>
        <v>40</v>
      </c>
    </row>
    <row r="897" spans="1:11" x14ac:dyDescent="0.35">
      <c r="A897" t="s">
        <v>1172</v>
      </c>
      <c r="B897" s="1">
        <v>45840</v>
      </c>
      <c r="C897" t="s">
        <v>42</v>
      </c>
      <c r="D897">
        <v>17</v>
      </c>
      <c r="E897" t="s">
        <v>22</v>
      </c>
      <c r="F897" t="s">
        <v>13</v>
      </c>
      <c r="G897">
        <v>425</v>
      </c>
      <c r="H897">
        <v>21</v>
      </c>
      <c r="I897" t="s">
        <v>14</v>
      </c>
      <c r="J897" t="str">
        <f>_xlfn.XLOOKUP(C897,'product_masterlist(ifs)'!A:A,'product_masterlist(ifs)'!C:C,"N/A",0)</f>
        <v>Contact Lenses</v>
      </c>
      <c r="K897">
        <f>VLOOKUP(C897,'product_masterlist(ifs)'!A:I,7,FALSE)</f>
        <v>120</v>
      </c>
    </row>
    <row r="898" spans="1:11" x14ac:dyDescent="0.35">
      <c r="A898" t="s">
        <v>1173</v>
      </c>
      <c r="B898" t="s">
        <v>547</v>
      </c>
      <c r="C898" t="s">
        <v>90</v>
      </c>
      <c r="D898">
        <v>4</v>
      </c>
      <c r="E898" t="s">
        <v>22</v>
      </c>
      <c r="F898" t="s">
        <v>23</v>
      </c>
      <c r="G898">
        <v>194</v>
      </c>
      <c r="H898">
        <v>30</v>
      </c>
      <c r="I898" t="s">
        <v>14</v>
      </c>
      <c r="J898" t="str">
        <f>_xlfn.XLOOKUP(C898,'product_masterlist(ifs)'!A:A,'product_masterlist(ifs)'!C:C,"N/A",0)</f>
        <v>Frames</v>
      </c>
      <c r="K898">
        <f>VLOOKUP(C898,'product_masterlist(ifs)'!A:I,7,FALSE)</f>
        <v>180</v>
      </c>
    </row>
    <row r="899" spans="1:11" x14ac:dyDescent="0.35">
      <c r="A899" t="s">
        <v>1174</v>
      </c>
      <c r="B899" s="1">
        <v>46000</v>
      </c>
      <c r="C899" t="s">
        <v>26</v>
      </c>
      <c r="D899">
        <v>11</v>
      </c>
      <c r="E899" t="s">
        <v>22</v>
      </c>
      <c r="F899" t="s">
        <v>18</v>
      </c>
      <c r="G899" t="s">
        <v>47</v>
      </c>
      <c r="H899">
        <v>14</v>
      </c>
      <c r="I899" t="s">
        <v>28</v>
      </c>
      <c r="J899" t="str">
        <f>_xlfn.XLOOKUP(C899,'product_masterlist(ifs)'!A:A,'product_masterlist(ifs)'!C:C,"N/A",0)</f>
        <v>Contact Lenses</v>
      </c>
      <c r="K899">
        <f>VLOOKUP(C899,'product_masterlist(ifs)'!A:I,7,FALSE)</f>
        <v>450</v>
      </c>
    </row>
    <row r="900" spans="1:11" x14ac:dyDescent="0.35">
      <c r="A900" t="s">
        <v>1175</v>
      </c>
      <c r="B900" s="1">
        <v>45718</v>
      </c>
      <c r="C900" t="s">
        <v>17</v>
      </c>
      <c r="D900">
        <v>2</v>
      </c>
      <c r="E900" t="s">
        <v>37</v>
      </c>
      <c r="F900" t="s">
        <v>13</v>
      </c>
      <c r="G900">
        <v>90</v>
      </c>
      <c r="H900">
        <v>30</v>
      </c>
      <c r="I900" t="s">
        <v>14</v>
      </c>
      <c r="J900" t="str">
        <f>_xlfn.XLOOKUP(C900,'product_masterlist(ifs)'!A:A,'product_masterlist(ifs)'!C:C,"N/A",0)</f>
        <v>Frames</v>
      </c>
      <c r="K900">
        <f>VLOOKUP(C900,'product_masterlist(ifs)'!A:I,7,FALSE)</f>
        <v>45</v>
      </c>
    </row>
    <row r="901" spans="1:11" x14ac:dyDescent="0.35">
      <c r="A901" t="s">
        <v>1176</v>
      </c>
      <c r="B901" t="s">
        <v>393</v>
      </c>
      <c r="C901" t="s">
        <v>90</v>
      </c>
      <c r="D901">
        <v>17</v>
      </c>
      <c r="E901" t="s">
        <v>37</v>
      </c>
      <c r="F901" t="s">
        <v>31</v>
      </c>
      <c r="G901" t="s">
        <v>362</v>
      </c>
      <c r="H901">
        <v>30</v>
      </c>
      <c r="I901" t="s">
        <v>14</v>
      </c>
      <c r="J901" t="str">
        <f>_xlfn.XLOOKUP(C901,'product_masterlist(ifs)'!A:A,'product_masterlist(ifs)'!C:C,"N/A",0)</f>
        <v>Frames</v>
      </c>
      <c r="K901">
        <f>VLOOKUP(C901,'product_masterlist(ifs)'!A:I,7,FALSE)</f>
        <v>180</v>
      </c>
    </row>
    <row r="902" spans="1:11" x14ac:dyDescent="0.35">
      <c r="A902" t="s">
        <v>1177</v>
      </c>
      <c r="B902" t="s">
        <v>398</v>
      </c>
      <c r="C902" t="s">
        <v>42</v>
      </c>
      <c r="D902">
        <v>16</v>
      </c>
      <c r="E902" t="s">
        <v>22</v>
      </c>
      <c r="F902" t="s">
        <v>31</v>
      </c>
      <c r="G902">
        <v>400</v>
      </c>
      <c r="H902">
        <v>21</v>
      </c>
      <c r="I902" t="s">
        <v>14</v>
      </c>
      <c r="J902" t="str">
        <f>_xlfn.XLOOKUP(C902,'product_masterlist(ifs)'!A:A,'product_masterlist(ifs)'!C:C,"N/A",0)</f>
        <v>Contact Lenses</v>
      </c>
      <c r="K902">
        <f>VLOOKUP(C902,'product_masterlist(ifs)'!A:I,7,FALSE)</f>
        <v>120</v>
      </c>
    </row>
    <row r="903" spans="1:11" x14ac:dyDescent="0.35">
      <c r="A903" t="s">
        <v>1178</v>
      </c>
      <c r="B903" t="s">
        <v>138</v>
      </c>
      <c r="C903" t="s">
        <v>90</v>
      </c>
      <c r="D903">
        <v>12</v>
      </c>
      <c r="E903" t="s">
        <v>20</v>
      </c>
      <c r="F903" t="s">
        <v>13</v>
      </c>
      <c r="G903">
        <v>582</v>
      </c>
      <c r="H903">
        <v>30</v>
      </c>
      <c r="I903" t="s">
        <v>14</v>
      </c>
      <c r="J903" t="str">
        <f>_xlfn.XLOOKUP(C903,'product_masterlist(ifs)'!A:A,'product_masterlist(ifs)'!C:C,"N/A",0)</f>
        <v>Frames</v>
      </c>
      <c r="K903">
        <f>VLOOKUP(C903,'product_masterlist(ifs)'!A:I,7,FALSE)</f>
        <v>180</v>
      </c>
    </row>
    <row r="904" spans="1:11" x14ac:dyDescent="0.35">
      <c r="A904" t="s">
        <v>1179</v>
      </c>
      <c r="B904" s="1">
        <v>45846</v>
      </c>
      <c r="C904" t="s">
        <v>17</v>
      </c>
      <c r="D904">
        <v>25</v>
      </c>
      <c r="E904" t="s">
        <v>37</v>
      </c>
      <c r="F904" t="s">
        <v>23</v>
      </c>
      <c r="G904">
        <v>1125</v>
      </c>
      <c r="H904">
        <v>30</v>
      </c>
      <c r="I904" t="s">
        <v>14</v>
      </c>
      <c r="J904" t="str">
        <f>_xlfn.XLOOKUP(C904,'product_masterlist(ifs)'!A:A,'product_masterlist(ifs)'!C:C,"N/A",0)</f>
        <v>Frames</v>
      </c>
      <c r="K904">
        <f>VLOOKUP(C904,'product_masterlist(ifs)'!A:I,7,FALSE)</f>
        <v>45</v>
      </c>
    </row>
    <row r="905" spans="1:11" x14ac:dyDescent="0.35">
      <c r="A905" t="s">
        <v>1180</v>
      </c>
      <c r="B905" s="1">
        <v>45847</v>
      </c>
      <c r="C905" t="s">
        <v>26</v>
      </c>
      <c r="D905">
        <v>2</v>
      </c>
      <c r="E905" t="s">
        <v>20</v>
      </c>
      <c r="F905" t="s">
        <v>31</v>
      </c>
      <c r="G905">
        <v>25</v>
      </c>
      <c r="H905">
        <v>14</v>
      </c>
      <c r="I905" t="s">
        <v>28</v>
      </c>
      <c r="J905" t="str">
        <f>_xlfn.XLOOKUP(C905,'product_masterlist(ifs)'!A:A,'product_masterlist(ifs)'!C:C,"N/A",0)</f>
        <v>Contact Lenses</v>
      </c>
      <c r="K905">
        <f>VLOOKUP(C905,'product_masterlist(ifs)'!A:I,7,FALSE)</f>
        <v>450</v>
      </c>
    </row>
    <row r="906" spans="1:11" x14ac:dyDescent="0.35">
      <c r="A906" t="s">
        <v>1181</v>
      </c>
      <c r="B906" t="s">
        <v>60</v>
      </c>
      <c r="C906" t="s">
        <v>90</v>
      </c>
      <c r="D906">
        <v>20</v>
      </c>
      <c r="E906" t="s">
        <v>12</v>
      </c>
      <c r="F906" t="s">
        <v>18</v>
      </c>
      <c r="G906">
        <v>970</v>
      </c>
      <c r="H906">
        <v>30</v>
      </c>
      <c r="I906" t="s">
        <v>14</v>
      </c>
      <c r="J906" t="str">
        <f>_xlfn.XLOOKUP(C906,'product_masterlist(ifs)'!A:A,'product_masterlist(ifs)'!C:C,"N/A",0)</f>
        <v>Frames</v>
      </c>
      <c r="K906">
        <f>VLOOKUP(C906,'product_masterlist(ifs)'!A:I,7,FALSE)</f>
        <v>180</v>
      </c>
    </row>
    <row r="907" spans="1:11" x14ac:dyDescent="0.35">
      <c r="A907" t="s">
        <v>1182</v>
      </c>
      <c r="B907" s="1">
        <v>45663</v>
      </c>
      <c r="C907" t="s">
        <v>11</v>
      </c>
      <c r="D907">
        <v>3</v>
      </c>
      <c r="E907" t="s">
        <v>12</v>
      </c>
      <c r="F907" t="s">
        <v>18</v>
      </c>
      <c r="G907">
        <v>255</v>
      </c>
      <c r="H907">
        <v>30</v>
      </c>
      <c r="I907" t="s">
        <v>14</v>
      </c>
      <c r="J907" t="str">
        <f>_xlfn.XLOOKUP(C907,'product_masterlist(ifs)'!A:A,'product_masterlist(ifs)'!C:C,"N/A",0)</f>
        <v>Surgical</v>
      </c>
      <c r="K907">
        <f>VLOOKUP(C907,'product_masterlist(ifs)'!A:I,7,FALSE)</f>
        <v>40</v>
      </c>
    </row>
    <row r="908" spans="1:11" x14ac:dyDescent="0.35">
      <c r="A908" t="s">
        <v>1183</v>
      </c>
      <c r="B908" s="1">
        <v>45659</v>
      </c>
      <c r="C908" t="s">
        <v>17</v>
      </c>
      <c r="D908">
        <v>17</v>
      </c>
      <c r="E908" t="s">
        <v>12</v>
      </c>
      <c r="F908" t="s">
        <v>18</v>
      </c>
      <c r="G908">
        <v>765</v>
      </c>
      <c r="H908">
        <v>30</v>
      </c>
      <c r="I908" t="s">
        <v>14</v>
      </c>
      <c r="J908" t="str">
        <f>_xlfn.XLOOKUP(C908,'product_masterlist(ifs)'!A:A,'product_masterlist(ifs)'!C:C,"N/A",0)</f>
        <v>Frames</v>
      </c>
      <c r="K908">
        <f>VLOOKUP(C908,'product_masterlist(ifs)'!A:I,7,FALSE)</f>
        <v>45</v>
      </c>
    </row>
    <row r="909" spans="1:11" x14ac:dyDescent="0.35">
      <c r="A909" t="s">
        <v>1184</v>
      </c>
      <c r="B909" s="1">
        <v>45878</v>
      </c>
      <c r="C909" t="s">
        <v>90</v>
      </c>
      <c r="D909">
        <v>19</v>
      </c>
      <c r="E909" t="s">
        <v>12</v>
      </c>
      <c r="F909" t="s">
        <v>31</v>
      </c>
      <c r="G909" t="s">
        <v>504</v>
      </c>
      <c r="H909">
        <v>30</v>
      </c>
      <c r="I909" t="s">
        <v>14</v>
      </c>
      <c r="J909" t="str">
        <f>_xlfn.XLOOKUP(C909,'product_masterlist(ifs)'!A:A,'product_masterlist(ifs)'!C:C,"N/A",0)</f>
        <v>Frames</v>
      </c>
      <c r="K909">
        <f>VLOOKUP(C909,'product_masterlist(ifs)'!A:I,7,FALSE)</f>
        <v>180</v>
      </c>
    </row>
    <row r="910" spans="1:11" x14ac:dyDescent="0.35">
      <c r="A910" t="s">
        <v>1185</v>
      </c>
      <c r="B910" t="s">
        <v>117</v>
      </c>
      <c r="C910" t="s">
        <v>42</v>
      </c>
      <c r="D910">
        <v>7</v>
      </c>
      <c r="E910" t="s">
        <v>37</v>
      </c>
      <c r="F910" t="s">
        <v>31</v>
      </c>
      <c r="G910">
        <v>175</v>
      </c>
      <c r="H910">
        <v>21</v>
      </c>
      <c r="I910" t="s">
        <v>14</v>
      </c>
      <c r="J910" t="str">
        <f>_xlfn.XLOOKUP(C910,'product_masterlist(ifs)'!A:A,'product_masterlist(ifs)'!C:C,"N/A",0)</f>
        <v>Contact Lenses</v>
      </c>
      <c r="K910">
        <f>VLOOKUP(C910,'product_masterlist(ifs)'!A:I,7,FALSE)</f>
        <v>120</v>
      </c>
    </row>
    <row r="911" spans="1:11" x14ac:dyDescent="0.35">
      <c r="A911" t="s">
        <v>1186</v>
      </c>
      <c r="B911" s="1">
        <v>45965</v>
      </c>
      <c r="C911" t="s">
        <v>26</v>
      </c>
      <c r="D911">
        <v>3</v>
      </c>
      <c r="E911" t="s">
        <v>22</v>
      </c>
      <c r="F911" t="s">
        <v>23</v>
      </c>
      <c r="G911" t="s">
        <v>40</v>
      </c>
      <c r="H911">
        <v>14</v>
      </c>
      <c r="I911" t="s">
        <v>28</v>
      </c>
      <c r="J911" t="str">
        <f>_xlfn.XLOOKUP(C911,'product_masterlist(ifs)'!A:A,'product_masterlist(ifs)'!C:C,"N/A",0)</f>
        <v>Contact Lenses</v>
      </c>
      <c r="K911">
        <f>VLOOKUP(C911,'product_masterlist(ifs)'!A:I,7,FALSE)</f>
        <v>450</v>
      </c>
    </row>
    <row r="912" spans="1:11" x14ac:dyDescent="0.35">
      <c r="A912" t="s">
        <v>1187</v>
      </c>
      <c r="B912" s="1">
        <v>45941</v>
      </c>
      <c r="C912" t="s">
        <v>11</v>
      </c>
      <c r="D912">
        <v>6</v>
      </c>
      <c r="E912" t="s">
        <v>37</v>
      </c>
      <c r="F912" t="s">
        <v>18</v>
      </c>
      <c r="G912">
        <v>510</v>
      </c>
      <c r="H912">
        <v>30</v>
      </c>
      <c r="I912" t="s">
        <v>14</v>
      </c>
      <c r="J912" t="str">
        <f>_xlfn.XLOOKUP(C912,'product_masterlist(ifs)'!A:A,'product_masterlist(ifs)'!C:C,"N/A",0)</f>
        <v>Surgical</v>
      </c>
      <c r="K912">
        <f>VLOOKUP(C912,'product_masterlist(ifs)'!A:I,7,FALSE)</f>
        <v>40</v>
      </c>
    </row>
    <row r="913" spans="1:11" x14ac:dyDescent="0.35">
      <c r="A913" t="s">
        <v>1188</v>
      </c>
      <c r="B913" t="s">
        <v>383</v>
      </c>
      <c r="C913" t="s">
        <v>90</v>
      </c>
      <c r="D913">
        <v>23</v>
      </c>
      <c r="E913" t="s">
        <v>20</v>
      </c>
      <c r="F913" t="s">
        <v>18</v>
      </c>
      <c r="G913" t="s">
        <v>123</v>
      </c>
      <c r="H913">
        <v>30</v>
      </c>
      <c r="I913" t="s">
        <v>14</v>
      </c>
      <c r="J913" t="str">
        <f>_xlfn.XLOOKUP(C913,'product_masterlist(ifs)'!A:A,'product_masterlist(ifs)'!C:C,"N/A",0)</f>
        <v>Frames</v>
      </c>
      <c r="K913">
        <f>VLOOKUP(C913,'product_masterlist(ifs)'!A:I,7,FALSE)</f>
        <v>180</v>
      </c>
    </row>
    <row r="914" spans="1:11" x14ac:dyDescent="0.35">
      <c r="A914" t="s">
        <v>1189</v>
      </c>
      <c r="B914" t="s">
        <v>1190</v>
      </c>
      <c r="C914" t="s">
        <v>17</v>
      </c>
      <c r="D914">
        <v>25</v>
      </c>
      <c r="E914" t="s">
        <v>22</v>
      </c>
      <c r="F914" t="s">
        <v>13</v>
      </c>
      <c r="G914">
        <v>1125</v>
      </c>
      <c r="H914">
        <v>30</v>
      </c>
      <c r="I914" t="s">
        <v>14</v>
      </c>
      <c r="J914" t="str">
        <f>_xlfn.XLOOKUP(C914,'product_masterlist(ifs)'!A:A,'product_masterlist(ifs)'!C:C,"N/A",0)</f>
        <v>Frames</v>
      </c>
      <c r="K914">
        <f>VLOOKUP(C914,'product_masterlist(ifs)'!A:I,7,FALSE)</f>
        <v>45</v>
      </c>
    </row>
    <row r="915" spans="1:11" x14ac:dyDescent="0.35">
      <c r="A915" t="s">
        <v>1191</v>
      </c>
      <c r="B915" s="1">
        <v>45901</v>
      </c>
      <c r="C915" t="s">
        <v>17</v>
      </c>
      <c r="D915">
        <v>6</v>
      </c>
      <c r="E915" t="s">
        <v>22</v>
      </c>
      <c r="F915" t="s">
        <v>13</v>
      </c>
      <c r="G915">
        <v>270</v>
      </c>
      <c r="H915">
        <v>30</v>
      </c>
      <c r="I915" t="s">
        <v>14</v>
      </c>
      <c r="J915" t="str">
        <f>_xlfn.XLOOKUP(C915,'product_masterlist(ifs)'!A:A,'product_masterlist(ifs)'!C:C,"N/A",0)</f>
        <v>Frames</v>
      </c>
      <c r="K915">
        <f>VLOOKUP(C915,'product_masterlist(ifs)'!A:I,7,FALSE)</f>
        <v>45</v>
      </c>
    </row>
    <row r="916" spans="1:11" x14ac:dyDescent="0.35">
      <c r="A916" t="s">
        <v>1192</v>
      </c>
      <c r="B916" t="s">
        <v>214</v>
      </c>
      <c r="C916" t="s">
        <v>26</v>
      </c>
      <c r="D916">
        <v>9</v>
      </c>
      <c r="E916" t="s">
        <v>37</v>
      </c>
      <c r="F916" t="s">
        <v>23</v>
      </c>
      <c r="G916" t="s">
        <v>170</v>
      </c>
      <c r="H916">
        <v>14</v>
      </c>
      <c r="I916" t="s">
        <v>28</v>
      </c>
      <c r="J916" t="str">
        <f>_xlfn.XLOOKUP(C916,'product_masterlist(ifs)'!A:A,'product_masterlist(ifs)'!C:C,"N/A",0)</f>
        <v>Contact Lenses</v>
      </c>
      <c r="K916">
        <f>VLOOKUP(C916,'product_masterlist(ifs)'!A:I,7,FALSE)</f>
        <v>450</v>
      </c>
    </row>
    <row r="917" spans="1:11" x14ac:dyDescent="0.35">
      <c r="A917" t="s">
        <v>1193</v>
      </c>
      <c r="B917" t="s">
        <v>1194</v>
      </c>
      <c r="C917" t="s">
        <v>53</v>
      </c>
      <c r="D917">
        <v>24</v>
      </c>
      <c r="E917" t="s">
        <v>20</v>
      </c>
      <c r="F917" t="s">
        <v>31</v>
      </c>
      <c r="G917">
        <v>102</v>
      </c>
      <c r="H917">
        <v>7</v>
      </c>
      <c r="I917" t="s">
        <v>28</v>
      </c>
      <c r="J917" t="str">
        <f>_xlfn.XLOOKUP(C917,'product_masterlist(ifs)'!A:A,'product_masterlist(ifs)'!C:C,"N/A",0)</f>
        <v>Solutions</v>
      </c>
      <c r="K917">
        <f>VLOOKUP(C917,'product_masterlist(ifs)'!A:I,7,FALSE)</f>
        <v>800</v>
      </c>
    </row>
    <row r="918" spans="1:11" x14ac:dyDescent="0.35">
      <c r="A918" t="s">
        <v>1195</v>
      </c>
      <c r="B918" s="1">
        <v>45722</v>
      </c>
      <c r="C918" t="s">
        <v>17</v>
      </c>
      <c r="D918">
        <v>13</v>
      </c>
      <c r="E918" t="s">
        <v>12</v>
      </c>
      <c r="F918" t="s">
        <v>23</v>
      </c>
      <c r="G918">
        <v>585</v>
      </c>
      <c r="H918">
        <v>30</v>
      </c>
      <c r="I918" t="s">
        <v>14</v>
      </c>
      <c r="J918" t="str">
        <f>_xlfn.XLOOKUP(C918,'product_masterlist(ifs)'!A:A,'product_masterlist(ifs)'!C:C,"N/A",0)</f>
        <v>Frames</v>
      </c>
      <c r="K918">
        <f>VLOOKUP(C918,'product_masterlist(ifs)'!A:I,7,FALSE)</f>
        <v>45</v>
      </c>
    </row>
    <row r="919" spans="1:11" x14ac:dyDescent="0.35">
      <c r="A919" t="s">
        <v>1196</v>
      </c>
      <c r="B919" s="1">
        <v>45780</v>
      </c>
      <c r="C919" t="s">
        <v>26</v>
      </c>
      <c r="D919">
        <v>21</v>
      </c>
      <c r="E919" t="s">
        <v>37</v>
      </c>
      <c r="F919" t="s">
        <v>18</v>
      </c>
      <c r="G919" t="s">
        <v>366</v>
      </c>
      <c r="H919">
        <v>14</v>
      </c>
      <c r="I919" t="s">
        <v>28</v>
      </c>
      <c r="J919" t="str">
        <f>_xlfn.XLOOKUP(C919,'product_masterlist(ifs)'!A:A,'product_masterlist(ifs)'!C:C,"N/A",0)</f>
        <v>Contact Lenses</v>
      </c>
      <c r="K919">
        <f>VLOOKUP(C919,'product_masterlist(ifs)'!A:I,7,FALSE)</f>
        <v>450</v>
      </c>
    </row>
    <row r="920" spans="1:11" x14ac:dyDescent="0.35">
      <c r="A920" t="s">
        <v>1197</v>
      </c>
      <c r="B920" t="s">
        <v>151</v>
      </c>
      <c r="C920" t="s">
        <v>42</v>
      </c>
      <c r="D920">
        <v>4</v>
      </c>
      <c r="E920" t="s">
        <v>37</v>
      </c>
      <c r="F920" t="s">
        <v>31</v>
      </c>
      <c r="G920">
        <v>100</v>
      </c>
      <c r="H920">
        <v>21</v>
      </c>
      <c r="I920" t="s">
        <v>14</v>
      </c>
      <c r="J920" t="str">
        <f>_xlfn.XLOOKUP(C920,'product_masterlist(ifs)'!A:A,'product_masterlist(ifs)'!C:C,"N/A",0)</f>
        <v>Contact Lenses</v>
      </c>
      <c r="K920">
        <f>VLOOKUP(C920,'product_masterlist(ifs)'!A:I,7,FALSE)</f>
        <v>120</v>
      </c>
    </row>
    <row r="921" spans="1:11" x14ac:dyDescent="0.35">
      <c r="A921" t="s">
        <v>1198</v>
      </c>
      <c r="B921" t="s">
        <v>567</v>
      </c>
      <c r="C921" t="s">
        <v>33</v>
      </c>
      <c r="D921">
        <v>14</v>
      </c>
      <c r="E921" t="s">
        <v>37</v>
      </c>
      <c r="F921" t="s">
        <v>23</v>
      </c>
      <c r="G921">
        <v>2100</v>
      </c>
      <c r="H921">
        <v>45</v>
      </c>
      <c r="I921" t="s">
        <v>34</v>
      </c>
      <c r="J921" t="str">
        <f>_xlfn.XLOOKUP(C921,'product_masterlist(ifs)'!A:A,'product_masterlist(ifs)'!C:C,"N/A",0)</f>
        <v>Surgical</v>
      </c>
      <c r="K921">
        <f>VLOOKUP(C921,'product_masterlist(ifs)'!A:I,7,FALSE)</f>
        <v>15</v>
      </c>
    </row>
    <row r="922" spans="1:11" x14ac:dyDescent="0.35">
      <c r="A922" t="s">
        <v>1199</v>
      </c>
      <c r="B922" t="s">
        <v>1200</v>
      </c>
      <c r="C922" t="s">
        <v>90</v>
      </c>
      <c r="D922">
        <v>4</v>
      </c>
      <c r="E922" t="s">
        <v>37</v>
      </c>
      <c r="F922" t="s">
        <v>13</v>
      </c>
      <c r="G922">
        <v>194</v>
      </c>
      <c r="H922">
        <v>30</v>
      </c>
      <c r="I922" t="s">
        <v>14</v>
      </c>
      <c r="J922" t="str">
        <f>_xlfn.XLOOKUP(C922,'product_masterlist(ifs)'!A:A,'product_masterlist(ifs)'!C:C,"N/A",0)</f>
        <v>Frames</v>
      </c>
      <c r="K922">
        <f>VLOOKUP(C922,'product_masterlist(ifs)'!A:I,7,FALSE)</f>
        <v>180</v>
      </c>
    </row>
    <row r="923" spans="1:11" x14ac:dyDescent="0.35">
      <c r="A923" t="s">
        <v>1201</v>
      </c>
      <c r="B923" t="s">
        <v>1190</v>
      </c>
      <c r="C923" t="s">
        <v>17</v>
      </c>
      <c r="D923">
        <v>11</v>
      </c>
      <c r="E923" t="s">
        <v>37</v>
      </c>
      <c r="F923" t="s">
        <v>13</v>
      </c>
      <c r="G923">
        <v>495</v>
      </c>
      <c r="H923">
        <v>30</v>
      </c>
      <c r="I923" t="s">
        <v>14</v>
      </c>
      <c r="J923" t="str">
        <f>_xlfn.XLOOKUP(C923,'product_masterlist(ifs)'!A:A,'product_masterlist(ifs)'!C:C,"N/A",0)</f>
        <v>Frames</v>
      </c>
      <c r="K923">
        <f>VLOOKUP(C923,'product_masterlist(ifs)'!A:I,7,FALSE)</f>
        <v>45</v>
      </c>
    </row>
    <row r="924" spans="1:11" x14ac:dyDescent="0.35">
      <c r="A924" t="s">
        <v>1202</v>
      </c>
      <c r="B924" t="s">
        <v>217</v>
      </c>
      <c r="C924" t="s">
        <v>90</v>
      </c>
      <c r="D924">
        <v>10</v>
      </c>
      <c r="E924" t="s">
        <v>37</v>
      </c>
      <c r="F924" t="s">
        <v>13</v>
      </c>
      <c r="G924">
        <v>485</v>
      </c>
      <c r="H924">
        <v>30</v>
      </c>
      <c r="I924" t="s">
        <v>14</v>
      </c>
      <c r="J924" t="str">
        <f>_xlfn.XLOOKUP(C924,'product_masterlist(ifs)'!A:A,'product_masterlist(ifs)'!C:C,"N/A",0)</f>
        <v>Frames</v>
      </c>
      <c r="K924">
        <f>VLOOKUP(C924,'product_masterlist(ifs)'!A:I,7,FALSE)</f>
        <v>180</v>
      </c>
    </row>
    <row r="925" spans="1:11" x14ac:dyDescent="0.35">
      <c r="A925" t="s">
        <v>1203</v>
      </c>
      <c r="B925" t="s">
        <v>842</v>
      </c>
      <c r="C925" t="s">
        <v>17</v>
      </c>
      <c r="D925">
        <v>2</v>
      </c>
      <c r="E925" t="s">
        <v>20</v>
      </c>
      <c r="F925" t="s">
        <v>31</v>
      </c>
      <c r="G925">
        <v>90</v>
      </c>
      <c r="H925">
        <v>30</v>
      </c>
      <c r="I925" t="s">
        <v>14</v>
      </c>
      <c r="J925" t="str">
        <f>_xlfn.XLOOKUP(C925,'product_masterlist(ifs)'!A:A,'product_masterlist(ifs)'!C:C,"N/A",0)</f>
        <v>Frames</v>
      </c>
      <c r="K925">
        <f>VLOOKUP(C925,'product_masterlist(ifs)'!A:I,7,FALSE)</f>
        <v>45</v>
      </c>
    </row>
    <row r="926" spans="1:11" x14ac:dyDescent="0.35">
      <c r="A926" t="s">
        <v>1204</v>
      </c>
      <c r="B926" s="1">
        <v>45814</v>
      </c>
      <c r="C926" t="s">
        <v>90</v>
      </c>
      <c r="D926">
        <v>18</v>
      </c>
      <c r="E926" t="s">
        <v>22</v>
      </c>
      <c r="F926" t="s">
        <v>13</v>
      </c>
      <c r="G926">
        <v>873</v>
      </c>
      <c r="H926">
        <v>30</v>
      </c>
      <c r="I926" t="s">
        <v>14</v>
      </c>
      <c r="J926" t="str">
        <f>_xlfn.XLOOKUP(C926,'product_masterlist(ifs)'!A:A,'product_masterlist(ifs)'!C:C,"N/A",0)</f>
        <v>Frames</v>
      </c>
      <c r="K926">
        <f>VLOOKUP(C926,'product_masterlist(ifs)'!A:I,7,FALSE)</f>
        <v>180</v>
      </c>
    </row>
    <row r="927" spans="1:11" x14ac:dyDescent="0.35">
      <c r="A927" t="s">
        <v>1205</v>
      </c>
      <c r="B927" t="s">
        <v>260</v>
      </c>
      <c r="C927" t="s">
        <v>53</v>
      </c>
      <c r="D927">
        <v>12</v>
      </c>
      <c r="E927" t="s">
        <v>37</v>
      </c>
      <c r="F927" t="s">
        <v>18</v>
      </c>
      <c r="G927">
        <v>51</v>
      </c>
      <c r="H927">
        <v>7</v>
      </c>
      <c r="I927" t="s">
        <v>28</v>
      </c>
      <c r="J927" t="str">
        <f>_xlfn.XLOOKUP(C927,'product_masterlist(ifs)'!A:A,'product_masterlist(ifs)'!C:C,"N/A",0)</f>
        <v>Solutions</v>
      </c>
      <c r="K927">
        <f>VLOOKUP(C927,'product_masterlist(ifs)'!A:I,7,FALSE)</f>
        <v>800</v>
      </c>
    </row>
    <row r="928" spans="1:11" x14ac:dyDescent="0.35">
      <c r="A928" t="s">
        <v>1206</v>
      </c>
      <c r="B928" s="1">
        <v>45962</v>
      </c>
      <c r="C928" t="s">
        <v>11</v>
      </c>
      <c r="D928">
        <v>20</v>
      </c>
      <c r="E928" t="s">
        <v>20</v>
      </c>
      <c r="F928" t="s">
        <v>13</v>
      </c>
      <c r="G928">
        <v>1700</v>
      </c>
      <c r="H928">
        <v>30</v>
      </c>
      <c r="I928" t="s">
        <v>14</v>
      </c>
      <c r="J928" t="str">
        <f>_xlfn.XLOOKUP(C928,'product_masterlist(ifs)'!A:A,'product_masterlist(ifs)'!C:C,"N/A",0)</f>
        <v>Surgical</v>
      </c>
      <c r="K928">
        <f>VLOOKUP(C928,'product_masterlist(ifs)'!A:I,7,FALSE)</f>
        <v>40</v>
      </c>
    </row>
    <row r="929" spans="1:11" x14ac:dyDescent="0.35">
      <c r="A929" t="s">
        <v>1207</v>
      </c>
      <c r="B929" s="1">
        <v>45849</v>
      </c>
      <c r="C929" t="s">
        <v>33</v>
      </c>
      <c r="D929">
        <v>23</v>
      </c>
      <c r="E929" t="s">
        <v>22</v>
      </c>
      <c r="F929" t="s">
        <v>13</v>
      </c>
      <c r="G929">
        <v>3450</v>
      </c>
      <c r="H929">
        <v>45</v>
      </c>
      <c r="I929" t="s">
        <v>34</v>
      </c>
      <c r="J929" t="str">
        <f>_xlfn.XLOOKUP(C929,'product_masterlist(ifs)'!A:A,'product_masterlist(ifs)'!C:C,"N/A",0)</f>
        <v>Surgical</v>
      </c>
      <c r="K929">
        <f>VLOOKUP(C929,'product_masterlist(ifs)'!A:I,7,FALSE)</f>
        <v>15</v>
      </c>
    </row>
    <row r="930" spans="1:11" x14ac:dyDescent="0.35">
      <c r="A930" t="s">
        <v>1208</v>
      </c>
      <c r="B930" t="s">
        <v>1194</v>
      </c>
      <c r="C930" t="s">
        <v>53</v>
      </c>
      <c r="D930">
        <v>16</v>
      </c>
      <c r="E930" t="s">
        <v>20</v>
      </c>
      <c r="F930" t="s">
        <v>31</v>
      </c>
      <c r="G930">
        <v>68</v>
      </c>
      <c r="H930">
        <v>7</v>
      </c>
      <c r="I930" t="s">
        <v>28</v>
      </c>
      <c r="J930" t="str">
        <f>_xlfn.XLOOKUP(C930,'product_masterlist(ifs)'!A:A,'product_masterlist(ifs)'!C:C,"N/A",0)</f>
        <v>Solutions</v>
      </c>
      <c r="K930">
        <f>VLOOKUP(C930,'product_masterlist(ifs)'!A:I,7,FALSE)</f>
        <v>800</v>
      </c>
    </row>
    <row r="931" spans="1:11" x14ac:dyDescent="0.35">
      <c r="A931" t="s">
        <v>1209</v>
      </c>
      <c r="B931" t="s">
        <v>330</v>
      </c>
      <c r="C931" t="s">
        <v>53</v>
      </c>
      <c r="D931">
        <v>2</v>
      </c>
      <c r="E931" t="s">
        <v>20</v>
      </c>
      <c r="F931" t="s">
        <v>23</v>
      </c>
      <c r="G931" t="s">
        <v>291</v>
      </c>
      <c r="H931">
        <v>7</v>
      </c>
      <c r="I931" t="s">
        <v>28</v>
      </c>
      <c r="J931" t="str">
        <f>_xlfn.XLOOKUP(C931,'product_masterlist(ifs)'!A:A,'product_masterlist(ifs)'!C:C,"N/A",0)</f>
        <v>Solutions</v>
      </c>
      <c r="K931">
        <f>VLOOKUP(C931,'product_masterlist(ifs)'!A:I,7,FALSE)</f>
        <v>800</v>
      </c>
    </row>
    <row r="932" spans="1:11" x14ac:dyDescent="0.35">
      <c r="A932" t="s">
        <v>1210</v>
      </c>
      <c r="B932" s="1">
        <v>45658</v>
      </c>
      <c r="C932" t="s">
        <v>33</v>
      </c>
      <c r="D932">
        <v>12</v>
      </c>
      <c r="E932" t="s">
        <v>37</v>
      </c>
      <c r="F932" t="s">
        <v>31</v>
      </c>
      <c r="G932">
        <v>1800</v>
      </c>
      <c r="H932">
        <v>45</v>
      </c>
      <c r="I932" t="s">
        <v>34</v>
      </c>
      <c r="J932" t="str">
        <f>_xlfn.XLOOKUP(C932,'product_masterlist(ifs)'!A:A,'product_masterlist(ifs)'!C:C,"N/A",0)</f>
        <v>Surgical</v>
      </c>
      <c r="K932">
        <f>VLOOKUP(C932,'product_masterlist(ifs)'!A:I,7,FALSE)</f>
        <v>15</v>
      </c>
    </row>
    <row r="933" spans="1:11" x14ac:dyDescent="0.35">
      <c r="A933" t="s">
        <v>1211</v>
      </c>
      <c r="B933" t="s">
        <v>975</v>
      </c>
      <c r="C933" t="s">
        <v>17</v>
      </c>
      <c r="D933">
        <v>13</v>
      </c>
      <c r="E933" t="s">
        <v>37</v>
      </c>
      <c r="F933" t="s">
        <v>18</v>
      </c>
      <c r="G933">
        <v>585</v>
      </c>
      <c r="H933">
        <v>30</v>
      </c>
      <c r="I933" t="s">
        <v>14</v>
      </c>
      <c r="J933" t="str">
        <f>_xlfn.XLOOKUP(C933,'product_masterlist(ifs)'!A:A,'product_masterlist(ifs)'!C:C,"N/A",0)</f>
        <v>Frames</v>
      </c>
      <c r="K933">
        <f>VLOOKUP(C933,'product_masterlist(ifs)'!A:I,7,FALSE)</f>
        <v>45</v>
      </c>
    </row>
    <row r="934" spans="1:11" x14ac:dyDescent="0.35">
      <c r="A934" t="s">
        <v>1212</v>
      </c>
      <c r="B934" t="s">
        <v>430</v>
      </c>
      <c r="C934" t="s">
        <v>26</v>
      </c>
      <c r="D934">
        <v>21</v>
      </c>
      <c r="E934" t="s">
        <v>37</v>
      </c>
      <c r="F934" t="s">
        <v>13</v>
      </c>
      <c r="G934" t="s">
        <v>366</v>
      </c>
      <c r="H934">
        <v>14</v>
      </c>
      <c r="I934" t="s">
        <v>28</v>
      </c>
      <c r="J934" t="str">
        <f>_xlfn.XLOOKUP(C934,'product_masterlist(ifs)'!A:A,'product_masterlist(ifs)'!C:C,"N/A",0)</f>
        <v>Contact Lenses</v>
      </c>
      <c r="K934">
        <f>VLOOKUP(C934,'product_masterlist(ifs)'!A:I,7,FALSE)</f>
        <v>450</v>
      </c>
    </row>
    <row r="935" spans="1:11" x14ac:dyDescent="0.35">
      <c r="A935" t="s">
        <v>1213</v>
      </c>
      <c r="B935" s="1">
        <v>45817</v>
      </c>
      <c r="C935" t="s">
        <v>11</v>
      </c>
      <c r="D935">
        <v>1</v>
      </c>
      <c r="E935" t="s">
        <v>22</v>
      </c>
      <c r="F935" t="s">
        <v>18</v>
      </c>
      <c r="G935">
        <v>85</v>
      </c>
      <c r="H935">
        <v>30</v>
      </c>
      <c r="I935" t="s">
        <v>14</v>
      </c>
      <c r="J935" t="str">
        <f>_xlfn.XLOOKUP(C935,'product_masterlist(ifs)'!A:A,'product_masterlist(ifs)'!C:C,"N/A",0)</f>
        <v>Surgical</v>
      </c>
      <c r="K935">
        <f>VLOOKUP(C935,'product_masterlist(ifs)'!A:I,7,FALSE)</f>
        <v>40</v>
      </c>
    </row>
    <row r="936" spans="1:11" x14ac:dyDescent="0.35">
      <c r="A936" t="s">
        <v>1214</v>
      </c>
      <c r="B936" t="s">
        <v>111</v>
      </c>
      <c r="C936" t="s">
        <v>90</v>
      </c>
      <c r="D936">
        <v>4</v>
      </c>
      <c r="E936" t="s">
        <v>37</v>
      </c>
      <c r="F936" t="s">
        <v>18</v>
      </c>
      <c r="G936">
        <v>194</v>
      </c>
      <c r="H936">
        <v>30</v>
      </c>
      <c r="I936" t="s">
        <v>14</v>
      </c>
      <c r="J936" t="str">
        <f>_xlfn.XLOOKUP(C936,'product_masterlist(ifs)'!A:A,'product_masterlist(ifs)'!C:C,"N/A",0)</f>
        <v>Frames</v>
      </c>
      <c r="K936">
        <f>VLOOKUP(C936,'product_masterlist(ifs)'!A:I,7,FALSE)</f>
        <v>180</v>
      </c>
    </row>
    <row r="937" spans="1:11" x14ac:dyDescent="0.35">
      <c r="A937" t="s">
        <v>1215</v>
      </c>
      <c r="B937" t="s">
        <v>1016</v>
      </c>
      <c r="C937" t="s">
        <v>11</v>
      </c>
      <c r="D937">
        <v>14</v>
      </c>
      <c r="E937" t="s">
        <v>37</v>
      </c>
      <c r="F937" t="s">
        <v>18</v>
      </c>
      <c r="G937">
        <v>1190</v>
      </c>
      <c r="H937">
        <v>30</v>
      </c>
      <c r="I937" t="s">
        <v>14</v>
      </c>
      <c r="J937" t="str">
        <f>_xlfn.XLOOKUP(C937,'product_masterlist(ifs)'!A:A,'product_masterlist(ifs)'!C:C,"N/A",0)</f>
        <v>Surgical</v>
      </c>
      <c r="K937">
        <f>VLOOKUP(C937,'product_masterlist(ifs)'!A:I,7,FALSE)</f>
        <v>40</v>
      </c>
    </row>
    <row r="938" spans="1:11" x14ac:dyDescent="0.35">
      <c r="A938" t="s">
        <v>1216</v>
      </c>
      <c r="B938" t="s">
        <v>398</v>
      </c>
      <c r="C938" t="s">
        <v>42</v>
      </c>
      <c r="D938">
        <v>23</v>
      </c>
      <c r="E938" t="s">
        <v>37</v>
      </c>
      <c r="F938" t="s">
        <v>13</v>
      </c>
      <c r="G938">
        <v>575</v>
      </c>
      <c r="H938">
        <v>21</v>
      </c>
      <c r="I938" t="s">
        <v>14</v>
      </c>
      <c r="J938" t="str">
        <f>_xlfn.XLOOKUP(C938,'product_masterlist(ifs)'!A:A,'product_masterlist(ifs)'!C:C,"N/A",0)</f>
        <v>Contact Lenses</v>
      </c>
      <c r="K938">
        <f>VLOOKUP(C938,'product_masterlist(ifs)'!A:I,7,FALSE)</f>
        <v>120</v>
      </c>
    </row>
    <row r="939" spans="1:11" x14ac:dyDescent="0.35">
      <c r="A939" t="s">
        <v>1217</v>
      </c>
      <c r="B939" s="1">
        <v>45972</v>
      </c>
      <c r="C939" t="s">
        <v>90</v>
      </c>
      <c r="D939">
        <v>23</v>
      </c>
      <c r="E939" t="s">
        <v>22</v>
      </c>
      <c r="F939" t="s">
        <v>31</v>
      </c>
      <c r="G939" t="s">
        <v>123</v>
      </c>
      <c r="H939">
        <v>30</v>
      </c>
      <c r="I939" t="s">
        <v>14</v>
      </c>
      <c r="J939" t="str">
        <f>_xlfn.XLOOKUP(C939,'product_masterlist(ifs)'!A:A,'product_masterlist(ifs)'!C:C,"N/A",0)</f>
        <v>Frames</v>
      </c>
      <c r="K939">
        <f>VLOOKUP(C939,'product_masterlist(ifs)'!A:I,7,FALSE)</f>
        <v>180</v>
      </c>
    </row>
    <row r="940" spans="1:11" x14ac:dyDescent="0.35">
      <c r="A940" t="s">
        <v>1218</v>
      </c>
      <c r="B940" s="1">
        <v>45938</v>
      </c>
      <c r="C940" t="s">
        <v>90</v>
      </c>
      <c r="D940">
        <v>16</v>
      </c>
      <c r="E940" t="s">
        <v>12</v>
      </c>
      <c r="F940" t="s">
        <v>31</v>
      </c>
      <c r="G940">
        <v>776</v>
      </c>
      <c r="H940">
        <v>30</v>
      </c>
      <c r="I940" t="s">
        <v>14</v>
      </c>
      <c r="J940" t="str">
        <f>_xlfn.XLOOKUP(C940,'product_masterlist(ifs)'!A:A,'product_masterlist(ifs)'!C:C,"N/A",0)</f>
        <v>Frames</v>
      </c>
      <c r="K940">
        <f>VLOOKUP(C940,'product_masterlist(ifs)'!A:I,7,FALSE)</f>
        <v>180</v>
      </c>
    </row>
    <row r="941" spans="1:11" x14ac:dyDescent="0.35">
      <c r="A941" t="s">
        <v>1219</v>
      </c>
      <c r="B941" t="s">
        <v>690</v>
      </c>
      <c r="C941" t="s">
        <v>53</v>
      </c>
      <c r="D941">
        <v>6</v>
      </c>
      <c r="E941" t="s">
        <v>12</v>
      </c>
      <c r="F941" t="s">
        <v>18</v>
      </c>
      <c r="G941" t="s">
        <v>369</v>
      </c>
      <c r="H941">
        <v>7</v>
      </c>
      <c r="I941" t="s">
        <v>28</v>
      </c>
      <c r="J941" t="str">
        <f>_xlfn.XLOOKUP(C941,'product_masterlist(ifs)'!A:A,'product_masterlist(ifs)'!C:C,"N/A",0)</f>
        <v>Solutions</v>
      </c>
      <c r="K941">
        <f>VLOOKUP(C941,'product_masterlist(ifs)'!A:I,7,FALSE)</f>
        <v>800</v>
      </c>
    </row>
    <row r="942" spans="1:11" x14ac:dyDescent="0.35">
      <c r="A942" t="s">
        <v>1220</v>
      </c>
      <c r="B942" t="s">
        <v>80</v>
      </c>
      <c r="C942" t="s">
        <v>53</v>
      </c>
      <c r="D942">
        <v>10</v>
      </c>
      <c r="E942" t="s">
        <v>12</v>
      </c>
      <c r="F942" t="s">
        <v>23</v>
      </c>
      <c r="G942" t="s">
        <v>95</v>
      </c>
      <c r="H942">
        <v>7</v>
      </c>
      <c r="I942" t="s">
        <v>28</v>
      </c>
      <c r="J942" t="str">
        <f>_xlfn.XLOOKUP(C942,'product_masterlist(ifs)'!A:A,'product_masterlist(ifs)'!C:C,"N/A",0)</f>
        <v>Solutions</v>
      </c>
      <c r="K942">
        <f>VLOOKUP(C942,'product_masterlist(ifs)'!A:I,7,FALSE)</f>
        <v>800</v>
      </c>
    </row>
    <row r="943" spans="1:11" x14ac:dyDescent="0.35">
      <c r="A943" t="s">
        <v>1221</v>
      </c>
      <c r="B943" t="s">
        <v>1222</v>
      </c>
      <c r="C943" t="s">
        <v>26</v>
      </c>
      <c r="D943">
        <v>19</v>
      </c>
      <c r="E943" t="s">
        <v>20</v>
      </c>
      <c r="F943" t="s">
        <v>31</v>
      </c>
      <c r="G943" t="s">
        <v>1093</v>
      </c>
      <c r="H943">
        <v>14</v>
      </c>
      <c r="I943" t="s">
        <v>28</v>
      </c>
      <c r="J943" t="str">
        <f>_xlfn.XLOOKUP(C943,'product_masterlist(ifs)'!A:A,'product_masterlist(ifs)'!C:C,"N/A",0)</f>
        <v>Contact Lenses</v>
      </c>
      <c r="K943">
        <f>VLOOKUP(C943,'product_masterlist(ifs)'!A:I,7,FALSE)</f>
        <v>450</v>
      </c>
    </row>
    <row r="944" spans="1:11" x14ac:dyDescent="0.35">
      <c r="A944" t="s">
        <v>1223</v>
      </c>
      <c r="B944" s="1">
        <v>45696</v>
      </c>
      <c r="C944" t="s">
        <v>17</v>
      </c>
      <c r="D944">
        <v>1</v>
      </c>
      <c r="E944" t="s">
        <v>20</v>
      </c>
      <c r="F944" t="s">
        <v>31</v>
      </c>
      <c r="G944">
        <v>45</v>
      </c>
      <c r="H944">
        <v>30</v>
      </c>
      <c r="I944" t="s">
        <v>14</v>
      </c>
      <c r="J944" t="str">
        <f>_xlfn.XLOOKUP(C944,'product_masterlist(ifs)'!A:A,'product_masterlist(ifs)'!C:C,"N/A",0)</f>
        <v>Frames</v>
      </c>
      <c r="K944">
        <f>VLOOKUP(C944,'product_masterlist(ifs)'!A:I,7,FALSE)</f>
        <v>45</v>
      </c>
    </row>
    <row r="945" spans="1:11" x14ac:dyDescent="0.35">
      <c r="A945" t="s">
        <v>1224</v>
      </c>
      <c r="B945" s="1">
        <v>45937</v>
      </c>
      <c r="C945" t="s">
        <v>17</v>
      </c>
      <c r="D945">
        <v>25</v>
      </c>
      <c r="E945" t="s">
        <v>20</v>
      </c>
      <c r="F945" t="s">
        <v>31</v>
      </c>
      <c r="G945">
        <v>1125</v>
      </c>
      <c r="H945">
        <v>30</v>
      </c>
      <c r="I945" t="s">
        <v>14</v>
      </c>
      <c r="J945" t="str">
        <f>_xlfn.XLOOKUP(C945,'product_masterlist(ifs)'!A:A,'product_masterlist(ifs)'!C:C,"N/A",0)</f>
        <v>Frames</v>
      </c>
      <c r="K945">
        <f>VLOOKUP(C945,'product_masterlist(ifs)'!A:I,7,FALSE)</f>
        <v>45</v>
      </c>
    </row>
    <row r="946" spans="1:11" x14ac:dyDescent="0.35">
      <c r="A946" t="s">
        <v>1225</v>
      </c>
      <c r="B946" t="s">
        <v>255</v>
      </c>
      <c r="C946" t="s">
        <v>33</v>
      </c>
      <c r="D946">
        <v>22</v>
      </c>
      <c r="E946" t="s">
        <v>22</v>
      </c>
      <c r="F946" t="s">
        <v>31</v>
      </c>
      <c r="G946">
        <v>3300</v>
      </c>
      <c r="H946">
        <v>45</v>
      </c>
      <c r="I946" t="s">
        <v>34</v>
      </c>
      <c r="J946" t="str">
        <f>_xlfn.XLOOKUP(C946,'product_masterlist(ifs)'!A:A,'product_masterlist(ifs)'!C:C,"N/A",0)</f>
        <v>Surgical</v>
      </c>
      <c r="K946">
        <f>VLOOKUP(C946,'product_masterlist(ifs)'!A:I,7,FALSE)</f>
        <v>15</v>
      </c>
    </row>
    <row r="947" spans="1:11" x14ac:dyDescent="0.35">
      <c r="A947" t="s">
        <v>1226</v>
      </c>
      <c r="B947" t="s">
        <v>67</v>
      </c>
      <c r="C947" t="s">
        <v>17</v>
      </c>
      <c r="D947">
        <v>12</v>
      </c>
      <c r="E947" t="s">
        <v>22</v>
      </c>
      <c r="F947" t="s">
        <v>31</v>
      </c>
      <c r="G947">
        <v>540</v>
      </c>
      <c r="H947">
        <v>30</v>
      </c>
      <c r="I947" t="s">
        <v>14</v>
      </c>
      <c r="J947" t="str">
        <f>_xlfn.XLOOKUP(C947,'product_masterlist(ifs)'!A:A,'product_masterlist(ifs)'!C:C,"N/A",0)</f>
        <v>Frames</v>
      </c>
      <c r="K947">
        <f>VLOOKUP(C947,'product_masterlist(ifs)'!A:I,7,FALSE)</f>
        <v>45</v>
      </c>
    </row>
    <row r="948" spans="1:11" x14ac:dyDescent="0.35">
      <c r="A948" t="s">
        <v>1227</v>
      </c>
      <c r="B948" t="s">
        <v>1125</v>
      </c>
      <c r="C948" t="s">
        <v>17</v>
      </c>
      <c r="D948">
        <v>14</v>
      </c>
      <c r="E948" t="s">
        <v>22</v>
      </c>
      <c r="F948" t="s">
        <v>23</v>
      </c>
      <c r="G948">
        <v>630</v>
      </c>
      <c r="H948">
        <v>30</v>
      </c>
      <c r="I948" t="s">
        <v>14</v>
      </c>
      <c r="J948" t="str">
        <f>_xlfn.XLOOKUP(C948,'product_masterlist(ifs)'!A:A,'product_masterlist(ifs)'!C:C,"N/A",0)</f>
        <v>Frames</v>
      </c>
      <c r="K948">
        <f>VLOOKUP(C948,'product_masterlist(ifs)'!A:I,7,FALSE)</f>
        <v>45</v>
      </c>
    </row>
    <row r="949" spans="1:11" x14ac:dyDescent="0.35">
      <c r="A949" t="s">
        <v>1228</v>
      </c>
      <c r="B949" t="s">
        <v>1229</v>
      </c>
      <c r="C949" t="s">
        <v>90</v>
      </c>
      <c r="D949">
        <v>23</v>
      </c>
      <c r="E949" t="s">
        <v>12</v>
      </c>
      <c r="F949" t="s">
        <v>23</v>
      </c>
      <c r="G949" t="s">
        <v>123</v>
      </c>
      <c r="H949">
        <v>30</v>
      </c>
      <c r="I949" t="s">
        <v>14</v>
      </c>
      <c r="J949" t="str">
        <f>_xlfn.XLOOKUP(C949,'product_masterlist(ifs)'!A:A,'product_masterlist(ifs)'!C:C,"N/A",0)</f>
        <v>Frames</v>
      </c>
      <c r="K949">
        <f>VLOOKUP(C949,'product_masterlist(ifs)'!A:I,7,FALSE)</f>
        <v>180</v>
      </c>
    </row>
    <row r="950" spans="1:11" x14ac:dyDescent="0.35">
      <c r="A950" t="s">
        <v>1230</v>
      </c>
      <c r="B950" t="s">
        <v>199</v>
      </c>
      <c r="C950" t="s">
        <v>33</v>
      </c>
      <c r="D950">
        <v>24</v>
      </c>
      <c r="E950" t="s">
        <v>37</v>
      </c>
      <c r="F950" t="s">
        <v>13</v>
      </c>
      <c r="G950">
        <v>3600</v>
      </c>
      <c r="H950">
        <v>45</v>
      </c>
      <c r="I950" t="s">
        <v>34</v>
      </c>
      <c r="J950" t="str">
        <f>_xlfn.XLOOKUP(C950,'product_masterlist(ifs)'!A:A,'product_masterlist(ifs)'!C:C,"N/A",0)</f>
        <v>Surgical</v>
      </c>
      <c r="K950">
        <f>VLOOKUP(C950,'product_masterlist(ifs)'!A:I,7,FALSE)</f>
        <v>15</v>
      </c>
    </row>
    <row r="951" spans="1:11" x14ac:dyDescent="0.35">
      <c r="A951" t="s">
        <v>1231</v>
      </c>
      <c r="B951" t="s">
        <v>1194</v>
      </c>
      <c r="C951" t="s">
        <v>90</v>
      </c>
      <c r="D951">
        <v>16</v>
      </c>
      <c r="E951" t="s">
        <v>37</v>
      </c>
      <c r="F951" t="s">
        <v>13</v>
      </c>
      <c r="G951">
        <v>776</v>
      </c>
      <c r="H951">
        <v>30</v>
      </c>
      <c r="I951" t="s">
        <v>14</v>
      </c>
      <c r="J951" t="str">
        <f>_xlfn.XLOOKUP(C951,'product_masterlist(ifs)'!A:A,'product_masterlist(ifs)'!C:C,"N/A",0)</f>
        <v>Frames</v>
      </c>
      <c r="K951">
        <f>VLOOKUP(C951,'product_masterlist(ifs)'!A:I,7,FALSE)</f>
        <v>180</v>
      </c>
    </row>
    <row r="952" spans="1:11" x14ac:dyDescent="0.35">
      <c r="A952" t="s">
        <v>1232</v>
      </c>
      <c r="B952" t="s">
        <v>545</v>
      </c>
      <c r="C952" t="s">
        <v>11</v>
      </c>
      <c r="D952">
        <v>15</v>
      </c>
      <c r="E952" t="s">
        <v>12</v>
      </c>
      <c r="F952" t="s">
        <v>31</v>
      </c>
      <c r="G952">
        <v>1275</v>
      </c>
      <c r="H952">
        <v>30</v>
      </c>
      <c r="I952" t="s">
        <v>14</v>
      </c>
      <c r="J952" t="str">
        <f>_xlfn.XLOOKUP(C952,'product_masterlist(ifs)'!A:A,'product_masterlist(ifs)'!C:C,"N/A",0)</f>
        <v>Surgical</v>
      </c>
      <c r="K952">
        <f>VLOOKUP(C952,'product_masterlist(ifs)'!A:I,7,FALSE)</f>
        <v>40</v>
      </c>
    </row>
    <row r="953" spans="1:11" x14ac:dyDescent="0.35">
      <c r="A953" t="s">
        <v>1233</v>
      </c>
      <c r="B953" s="1">
        <v>45870</v>
      </c>
      <c r="C953" t="s">
        <v>90</v>
      </c>
      <c r="D953">
        <v>1</v>
      </c>
      <c r="E953" t="s">
        <v>22</v>
      </c>
      <c r="F953" t="s">
        <v>23</v>
      </c>
      <c r="G953" t="s">
        <v>109</v>
      </c>
      <c r="H953">
        <v>30</v>
      </c>
      <c r="I953" t="s">
        <v>14</v>
      </c>
      <c r="J953" t="str">
        <f>_xlfn.XLOOKUP(C953,'product_masterlist(ifs)'!A:A,'product_masterlist(ifs)'!C:C,"N/A",0)</f>
        <v>Frames</v>
      </c>
      <c r="K953">
        <f>VLOOKUP(C953,'product_masterlist(ifs)'!A:I,7,FALSE)</f>
        <v>180</v>
      </c>
    </row>
    <row r="954" spans="1:11" x14ac:dyDescent="0.35">
      <c r="A954" t="s">
        <v>1234</v>
      </c>
      <c r="B954" t="s">
        <v>651</v>
      </c>
      <c r="C954" t="s">
        <v>33</v>
      </c>
      <c r="D954">
        <v>12</v>
      </c>
      <c r="E954" t="s">
        <v>20</v>
      </c>
      <c r="F954" t="s">
        <v>23</v>
      </c>
      <c r="G954">
        <v>1800</v>
      </c>
      <c r="H954">
        <v>45</v>
      </c>
      <c r="I954" t="s">
        <v>34</v>
      </c>
      <c r="J954" t="str">
        <f>_xlfn.XLOOKUP(C954,'product_masterlist(ifs)'!A:A,'product_masterlist(ifs)'!C:C,"N/A",0)</f>
        <v>Surgical</v>
      </c>
      <c r="K954">
        <f>VLOOKUP(C954,'product_masterlist(ifs)'!A:I,7,FALSE)</f>
        <v>15</v>
      </c>
    </row>
    <row r="955" spans="1:11" x14ac:dyDescent="0.35">
      <c r="A955" t="s">
        <v>1235</v>
      </c>
      <c r="B955" s="1">
        <v>45993</v>
      </c>
      <c r="C955" t="s">
        <v>53</v>
      </c>
      <c r="D955">
        <v>1</v>
      </c>
      <c r="E955" t="s">
        <v>20</v>
      </c>
      <c r="F955" t="s">
        <v>23</v>
      </c>
      <c r="G955" t="s">
        <v>372</v>
      </c>
      <c r="H955">
        <v>7</v>
      </c>
      <c r="I955" t="s">
        <v>28</v>
      </c>
      <c r="J955" t="str">
        <f>_xlfn.XLOOKUP(C955,'product_masterlist(ifs)'!A:A,'product_masterlist(ifs)'!C:C,"N/A",0)</f>
        <v>Solutions</v>
      </c>
      <c r="K955">
        <f>VLOOKUP(C955,'product_masterlist(ifs)'!A:I,7,FALSE)</f>
        <v>800</v>
      </c>
    </row>
    <row r="956" spans="1:11" x14ac:dyDescent="0.35">
      <c r="A956" t="s">
        <v>1236</v>
      </c>
      <c r="B956" s="1">
        <v>45659</v>
      </c>
      <c r="C956" t="s">
        <v>11</v>
      </c>
      <c r="D956">
        <v>17</v>
      </c>
      <c r="E956" t="s">
        <v>20</v>
      </c>
      <c r="F956" t="s">
        <v>31</v>
      </c>
      <c r="G956">
        <v>1445</v>
      </c>
      <c r="H956">
        <v>30</v>
      </c>
      <c r="I956" t="s">
        <v>14</v>
      </c>
      <c r="J956" t="str">
        <f>_xlfn.XLOOKUP(C956,'product_masterlist(ifs)'!A:A,'product_masterlist(ifs)'!C:C,"N/A",0)</f>
        <v>Surgical</v>
      </c>
      <c r="K956">
        <f>VLOOKUP(C956,'product_masterlist(ifs)'!A:I,7,FALSE)</f>
        <v>40</v>
      </c>
    </row>
    <row r="957" spans="1:11" x14ac:dyDescent="0.35">
      <c r="A957" t="s">
        <v>1237</v>
      </c>
      <c r="B957" t="s">
        <v>815</v>
      </c>
      <c r="C957" t="s">
        <v>33</v>
      </c>
      <c r="D957">
        <v>16</v>
      </c>
      <c r="E957" t="s">
        <v>37</v>
      </c>
      <c r="F957" t="s">
        <v>18</v>
      </c>
      <c r="G957">
        <v>2400</v>
      </c>
      <c r="H957">
        <v>45</v>
      </c>
      <c r="I957" t="s">
        <v>34</v>
      </c>
      <c r="J957" t="str">
        <f>_xlfn.XLOOKUP(C957,'product_masterlist(ifs)'!A:A,'product_masterlist(ifs)'!C:C,"N/A",0)</f>
        <v>Surgical</v>
      </c>
      <c r="K957">
        <f>VLOOKUP(C957,'product_masterlist(ifs)'!A:I,7,FALSE)</f>
        <v>15</v>
      </c>
    </row>
    <row r="958" spans="1:11" x14ac:dyDescent="0.35">
      <c r="A958" t="s">
        <v>1238</v>
      </c>
      <c r="B958" s="1">
        <v>46000</v>
      </c>
      <c r="C958" t="s">
        <v>33</v>
      </c>
      <c r="D958">
        <v>13</v>
      </c>
      <c r="E958" t="s">
        <v>37</v>
      </c>
      <c r="F958" t="s">
        <v>13</v>
      </c>
      <c r="G958">
        <v>1950</v>
      </c>
      <c r="H958">
        <v>45</v>
      </c>
      <c r="I958" t="s">
        <v>34</v>
      </c>
      <c r="J958" t="str">
        <f>_xlfn.XLOOKUP(C958,'product_masterlist(ifs)'!A:A,'product_masterlist(ifs)'!C:C,"N/A",0)</f>
        <v>Surgical</v>
      </c>
      <c r="K958">
        <f>VLOOKUP(C958,'product_masterlist(ifs)'!A:I,7,FALSE)</f>
        <v>15</v>
      </c>
    </row>
    <row r="959" spans="1:11" x14ac:dyDescent="0.35">
      <c r="A959" t="s">
        <v>1239</v>
      </c>
      <c r="B959" t="s">
        <v>258</v>
      </c>
      <c r="C959" t="s">
        <v>33</v>
      </c>
      <c r="D959">
        <v>25</v>
      </c>
      <c r="E959" t="s">
        <v>12</v>
      </c>
      <c r="F959" t="s">
        <v>23</v>
      </c>
      <c r="G959">
        <v>3750</v>
      </c>
      <c r="H959">
        <v>45</v>
      </c>
      <c r="I959" t="s">
        <v>34</v>
      </c>
      <c r="J959" t="str">
        <f>_xlfn.XLOOKUP(C959,'product_masterlist(ifs)'!A:A,'product_masterlist(ifs)'!C:C,"N/A",0)</f>
        <v>Surgical</v>
      </c>
      <c r="K959">
        <f>VLOOKUP(C959,'product_masterlist(ifs)'!A:I,7,FALSE)</f>
        <v>15</v>
      </c>
    </row>
    <row r="960" spans="1:11" x14ac:dyDescent="0.35">
      <c r="A960" t="s">
        <v>1240</v>
      </c>
      <c r="B960" t="s">
        <v>260</v>
      </c>
      <c r="C960" t="s">
        <v>53</v>
      </c>
      <c r="D960">
        <v>1</v>
      </c>
      <c r="E960" t="s">
        <v>22</v>
      </c>
      <c r="F960" t="s">
        <v>13</v>
      </c>
      <c r="G960" t="s">
        <v>372</v>
      </c>
      <c r="H960">
        <v>7</v>
      </c>
      <c r="I960" t="s">
        <v>28</v>
      </c>
      <c r="J960" t="str">
        <f>_xlfn.XLOOKUP(C960,'product_masterlist(ifs)'!A:A,'product_masterlist(ifs)'!C:C,"N/A",0)</f>
        <v>Solutions</v>
      </c>
      <c r="K960">
        <f>VLOOKUP(C960,'product_masterlist(ifs)'!A:I,7,FALSE)</f>
        <v>800</v>
      </c>
    </row>
    <row r="961" spans="1:11" x14ac:dyDescent="0.35">
      <c r="A961" t="s">
        <v>1241</v>
      </c>
      <c r="B961" s="1">
        <v>45877</v>
      </c>
      <c r="C961" t="s">
        <v>11</v>
      </c>
      <c r="D961">
        <v>4</v>
      </c>
      <c r="E961" t="s">
        <v>37</v>
      </c>
      <c r="F961" t="s">
        <v>31</v>
      </c>
      <c r="G961">
        <v>340</v>
      </c>
      <c r="H961">
        <v>30</v>
      </c>
      <c r="I961" t="s">
        <v>14</v>
      </c>
      <c r="J961" t="str">
        <f>_xlfn.XLOOKUP(C961,'product_masterlist(ifs)'!A:A,'product_masterlist(ifs)'!C:C,"N/A",0)</f>
        <v>Surgical</v>
      </c>
      <c r="K961">
        <f>VLOOKUP(C961,'product_masterlist(ifs)'!A:I,7,FALSE)</f>
        <v>40</v>
      </c>
    </row>
    <row r="962" spans="1:11" x14ac:dyDescent="0.35">
      <c r="A962" t="s">
        <v>1242</v>
      </c>
      <c r="B962" t="s">
        <v>962</v>
      </c>
      <c r="C962" t="s">
        <v>42</v>
      </c>
      <c r="D962">
        <v>13</v>
      </c>
      <c r="E962" t="s">
        <v>37</v>
      </c>
      <c r="F962" t="s">
        <v>13</v>
      </c>
      <c r="G962">
        <v>325</v>
      </c>
      <c r="H962">
        <v>21</v>
      </c>
      <c r="I962" t="s">
        <v>14</v>
      </c>
      <c r="J962" t="str">
        <f>_xlfn.XLOOKUP(C962,'product_masterlist(ifs)'!A:A,'product_masterlist(ifs)'!C:C,"N/A",0)</f>
        <v>Contact Lenses</v>
      </c>
      <c r="K962">
        <f>VLOOKUP(C962,'product_masterlist(ifs)'!A:I,7,FALSE)</f>
        <v>120</v>
      </c>
    </row>
    <row r="963" spans="1:11" x14ac:dyDescent="0.35">
      <c r="A963" t="s">
        <v>1243</v>
      </c>
      <c r="B963" s="1">
        <v>45690</v>
      </c>
      <c r="C963" t="s">
        <v>17</v>
      </c>
      <c r="D963">
        <v>21</v>
      </c>
      <c r="E963" t="s">
        <v>22</v>
      </c>
      <c r="F963" t="s">
        <v>31</v>
      </c>
      <c r="G963">
        <v>945</v>
      </c>
      <c r="H963">
        <v>30</v>
      </c>
      <c r="I963" t="s">
        <v>14</v>
      </c>
      <c r="J963" t="str">
        <f>_xlfn.XLOOKUP(C963,'product_masterlist(ifs)'!A:A,'product_masterlist(ifs)'!C:C,"N/A",0)</f>
        <v>Frames</v>
      </c>
      <c r="K963">
        <f>VLOOKUP(C963,'product_masterlist(ifs)'!A:I,7,FALSE)</f>
        <v>45</v>
      </c>
    </row>
    <row r="964" spans="1:11" x14ac:dyDescent="0.35">
      <c r="A964" t="s">
        <v>1244</v>
      </c>
      <c r="B964" t="s">
        <v>146</v>
      </c>
      <c r="C964" t="s">
        <v>33</v>
      </c>
      <c r="D964">
        <v>15</v>
      </c>
      <c r="E964" t="s">
        <v>12</v>
      </c>
      <c r="F964" t="s">
        <v>18</v>
      </c>
      <c r="G964">
        <v>2250</v>
      </c>
      <c r="H964">
        <v>45</v>
      </c>
      <c r="I964" t="s">
        <v>34</v>
      </c>
      <c r="J964" t="str">
        <f>_xlfn.XLOOKUP(C964,'product_masterlist(ifs)'!A:A,'product_masterlist(ifs)'!C:C,"N/A",0)</f>
        <v>Surgical</v>
      </c>
      <c r="K964">
        <f>VLOOKUP(C964,'product_masterlist(ifs)'!A:I,7,FALSE)</f>
        <v>15</v>
      </c>
    </row>
    <row r="965" spans="1:11" x14ac:dyDescent="0.35">
      <c r="A965" t="s">
        <v>1245</v>
      </c>
      <c r="B965" t="s">
        <v>58</v>
      </c>
      <c r="C965" t="s">
        <v>42</v>
      </c>
      <c r="D965">
        <v>13</v>
      </c>
      <c r="E965" t="s">
        <v>37</v>
      </c>
      <c r="F965" t="s">
        <v>23</v>
      </c>
      <c r="G965">
        <v>325</v>
      </c>
      <c r="H965">
        <v>21</v>
      </c>
      <c r="I965" t="s">
        <v>14</v>
      </c>
      <c r="J965" t="str">
        <f>_xlfn.XLOOKUP(C965,'product_masterlist(ifs)'!A:A,'product_masterlist(ifs)'!C:C,"N/A",0)</f>
        <v>Contact Lenses</v>
      </c>
      <c r="K965">
        <f>VLOOKUP(C965,'product_masterlist(ifs)'!A:I,7,FALSE)</f>
        <v>120</v>
      </c>
    </row>
    <row r="966" spans="1:11" x14ac:dyDescent="0.35">
      <c r="A966" t="s">
        <v>1246</v>
      </c>
      <c r="B966" t="s">
        <v>246</v>
      </c>
      <c r="C966" t="s">
        <v>33</v>
      </c>
      <c r="D966">
        <v>4</v>
      </c>
      <c r="E966" t="s">
        <v>22</v>
      </c>
      <c r="F966" t="s">
        <v>13</v>
      </c>
      <c r="G966">
        <v>600</v>
      </c>
      <c r="H966">
        <v>45</v>
      </c>
      <c r="I966" t="s">
        <v>34</v>
      </c>
      <c r="J966" t="str">
        <f>_xlfn.XLOOKUP(C966,'product_masterlist(ifs)'!A:A,'product_masterlist(ifs)'!C:C,"N/A",0)</f>
        <v>Surgical</v>
      </c>
      <c r="K966">
        <f>VLOOKUP(C966,'product_masterlist(ifs)'!A:I,7,FALSE)</f>
        <v>15</v>
      </c>
    </row>
    <row r="967" spans="1:11" x14ac:dyDescent="0.35">
      <c r="A967" t="s">
        <v>1247</v>
      </c>
      <c r="B967" t="s">
        <v>196</v>
      </c>
      <c r="C967" t="s">
        <v>11</v>
      </c>
      <c r="D967">
        <v>21</v>
      </c>
      <c r="E967" t="s">
        <v>37</v>
      </c>
      <c r="F967" t="s">
        <v>23</v>
      </c>
      <c r="G967">
        <v>1785</v>
      </c>
      <c r="H967">
        <v>30</v>
      </c>
      <c r="I967" t="s">
        <v>14</v>
      </c>
      <c r="J967" t="str">
        <f>_xlfn.XLOOKUP(C967,'product_masterlist(ifs)'!A:A,'product_masterlist(ifs)'!C:C,"N/A",0)</f>
        <v>Surgical</v>
      </c>
      <c r="K967">
        <f>VLOOKUP(C967,'product_masterlist(ifs)'!A:I,7,FALSE)</f>
        <v>40</v>
      </c>
    </row>
    <row r="968" spans="1:11" x14ac:dyDescent="0.35">
      <c r="A968" t="s">
        <v>1248</v>
      </c>
      <c r="B968" t="s">
        <v>436</v>
      </c>
      <c r="C968" t="s">
        <v>42</v>
      </c>
      <c r="D968">
        <v>16</v>
      </c>
      <c r="E968" t="s">
        <v>37</v>
      </c>
      <c r="F968" t="s">
        <v>31</v>
      </c>
      <c r="G968">
        <v>400</v>
      </c>
      <c r="H968">
        <v>21</v>
      </c>
      <c r="I968" t="s">
        <v>14</v>
      </c>
      <c r="J968" t="str">
        <f>_xlfn.XLOOKUP(C968,'product_masterlist(ifs)'!A:A,'product_masterlist(ifs)'!C:C,"N/A",0)</f>
        <v>Contact Lenses</v>
      </c>
      <c r="K968">
        <f>VLOOKUP(C968,'product_masterlist(ifs)'!A:I,7,FALSE)</f>
        <v>120</v>
      </c>
    </row>
    <row r="969" spans="1:11" x14ac:dyDescent="0.35">
      <c r="A969" t="s">
        <v>1249</v>
      </c>
      <c r="B969" t="s">
        <v>419</v>
      </c>
      <c r="C969" t="s">
        <v>17</v>
      </c>
      <c r="D969">
        <v>24</v>
      </c>
      <c r="E969" t="s">
        <v>12</v>
      </c>
      <c r="F969" t="s">
        <v>18</v>
      </c>
      <c r="G969">
        <v>1080</v>
      </c>
      <c r="H969">
        <v>30</v>
      </c>
      <c r="I969" t="s">
        <v>14</v>
      </c>
      <c r="J969" t="str">
        <f>_xlfn.XLOOKUP(C969,'product_masterlist(ifs)'!A:A,'product_masterlist(ifs)'!C:C,"N/A",0)</f>
        <v>Frames</v>
      </c>
      <c r="K969">
        <f>VLOOKUP(C969,'product_masterlist(ifs)'!A:I,7,FALSE)</f>
        <v>45</v>
      </c>
    </row>
    <row r="970" spans="1:11" x14ac:dyDescent="0.35">
      <c r="A970" t="s">
        <v>1250</v>
      </c>
      <c r="B970" t="s">
        <v>323</v>
      </c>
      <c r="C970" t="s">
        <v>26</v>
      </c>
      <c r="D970">
        <v>22</v>
      </c>
      <c r="E970" t="s">
        <v>22</v>
      </c>
      <c r="F970" t="s">
        <v>31</v>
      </c>
      <c r="G970">
        <v>275</v>
      </c>
      <c r="H970">
        <v>14</v>
      </c>
      <c r="I970" t="s">
        <v>28</v>
      </c>
      <c r="J970" t="str">
        <f>_xlfn.XLOOKUP(C970,'product_masterlist(ifs)'!A:A,'product_masterlist(ifs)'!C:C,"N/A",0)</f>
        <v>Contact Lenses</v>
      </c>
      <c r="K970">
        <f>VLOOKUP(C970,'product_masterlist(ifs)'!A:I,7,FALSE)</f>
        <v>450</v>
      </c>
    </row>
    <row r="971" spans="1:11" x14ac:dyDescent="0.35">
      <c r="A971" t="s">
        <v>1251</v>
      </c>
      <c r="B971" t="s">
        <v>161</v>
      </c>
      <c r="C971" t="s">
        <v>26</v>
      </c>
      <c r="D971">
        <v>23</v>
      </c>
      <c r="E971" t="s">
        <v>20</v>
      </c>
      <c r="F971" t="s">
        <v>18</v>
      </c>
      <c r="G971" t="s">
        <v>162</v>
      </c>
      <c r="H971">
        <v>14</v>
      </c>
      <c r="I971" t="s">
        <v>28</v>
      </c>
      <c r="J971" t="str">
        <f>_xlfn.XLOOKUP(C971,'product_masterlist(ifs)'!A:A,'product_masterlist(ifs)'!C:C,"N/A",0)</f>
        <v>Contact Lenses</v>
      </c>
      <c r="K971">
        <f>VLOOKUP(C971,'product_masterlist(ifs)'!A:I,7,FALSE)</f>
        <v>450</v>
      </c>
    </row>
    <row r="972" spans="1:11" x14ac:dyDescent="0.35">
      <c r="A972" t="s">
        <v>1252</v>
      </c>
      <c r="B972" s="1">
        <v>46001</v>
      </c>
      <c r="C972" t="s">
        <v>33</v>
      </c>
      <c r="D972">
        <v>17</v>
      </c>
      <c r="E972" t="s">
        <v>22</v>
      </c>
      <c r="F972" t="s">
        <v>18</v>
      </c>
      <c r="G972">
        <v>2550</v>
      </c>
      <c r="H972">
        <v>45</v>
      </c>
      <c r="I972" t="s">
        <v>34</v>
      </c>
      <c r="J972" t="str">
        <f>_xlfn.XLOOKUP(C972,'product_masterlist(ifs)'!A:A,'product_masterlist(ifs)'!C:C,"N/A",0)</f>
        <v>Surgical</v>
      </c>
      <c r="K972">
        <f>VLOOKUP(C972,'product_masterlist(ifs)'!A:I,7,FALSE)</f>
        <v>15</v>
      </c>
    </row>
    <row r="973" spans="1:11" x14ac:dyDescent="0.35">
      <c r="A973" t="s">
        <v>1253</v>
      </c>
      <c r="B973" t="s">
        <v>485</v>
      </c>
      <c r="C973" t="s">
        <v>33</v>
      </c>
      <c r="D973">
        <v>22</v>
      </c>
      <c r="E973" t="s">
        <v>20</v>
      </c>
      <c r="F973" t="s">
        <v>13</v>
      </c>
      <c r="G973">
        <v>3300</v>
      </c>
      <c r="H973">
        <v>45</v>
      </c>
      <c r="I973" t="s">
        <v>34</v>
      </c>
      <c r="J973" t="str">
        <f>_xlfn.XLOOKUP(C973,'product_masterlist(ifs)'!A:A,'product_masterlist(ifs)'!C:C,"N/A",0)</f>
        <v>Surgical</v>
      </c>
      <c r="K973">
        <f>VLOOKUP(C973,'product_masterlist(ifs)'!A:I,7,FALSE)</f>
        <v>15</v>
      </c>
    </row>
    <row r="974" spans="1:11" x14ac:dyDescent="0.35">
      <c r="A974" t="s">
        <v>1254</v>
      </c>
      <c r="B974" t="s">
        <v>1222</v>
      </c>
      <c r="C974" t="s">
        <v>26</v>
      </c>
      <c r="D974">
        <v>16</v>
      </c>
      <c r="E974" t="s">
        <v>37</v>
      </c>
      <c r="F974" t="s">
        <v>18</v>
      </c>
      <c r="G974">
        <v>200</v>
      </c>
      <c r="H974">
        <v>14</v>
      </c>
      <c r="I974" t="s">
        <v>28</v>
      </c>
      <c r="J974" t="str">
        <f>_xlfn.XLOOKUP(C974,'product_masterlist(ifs)'!A:A,'product_masterlist(ifs)'!C:C,"N/A",0)</f>
        <v>Contact Lenses</v>
      </c>
      <c r="K974">
        <f>VLOOKUP(C974,'product_masterlist(ifs)'!A:I,7,FALSE)</f>
        <v>450</v>
      </c>
    </row>
    <row r="975" spans="1:11" x14ac:dyDescent="0.35">
      <c r="A975" t="s">
        <v>1255</v>
      </c>
      <c r="B975" t="s">
        <v>364</v>
      </c>
      <c r="C975" t="s">
        <v>11</v>
      </c>
      <c r="D975">
        <v>24</v>
      </c>
      <c r="E975" t="s">
        <v>12</v>
      </c>
      <c r="F975" t="s">
        <v>18</v>
      </c>
      <c r="G975">
        <v>2040</v>
      </c>
      <c r="H975">
        <v>30</v>
      </c>
      <c r="I975" t="s">
        <v>14</v>
      </c>
      <c r="J975" t="str">
        <f>_xlfn.XLOOKUP(C975,'product_masterlist(ifs)'!A:A,'product_masterlist(ifs)'!C:C,"N/A",0)</f>
        <v>Surgical</v>
      </c>
      <c r="K975">
        <f>VLOOKUP(C975,'product_masterlist(ifs)'!A:I,7,FALSE)</f>
        <v>40</v>
      </c>
    </row>
    <row r="976" spans="1:11" x14ac:dyDescent="0.35">
      <c r="A976" t="s">
        <v>1256</v>
      </c>
      <c r="B976" s="1">
        <v>45973</v>
      </c>
      <c r="C976" t="s">
        <v>33</v>
      </c>
      <c r="D976">
        <v>18</v>
      </c>
      <c r="E976" t="s">
        <v>22</v>
      </c>
      <c r="F976" t="s">
        <v>23</v>
      </c>
      <c r="G976">
        <v>2700</v>
      </c>
      <c r="H976">
        <v>45</v>
      </c>
      <c r="I976" t="s">
        <v>34</v>
      </c>
      <c r="J976" t="str">
        <f>_xlfn.XLOOKUP(C976,'product_masterlist(ifs)'!A:A,'product_masterlist(ifs)'!C:C,"N/A",0)</f>
        <v>Surgical</v>
      </c>
      <c r="K976">
        <f>VLOOKUP(C976,'product_masterlist(ifs)'!A:I,7,FALSE)</f>
        <v>15</v>
      </c>
    </row>
    <row r="977" spans="1:11" x14ac:dyDescent="0.35">
      <c r="A977" t="s">
        <v>1257</v>
      </c>
      <c r="B977" t="s">
        <v>52</v>
      </c>
      <c r="C977" t="s">
        <v>42</v>
      </c>
      <c r="D977">
        <v>4</v>
      </c>
      <c r="E977" t="s">
        <v>22</v>
      </c>
      <c r="F977" t="s">
        <v>13</v>
      </c>
      <c r="G977">
        <v>100</v>
      </c>
      <c r="H977">
        <v>21</v>
      </c>
      <c r="I977" t="s">
        <v>14</v>
      </c>
      <c r="J977" t="str">
        <f>_xlfn.XLOOKUP(C977,'product_masterlist(ifs)'!A:A,'product_masterlist(ifs)'!C:C,"N/A",0)</f>
        <v>Contact Lenses</v>
      </c>
      <c r="K977">
        <f>VLOOKUP(C977,'product_masterlist(ifs)'!A:I,7,FALSE)</f>
        <v>120</v>
      </c>
    </row>
    <row r="978" spans="1:11" x14ac:dyDescent="0.35">
      <c r="A978" t="s">
        <v>1258</v>
      </c>
      <c r="B978" s="1">
        <v>45722</v>
      </c>
      <c r="C978" t="s">
        <v>11</v>
      </c>
      <c r="D978">
        <v>12</v>
      </c>
      <c r="E978" t="s">
        <v>20</v>
      </c>
      <c r="F978" t="s">
        <v>23</v>
      </c>
      <c r="G978">
        <v>1020</v>
      </c>
      <c r="H978">
        <v>30</v>
      </c>
      <c r="I978" t="s">
        <v>14</v>
      </c>
      <c r="J978" t="str">
        <f>_xlfn.XLOOKUP(C978,'product_masterlist(ifs)'!A:A,'product_masterlist(ifs)'!C:C,"N/A",0)</f>
        <v>Surgical</v>
      </c>
      <c r="K978">
        <f>VLOOKUP(C978,'product_masterlist(ifs)'!A:I,7,FALSE)</f>
        <v>40</v>
      </c>
    </row>
    <row r="979" spans="1:11" x14ac:dyDescent="0.35">
      <c r="A979" t="s">
        <v>1259</v>
      </c>
      <c r="B979" s="1">
        <v>45720</v>
      </c>
      <c r="C979" t="s">
        <v>11</v>
      </c>
      <c r="D979">
        <v>21</v>
      </c>
      <c r="E979" t="s">
        <v>22</v>
      </c>
      <c r="F979" t="s">
        <v>23</v>
      </c>
      <c r="G979">
        <v>1785</v>
      </c>
      <c r="H979">
        <v>30</v>
      </c>
      <c r="I979" t="s">
        <v>14</v>
      </c>
      <c r="J979" t="str">
        <f>_xlfn.XLOOKUP(C979,'product_masterlist(ifs)'!A:A,'product_masterlist(ifs)'!C:C,"N/A",0)</f>
        <v>Surgical</v>
      </c>
      <c r="K979">
        <f>VLOOKUP(C979,'product_masterlist(ifs)'!A:I,7,FALSE)</f>
        <v>40</v>
      </c>
    </row>
    <row r="980" spans="1:11" x14ac:dyDescent="0.35">
      <c r="A980" t="s">
        <v>1260</v>
      </c>
      <c r="B980" t="s">
        <v>901</v>
      </c>
      <c r="C980" t="s">
        <v>17</v>
      </c>
      <c r="D980">
        <v>10</v>
      </c>
      <c r="E980" t="s">
        <v>37</v>
      </c>
      <c r="F980" t="s">
        <v>13</v>
      </c>
      <c r="G980">
        <v>450</v>
      </c>
      <c r="H980">
        <v>30</v>
      </c>
      <c r="I980" t="s">
        <v>14</v>
      </c>
      <c r="J980" t="str">
        <f>_xlfn.XLOOKUP(C980,'product_masterlist(ifs)'!A:A,'product_masterlist(ifs)'!C:C,"N/A",0)</f>
        <v>Frames</v>
      </c>
      <c r="K980">
        <f>VLOOKUP(C980,'product_masterlist(ifs)'!A:I,7,FALSE)</f>
        <v>45</v>
      </c>
    </row>
    <row r="981" spans="1:11" x14ac:dyDescent="0.35">
      <c r="A981" t="s">
        <v>1261</v>
      </c>
      <c r="B981" s="1">
        <v>45994</v>
      </c>
      <c r="C981" t="s">
        <v>90</v>
      </c>
      <c r="D981">
        <v>3</v>
      </c>
      <c r="E981" t="s">
        <v>12</v>
      </c>
      <c r="F981" t="s">
        <v>23</v>
      </c>
      <c r="G981" t="s">
        <v>375</v>
      </c>
      <c r="H981">
        <v>30</v>
      </c>
      <c r="I981" t="s">
        <v>14</v>
      </c>
      <c r="J981" t="str">
        <f>_xlfn.XLOOKUP(C981,'product_masterlist(ifs)'!A:A,'product_masterlist(ifs)'!C:C,"N/A",0)</f>
        <v>Frames</v>
      </c>
      <c r="K981">
        <f>VLOOKUP(C981,'product_masterlist(ifs)'!A:I,7,FALSE)</f>
        <v>180</v>
      </c>
    </row>
    <row r="982" spans="1:11" x14ac:dyDescent="0.35">
      <c r="A982" t="s">
        <v>1262</v>
      </c>
      <c r="B982" t="s">
        <v>115</v>
      </c>
      <c r="C982" t="s">
        <v>42</v>
      </c>
      <c r="D982">
        <v>15</v>
      </c>
      <c r="E982" t="s">
        <v>12</v>
      </c>
      <c r="F982" t="s">
        <v>18</v>
      </c>
      <c r="G982">
        <v>375</v>
      </c>
      <c r="H982">
        <v>21</v>
      </c>
      <c r="I982" t="s">
        <v>14</v>
      </c>
      <c r="J982" t="str">
        <f>_xlfn.XLOOKUP(C982,'product_masterlist(ifs)'!A:A,'product_masterlist(ifs)'!C:C,"N/A",0)</f>
        <v>Contact Lenses</v>
      </c>
      <c r="K982">
        <f>VLOOKUP(C982,'product_masterlist(ifs)'!A:I,7,FALSE)</f>
        <v>120</v>
      </c>
    </row>
    <row r="983" spans="1:11" x14ac:dyDescent="0.35">
      <c r="A983" t="s">
        <v>1263</v>
      </c>
      <c r="B983" s="1">
        <v>45969</v>
      </c>
      <c r="C983" t="s">
        <v>17</v>
      </c>
      <c r="D983">
        <v>7</v>
      </c>
      <c r="E983" t="s">
        <v>37</v>
      </c>
      <c r="F983" t="s">
        <v>31</v>
      </c>
      <c r="G983">
        <v>315</v>
      </c>
      <c r="H983">
        <v>30</v>
      </c>
      <c r="I983" t="s">
        <v>14</v>
      </c>
      <c r="J983" t="str">
        <f>_xlfn.XLOOKUP(C983,'product_masterlist(ifs)'!A:A,'product_masterlist(ifs)'!C:C,"N/A",0)</f>
        <v>Frames</v>
      </c>
      <c r="K983">
        <f>VLOOKUP(C983,'product_masterlist(ifs)'!A:I,7,FALSE)</f>
        <v>45</v>
      </c>
    </row>
    <row r="984" spans="1:11" x14ac:dyDescent="0.35">
      <c r="A984" t="s">
        <v>1264</v>
      </c>
      <c r="B984" t="s">
        <v>920</v>
      </c>
      <c r="C984" t="s">
        <v>33</v>
      </c>
      <c r="D984">
        <v>18</v>
      </c>
      <c r="E984" t="s">
        <v>12</v>
      </c>
      <c r="F984" t="s">
        <v>13</v>
      </c>
      <c r="G984">
        <v>2700</v>
      </c>
      <c r="H984">
        <v>45</v>
      </c>
      <c r="I984" t="s">
        <v>34</v>
      </c>
      <c r="J984" t="str">
        <f>_xlfn.XLOOKUP(C984,'product_masterlist(ifs)'!A:A,'product_masterlist(ifs)'!C:C,"N/A",0)</f>
        <v>Surgical</v>
      </c>
      <c r="K984">
        <f>VLOOKUP(C984,'product_masterlist(ifs)'!A:I,7,FALSE)</f>
        <v>15</v>
      </c>
    </row>
    <row r="985" spans="1:11" x14ac:dyDescent="0.35">
      <c r="A985" t="s">
        <v>1265</v>
      </c>
      <c r="B985" t="s">
        <v>419</v>
      </c>
      <c r="C985" t="s">
        <v>42</v>
      </c>
      <c r="D985">
        <v>19</v>
      </c>
      <c r="E985" t="s">
        <v>22</v>
      </c>
      <c r="F985" t="s">
        <v>13</v>
      </c>
      <c r="G985">
        <v>475</v>
      </c>
      <c r="H985">
        <v>21</v>
      </c>
      <c r="I985" t="s">
        <v>14</v>
      </c>
      <c r="J985" t="str">
        <f>_xlfn.XLOOKUP(C985,'product_masterlist(ifs)'!A:A,'product_masterlist(ifs)'!C:C,"N/A",0)</f>
        <v>Contact Lenses</v>
      </c>
      <c r="K985">
        <f>VLOOKUP(C985,'product_masterlist(ifs)'!A:I,7,FALSE)</f>
        <v>120</v>
      </c>
    </row>
    <row r="986" spans="1:11" x14ac:dyDescent="0.35">
      <c r="A986" t="s">
        <v>1266</v>
      </c>
      <c r="B986" t="s">
        <v>199</v>
      </c>
      <c r="C986" t="s">
        <v>42</v>
      </c>
      <c r="D986">
        <v>19</v>
      </c>
      <c r="E986" t="s">
        <v>12</v>
      </c>
      <c r="F986" t="s">
        <v>31</v>
      </c>
      <c r="G986">
        <v>475</v>
      </c>
      <c r="H986">
        <v>21</v>
      </c>
      <c r="I986" t="s">
        <v>14</v>
      </c>
      <c r="J986" t="str">
        <f>_xlfn.XLOOKUP(C986,'product_masterlist(ifs)'!A:A,'product_masterlist(ifs)'!C:C,"N/A",0)</f>
        <v>Contact Lenses</v>
      </c>
      <c r="K986">
        <f>VLOOKUP(C986,'product_masterlist(ifs)'!A:I,7,FALSE)</f>
        <v>120</v>
      </c>
    </row>
    <row r="987" spans="1:11" x14ac:dyDescent="0.35">
      <c r="A987" t="s">
        <v>1267</v>
      </c>
      <c r="B987" s="1">
        <v>46001</v>
      </c>
      <c r="C987" t="s">
        <v>33</v>
      </c>
      <c r="D987">
        <v>17</v>
      </c>
      <c r="E987" t="s">
        <v>12</v>
      </c>
      <c r="F987" t="s">
        <v>23</v>
      </c>
      <c r="G987">
        <v>2550</v>
      </c>
      <c r="H987">
        <v>45</v>
      </c>
      <c r="I987" t="s">
        <v>34</v>
      </c>
      <c r="J987" t="str">
        <f>_xlfn.XLOOKUP(C987,'product_masterlist(ifs)'!A:A,'product_masterlist(ifs)'!C:C,"N/A",0)</f>
        <v>Surgical</v>
      </c>
      <c r="K987">
        <f>VLOOKUP(C987,'product_masterlist(ifs)'!A:I,7,FALSE)</f>
        <v>15</v>
      </c>
    </row>
    <row r="988" spans="1:11" x14ac:dyDescent="0.35">
      <c r="A988" t="s">
        <v>1268</v>
      </c>
      <c r="B988" s="1">
        <v>45939</v>
      </c>
      <c r="C988" t="s">
        <v>53</v>
      </c>
      <c r="D988">
        <v>21</v>
      </c>
      <c r="E988" t="s">
        <v>37</v>
      </c>
      <c r="F988" t="s">
        <v>23</v>
      </c>
      <c r="G988" t="s">
        <v>197</v>
      </c>
      <c r="H988">
        <v>7</v>
      </c>
      <c r="I988" t="s">
        <v>28</v>
      </c>
      <c r="J988" t="str">
        <f>_xlfn.XLOOKUP(C988,'product_masterlist(ifs)'!A:A,'product_masterlist(ifs)'!C:C,"N/A",0)</f>
        <v>Solutions</v>
      </c>
      <c r="K988">
        <f>VLOOKUP(C988,'product_masterlist(ifs)'!A:I,7,FALSE)</f>
        <v>800</v>
      </c>
    </row>
    <row r="989" spans="1:11" x14ac:dyDescent="0.35">
      <c r="A989" t="s">
        <v>1269</v>
      </c>
      <c r="B989" t="s">
        <v>550</v>
      </c>
      <c r="C989" t="s">
        <v>26</v>
      </c>
      <c r="D989">
        <v>10</v>
      </c>
      <c r="E989" t="s">
        <v>12</v>
      </c>
      <c r="F989" t="s">
        <v>23</v>
      </c>
      <c r="G989">
        <v>125</v>
      </c>
      <c r="H989">
        <v>14</v>
      </c>
      <c r="I989" t="s">
        <v>28</v>
      </c>
      <c r="J989" t="str">
        <f>_xlfn.XLOOKUP(C989,'product_masterlist(ifs)'!A:A,'product_masterlist(ifs)'!C:C,"N/A",0)</f>
        <v>Contact Lenses</v>
      </c>
      <c r="K989">
        <f>VLOOKUP(C989,'product_masterlist(ifs)'!A:I,7,FALSE)</f>
        <v>450</v>
      </c>
    </row>
    <row r="990" spans="1:11" x14ac:dyDescent="0.35">
      <c r="A990" t="s">
        <v>1270</v>
      </c>
      <c r="B990" t="s">
        <v>706</v>
      </c>
      <c r="C990" t="s">
        <v>26</v>
      </c>
      <c r="D990">
        <v>10</v>
      </c>
      <c r="E990" t="s">
        <v>20</v>
      </c>
      <c r="F990" t="s">
        <v>13</v>
      </c>
      <c r="G990">
        <v>125</v>
      </c>
      <c r="H990">
        <v>14</v>
      </c>
      <c r="I990" t="s">
        <v>28</v>
      </c>
      <c r="J990" t="str">
        <f>_xlfn.XLOOKUP(C990,'product_masterlist(ifs)'!A:A,'product_masterlist(ifs)'!C:C,"N/A",0)</f>
        <v>Contact Lenses</v>
      </c>
      <c r="K990">
        <f>VLOOKUP(C990,'product_masterlist(ifs)'!A:I,7,FALSE)</f>
        <v>450</v>
      </c>
    </row>
    <row r="991" spans="1:11" x14ac:dyDescent="0.35">
      <c r="A991" t="s">
        <v>1271</v>
      </c>
      <c r="B991" s="1">
        <v>45690</v>
      </c>
      <c r="C991" t="s">
        <v>11</v>
      </c>
      <c r="D991">
        <v>1</v>
      </c>
      <c r="E991" t="s">
        <v>22</v>
      </c>
      <c r="F991" t="s">
        <v>23</v>
      </c>
      <c r="G991">
        <v>85</v>
      </c>
      <c r="H991">
        <v>30</v>
      </c>
      <c r="I991" t="s">
        <v>14</v>
      </c>
      <c r="J991" t="str">
        <f>_xlfn.XLOOKUP(C991,'product_masterlist(ifs)'!A:A,'product_masterlist(ifs)'!C:C,"N/A",0)</f>
        <v>Surgical</v>
      </c>
      <c r="K991">
        <f>VLOOKUP(C991,'product_masterlist(ifs)'!A:I,7,FALSE)</f>
        <v>40</v>
      </c>
    </row>
    <row r="992" spans="1:11" x14ac:dyDescent="0.35">
      <c r="A992" t="s">
        <v>1272</v>
      </c>
      <c r="B992" s="1">
        <v>45660</v>
      </c>
      <c r="C992" t="s">
        <v>33</v>
      </c>
      <c r="D992">
        <v>8</v>
      </c>
      <c r="E992" t="s">
        <v>37</v>
      </c>
      <c r="F992" t="s">
        <v>23</v>
      </c>
      <c r="G992">
        <v>1200</v>
      </c>
      <c r="H992">
        <v>45</v>
      </c>
      <c r="I992" t="s">
        <v>34</v>
      </c>
      <c r="J992" t="str">
        <f>_xlfn.XLOOKUP(C992,'product_masterlist(ifs)'!A:A,'product_masterlist(ifs)'!C:C,"N/A",0)</f>
        <v>Surgical</v>
      </c>
      <c r="K992">
        <f>VLOOKUP(C992,'product_masterlist(ifs)'!A:I,7,FALSE)</f>
        <v>15</v>
      </c>
    </row>
    <row r="993" spans="1:11" x14ac:dyDescent="0.35">
      <c r="A993" t="s">
        <v>1273</v>
      </c>
      <c r="B993" s="1">
        <v>45759</v>
      </c>
      <c r="C993" t="s">
        <v>33</v>
      </c>
      <c r="D993">
        <v>9</v>
      </c>
      <c r="E993" t="s">
        <v>22</v>
      </c>
      <c r="F993" t="s">
        <v>31</v>
      </c>
      <c r="G993">
        <v>1350</v>
      </c>
      <c r="H993">
        <v>45</v>
      </c>
      <c r="I993" t="s">
        <v>34</v>
      </c>
      <c r="J993" t="str">
        <f>_xlfn.XLOOKUP(C993,'product_masterlist(ifs)'!A:A,'product_masterlist(ifs)'!C:C,"N/A",0)</f>
        <v>Surgical</v>
      </c>
      <c r="K993">
        <f>VLOOKUP(C993,'product_masterlist(ifs)'!A:I,7,FALSE)</f>
        <v>15</v>
      </c>
    </row>
    <row r="994" spans="1:11" x14ac:dyDescent="0.35">
      <c r="A994" t="s">
        <v>1274</v>
      </c>
      <c r="B994" s="1">
        <v>45815</v>
      </c>
      <c r="C994" t="s">
        <v>90</v>
      </c>
      <c r="D994">
        <v>24</v>
      </c>
      <c r="E994" t="s">
        <v>12</v>
      </c>
      <c r="F994" t="s">
        <v>31</v>
      </c>
      <c r="G994">
        <v>1164</v>
      </c>
      <c r="H994">
        <v>30</v>
      </c>
      <c r="I994" t="s">
        <v>14</v>
      </c>
      <c r="J994" t="str">
        <f>_xlfn.XLOOKUP(C994,'product_masterlist(ifs)'!A:A,'product_masterlist(ifs)'!C:C,"N/A",0)</f>
        <v>Frames</v>
      </c>
      <c r="K994">
        <f>VLOOKUP(C994,'product_masterlist(ifs)'!A:I,7,FALSE)</f>
        <v>180</v>
      </c>
    </row>
    <row r="995" spans="1:11" x14ac:dyDescent="0.35">
      <c r="A995" t="s">
        <v>1275</v>
      </c>
      <c r="B995" s="1">
        <v>45936</v>
      </c>
      <c r="C995" t="s">
        <v>90</v>
      </c>
      <c r="D995">
        <v>9</v>
      </c>
      <c r="E995" t="s">
        <v>12</v>
      </c>
      <c r="F995" t="s">
        <v>23</v>
      </c>
      <c r="G995" t="s">
        <v>91</v>
      </c>
      <c r="H995">
        <v>30</v>
      </c>
      <c r="I995" t="s">
        <v>14</v>
      </c>
      <c r="J995" t="str">
        <f>_xlfn.XLOOKUP(C995,'product_masterlist(ifs)'!A:A,'product_masterlist(ifs)'!C:C,"N/A",0)</f>
        <v>Frames</v>
      </c>
      <c r="K995">
        <f>VLOOKUP(C995,'product_masterlist(ifs)'!A:I,7,FALSE)</f>
        <v>180</v>
      </c>
    </row>
    <row r="996" spans="1:11" x14ac:dyDescent="0.35">
      <c r="A996" t="s">
        <v>1276</v>
      </c>
      <c r="B996" t="s">
        <v>58</v>
      </c>
      <c r="C996" t="s">
        <v>11</v>
      </c>
      <c r="D996">
        <v>10</v>
      </c>
      <c r="E996" t="s">
        <v>12</v>
      </c>
      <c r="F996" t="s">
        <v>23</v>
      </c>
      <c r="G996">
        <v>850</v>
      </c>
      <c r="H996">
        <v>30</v>
      </c>
      <c r="I996" t="s">
        <v>14</v>
      </c>
      <c r="J996" t="str">
        <f>_xlfn.XLOOKUP(C996,'product_masterlist(ifs)'!A:A,'product_masterlist(ifs)'!C:C,"N/A",0)</f>
        <v>Surgical</v>
      </c>
      <c r="K996">
        <f>VLOOKUP(C996,'product_masterlist(ifs)'!A:I,7,FALSE)</f>
        <v>40</v>
      </c>
    </row>
    <row r="997" spans="1:11" x14ac:dyDescent="0.35">
      <c r="A997" t="s">
        <v>1277</v>
      </c>
      <c r="B997" s="1">
        <v>45778</v>
      </c>
      <c r="C997" t="s">
        <v>11</v>
      </c>
      <c r="D997">
        <v>15</v>
      </c>
      <c r="E997" t="s">
        <v>12</v>
      </c>
      <c r="F997" t="s">
        <v>13</v>
      </c>
      <c r="G997">
        <v>1275</v>
      </c>
      <c r="H997">
        <v>30</v>
      </c>
      <c r="I997" t="s">
        <v>14</v>
      </c>
      <c r="J997" t="str">
        <f>_xlfn.XLOOKUP(C997,'product_masterlist(ifs)'!A:A,'product_masterlist(ifs)'!C:C,"N/A",0)</f>
        <v>Surgical</v>
      </c>
      <c r="K997">
        <f>VLOOKUP(C997,'product_masterlist(ifs)'!A:I,7,FALSE)</f>
        <v>40</v>
      </c>
    </row>
    <row r="998" spans="1:11" x14ac:dyDescent="0.35">
      <c r="A998" t="s">
        <v>1278</v>
      </c>
      <c r="B998" s="1">
        <v>45783</v>
      </c>
      <c r="C998" t="s">
        <v>11</v>
      </c>
      <c r="D998">
        <v>24</v>
      </c>
      <c r="E998" t="s">
        <v>20</v>
      </c>
      <c r="F998" t="s">
        <v>23</v>
      </c>
      <c r="G998">
        <v>2040</v>
      </c>
      <c r="H998">
        <v>30</v>
      </c>
      <c r="I998" t="s">
        <v>14</v>
      </c>
      <c r="J998" t="str">
        <f>_xlfn.XLOOKUP(C998,'product_masterlist(ifs)'!A:A,'product_masterlist(ifs)'!C:C,"N/A",0)</f>
        <v>Surgical</v>
      </c>
      <c r="K998">
        <f>VLOOKUP(C998,'product_masterlist(ifs)'!A:I,7,FALSE)</f>
        <v>40</v>
      </c>
    </row>
    <row r="999" spans="1:11" x14ac:dyDescent="0.35">
      <c r="A999" t="s">
        <v>1279</v>
      </c>
      <c r="B999" t="s">
        <v>108</v>
      </c>
      <c r="C999" t="s">
        <v>33</v>
      </c>
      <c r="D999">
        <v>1</v>
      </c>
      <c r="E999" t="s">
        <v>37</v>
      </c>
      <c r="F999" t="s">
        <v>13</v>
      </c>
      <c r="G999">
        <v>150</v>
      </c>
      <c r="H999">
        <v>45</v>
      </c>
      <c r="I999" t="s">
        <v>34</v>
      </c>
      <c r="J999" t="str">
        <f>_xlfn.XLOOKUP(C999,'product_masterlist(ifs)'!A:A,'product_masterlist(ifs)'!C:C,"N/A",0)</f>
        <v>Surgical</v>
      </c>
      <c r="K999">
        <f>VLOOKUP(C999,'product_masterlist(ifs)'!A:I,7,FALSE)</f>
        <v>15</v>
      </c>
    </row>
    <row r="1000" spans="1:11" x14ac:dyDescent="0.35">
      <c r="A1000" t="s">
        <v>1280</v>
      </c>
      <c r="B1000" t="s">
        <v>364</v>
      </c>
      <c r="C1000" t="s">
        <v>26</v>
      </c>
      <c r="D1000">
        <v>4</v>
      </c>
      <c r="E1000" t="s">
        <v>12</v>
      </c>
      <c r="F1000" t="s">
        <v>23</v>
      </c>
      <c r="G1000">
        <v>50</v>
      </c>
      <c r="H1000">
        <v>14</v>
      </c>
      <c r="I1000" t="s">
        <v>28</v>
      </c>
      <c r="J1000" t="str">
        <f>_xlfn.XLOOKUP(C1000,'product_masterlist(ifs)'!A:A,'product_masterlist(ifs)'!C:C,"N/A",0)</f>
        <v>Contact Lenses</v>
      </c>
      <c r="K1000">
        <f>VLOOKUP(C1000,'product_masterlist(ifs)'!A:I,7,FALSE)</f>
        <v>450</v>
      </c>
    </row>
    <row r="1001" spans="1:11" x14ac:dyDescent="0.35">
      <c r="A1001" t="s">
        <v>1281</v>
      </c>
      <c r="B1001" t="s">
        <v>16</v>
      </c>
      <c r="C1001" t="s">
        <v>26</v>
      </c>
      <c r="D1001">
        <v>2</v>
      </c>
      <c r="E1001" t="s">
        <v>20</v>
      </c>
      <c r="F1001" t="s">
        <v>13</v>
      </c>
      <c r="G1001">
        <v>25</v>
      </c>
      <c r="H1001">
        <v>14</v>
      </c>
      <c r="I1001" t="s">
        <v>28</v>
      </c>
      <c r="J1001" t="str">
        <f>_xlfn.XLOOKUP(C1001,'product_masterlist(ifs)'!A:A,'product_masterlist(ifs)'!C:C,"N/A",0)</f>
        <v>Contact Lenses</v>
      </c>
      <c r="K1001">
        <f>VLOOKUP(C1001,'product_masterlist(ifs)'!A:I,7,FALSE)</f>
        <v>450</v>
      </c>
    </row>
    <row r="1002" spans="1:11" x14ac:dyDescent="0.35">
      <c r="A1002" t="s">
        <v>1282</v>
      </c>
      <c r="B1002" t="s">
        <v>747</v>
      </c>
      <c r="C1002" t="s">
        <v>42</v>
      </c>
      <c r="D1002">
        <v>7</v>
      </c>
      <c r="E1002" t="s">
        <v>22</v>
      </c>
      <c r="F1002" t="s">
        <v>18</v>
      </c>
      <c r="G1002">
        <v>175</v>
      </c>
      <c r="H1002">
        <v>21</v>
      </c>
      <c r="I1002" t="s">
        <v>14</v>
      </c>
      <c r="J1002" t="str">
        <f>_xlfn.XLOOKUP(C1002,'product_masterlist(ifs)'!A:A,'product_masterlist(ifs)'!C:C,"N/A",0)</f>
        <v>Contact Lenses</v>
      </c>
      <c r="K1002">
        <f>VLOOKUP(C1002,'product_masterlist(ifs)'!A:I,7,FALSE)</f>
        <v>120</v>
      </c>
    </row>
    <row r="1003" spans="1:11" x14ac:dyDescent="0.35">
      <c r="A1003" t="s">
        <v>1283</v>
      </c>
      <c r="B1003" t="s">
        <v>255</v>
      </c>
      <c r="C1003" t="s">
        <v>26</v>
      </c>
      <c r="D1003">
        <v>2</v>
      </c>
      <c r="E1003" t="s">
        <v>37</v>
      </c>
      <c r="F1003" t="s">
        <v>23</v>
      </c>
      <c r="G1003">
        <v>25</v>
      </c>
      <c r="H1003">
        <v>14</v>
      </c>
      <c r="I1003" t="s">
        <v>28</v>
      </c>
      <c r="J1003" t="str">
        <f>_xlfn.XLOOKUP(C1003,'product_masterlist(ifs)'!A:A,'product_masterlist(ifs)'!C:C,"N/A",0)</f>
        <v>Contact Lenses</v>
      </c>
      <c r="K1003">
        <f>VLOOKUP(C1003,'product_masterlist(ifs)'!A:I,7,FALSE)</f>
        <v>450</v>
      </c>
    </row>
    <row r="1004" spans="1:11" x14ac:dyDescent="0.35">
      <c r="A1004" t="s">
        <v>1284</v>
      </c>
      <c r="B1004" t="s">
        <v>575</v>
      </c>
      <c r="C1004" t="s">
        <v>90</v>
      </c>
      <c r="D1004">
        <v>14</v>
      </c>
      <c r="E1004" t="s">
        <v>37</v>
      </c>
      <c r="F1004" t="s">
        <v>13</v>
      </c>
      <c r="G1004">
        <v>679</v>
      </c>
      <c r="H1004">
        <v>30</v>
      </c>
      <c r="I1004" t="s">
        <v>14</v>
      </c>
      <c r="J1004" t="str">
        <f>_xlfn.XLOOKUP(C1004,'product_masterlist(ifs)'!A:A,'product_masterlist(ifs)'!C:C,"N/A",0)</f>
        <v>Frames</v>
      </c>
      <c r="K1004">
        <f>VLOOKUP(C1004,'product_masterlist(ifs)'!A:I,7,FALSE)</f>
        <v>180</v>
      </c>
    </row>
    <row r="1005" spans="1:11" x14ac:dyDescent="0.35">
      <c r="A1005" t="s">
        <v>1285</v>
      </c>
      <c r="B1005" s="1">
        <v>45993</v>
      </c>
      <c r="C1005" t="s">
        <v>11</v>
      </c>
      <c r="D1005">
        <v>1</v>
      </c>
      <c r="E1005" t="s">
        <v>12</v>
      </c>
      <c r="F1005" t="s">
        <v>13</v>
      </c>
      <c r="G1005">
        <v>85</v>
      </c>
      <c r="H1005">
        <v>30</v>
      </c>
      <c r="I1005" t="s">
        <v>14</v>
      </c>
      <c r="J1005" t="str">
        <f>_xlfn.XLOOKUP(C1005,'product_masterlist(ifs)'!A:A,'product_masterlist(ifs)'!C:C,"N/A",0)</f>
        <v>Surgical</v>
      </c>
      <c r="K1005">
        <f>VLOOKUP(C1005,'product_masterlist(ifs)'!A:I,7,FALSE)</f>
        <v>40</v>
      </c>
    </row>
    <row r="1006" spans="1:11" x14ac:dyDescent="0.35">
      <c r="A1006" t="s">
        <v>1286</v>
      </c>
      <c r="B1006" s="1">
        <v>45752</v>
      </c>
      <c r="C1006" t="s">
        <v>17</v>
      </c>
      <c r="D1006">
        <v>25</v>
      </c>
      <c r="E1006" t="s">
        <v>12</v>
      </c>
      <c r="F1006" t="s">
        <v>23</v>
      </c>
      <c r="G1006">
        <v>1125</v>
      </c>
      <c r="H1006">
        <v>30</v>
      </c>
      <c r="I1006" t="s">
        <v>14</v>
      </c>
      <c r="J1006" t="str">
        <f>_xlfn.XLOOKUP(C1006,'product_masterlist(ifs)'!A:A,'product_masterlist(ifs)'!C:C,"N/A",0)</f>
        <v>Frames</v>
      </c>
      <c r="K1006">
        <f>VLOOKUP(C1006,'product_masterlist(ifs)'!A:I,7,FALSE)</f>
        <v>45</v>
      </c>
    </row>
    <row r="1007" spans="1:11" x14ac:dyDescent="0.35">
      <c r="A1007" t="s">
        <v>1287</v>
      </c>
      <c r="B1007" t="s">
        <v>10</v>
      </c>
      <c r="C1007" t="s">
        <v>26</v>
      </c>
      <c r="D1007">
        <v>18</v>
      </c>
      <c r="E1007" t="s">
        <v>20</v>
      </c>
      <c r="F1007" t="s">
        <v>13</v>
      </c>
      <c r="G1007">
        <v>225</v>
      </c>
      <c r="H1007">
        <v>14</v>
      </c>
      <c r="I1007" t="s">
        <v>28</v>
      </c>
      <c r="J1007" t="str">
        <f>_xlfn.XLOOKUP(C1007,'product_masterlist(ifs)'!A:A,'product_masterlist(ifs)'!C:C,"N/A",0)</f>
        <v>Contact Lenses</v>
      </c>
      <c r="K1007">
        <f>VLOOKUP(C1007,'product_masterlist(ifs)'!A:I,7,FALSE)</f>
        <v>450</v>
      </c>
    </row>
    <row r="1008" spans="1:11" x14ac:dyDescent="0.35">
      <c r="A1008" t="s">
        <v>1288</v>
      </c>
      <c r="B1008" t="s">
        <v>115</v>
      </c>
      <c r="C1008" t="s">
        <v>11</v>
      </c>
      <c r="D1008">
        <v>5</v>
      </c>
      <c r="E1008" t="s">
        <v>12</v>
      </c>
      <c r="F1008" t="s">
        <v>23</v>
      </c>
      <c r="G1008">
        <v>425</v>
      </c>
      <c r="H1008">
        <v>30</v>
      </c>
      <c r="I1008" t="s">
        <v>14</v>
      </c>
      <c r="J1008" t="str">
        <f>_xlfn.XLOOKUP(C1008,'product_masterlist(ifs)'!A:A,'product_masterlist(ifs)'!C:C,"N/A",0)</f>
        <v>Surgical</v>
      </c>
      <c r="K1008">
        <f>VLOOKUP(C1008,'product_masterlist(ifs)'!A:I,7,FALSE)</f>
        <v>40</v>
      </c>
    </row>
    <row r="1009" spans="1:11" x14ac:dyDescent="0.35">
      <c r="A1009" t="s">
        <v>1289</v>
      </c>
      <c r="B1009" t="s">
        <v>100</v>
      </c>
      <c r="C1009" t="s">
        <v>33</v>
      </c>
      <c r="D1009">
        <v>24</v>
      </c>
      <c r="E1009" t="s">
        <v>20</v>
      </c>
      <c r="F1009" t="s">
        <v>18</v>
      </c>
      <c r="G1009">
        <v>3600</v>
      </c>
      <c r="H1009">
        <v>45</v>
      </c>
      <c r="I1009" t="s">
        <v>34</v>
      </c>
      <c r="J1009" t="str">
        <f>_xlfn.XLOOKUP(C1009,'product_masterlist(ifs)'!A:A,'product_masterlist(ifs)'!C:C,"N/A",0)</f>
        <v>Surgical</v>
      </c>
      <c r="K1009">
        <f>VLOOKUP(C1009,'product_masterlist(ifs)'!A:I,7,FALSE)</f>
        <v>15</v>
      </c>
    </row>
    <row r="1010" spans="1:11" x14ac:dyDescent="0.35">
      <c r="A1010" t="s">
        <v>1290</v>
      </c>
      <c r="B1010" t="s">
        <v>214</v>
      </c>
      <c r="C1010" t="s">
        <v>53</v>
      </c>
      <c r="D1010">
        <v>18</v>
      </c>
      <c r="E1010" t="s">
        <v>20</v>
      </c>
      <c r="F1010" t="s">
        <v>31</v>
      </c>
      <c r="G1010" t="s">
        <v>336</v>
      </c>
      <c r="H1010">
        <v>7</v>
      </c>
      <c r="I1010" t="s">
        <v>28</v>
      </c>
      <c r="J1010" t="str">
        <f>_xlfn.XLOOKUP(C1010,'product_masterlist(ifs)'!A:A,'product_masterlist(ifs)'!C:C,"N/A",0)</f>
        <v>Solutions</v>
      </c>
      <c r="K1010">
        <f>VLOOKUP(C1010,'product_masterlist(ifs)'!A:I,7,FALSE)</f>
        <v>800</v>
      </c>
    </row>
    <row r="1011" spans="1:11" x14ac:dyDescent="0.35">
      <c r="A1011" t="s">
        <v>1291</v>
      </c>
      <c r="B1011" t="s">
        <v>561</v>
      </c>
      <c r="C1011" t="s">
        <v>26</v>
      </c>
      <c r="D1011">
        <v>3</v>
      </c>
      <c r="E1011" t="s">
        <v>37</v>
      </c>
      <c r="F1011" t="s">
        <v>18</v>
      </c>
      <c r="G1011" t="s">
        <v>40</v>
      </c>
      <c r="H1011">
        <v>14</v>
      </c>
      <c r="I1011" t="s">
        <v>28</v>
      </c>
      <c r="J1011" t="str">
        <f>_xlfn.XLOOKUP(C1011,'product_masterlist(ifs)'!A:A,'product_masterlist(ifs)'!C:C,"N/A",0)</f>
        <v>Contact Lenses</v>
      </c>
      <c r="K1011">
        <f>VLOOKUP(C1011,'product_masterlist(ifs)'!A:I,7,FALSE)</f>
        <v>450</v>
      </c>
    </row>
    <row r="1012" spans="1:11" x14ac:dyDescent="0.35">
      <c r="A1012" t="s">
        <v>1292</v>
      </c>
      <c r="B1012" t="s">
        <v>298</v>
      </c>
      <c r="C1012" t="s">
        <v>42</v>
      </c>
      <c r="D1012">
        <v>1</v>
      </c>
      <c r="E1012" t="s">
        <v>20</v>
      </c>
      <c r="F1012" t="s">
        <v>31</v>
      </c>
      <c r="G1012">
        <v>25</v>
      </c>
      <c r="H1012">
        <v>21</v>
      </c>
      <c r="I1012" t="s">
        <v>14</v>
      </c>
      <c r="J1012" t="str">
        <f>_xlfn.XLOOKUP(C1012,'product_masterlist(ifs)'!A:A,'product_masterlist(ifs)'!C:C,"N/A",0)</f>
        <v>Contact Lenses</v>
      </c>
      <c r="K1012">
        <f>VLOOKUP(C1012,'product_masterlist(ifs)'!A:I,7,FALSE)</f>
        <v>120</v>
      </c>
    </row>
    <row r="1013" spans="1:11" x14ac:dyDescent="0.35">
      <c r="A1013" t="s">
        <v>1293</v>
      </c>
      <c r="B1013" s="1">
        <v>45692</v>
      </c>
      <c r="C1013" t="s">
        <v>42</v>
      </c>
      <c r="D1013">
        <v>18</v>
      </c>
      <c r="E1013" t="s">
        <v>22</v>
      </c>
      <c r="F1013" t="s">
        <v>18</v>
      </c>
      <c r="G1013">
        <v>450</v>
      </c>
      <c r="H1013">
        <v>21</v>
      </c>
      <c r="I1013" t="s">
        <v>14</v>
      </c>
      <c r="J1013" t="str">
        <f>_xlfn.XLOOKUP(C1013,'product_masterlist(ifs)'!A:A,'product_masterlist(ifs)'!C:C,"N/A",0)</f>
        <v>Contact Lenses</v>
      </c>
      <c r="K1013">
        <f>VLOOKUP(C1013,'product_masterlist(ifs)'!A:I,7,FALSE)</f>
        <v>120</v>
      </c>
    </row>
    <row r="1014" spans="1:11" x14ac:dyDescent="0.35">
      <c r="A1014" t="s">
        <v>1294</v>
      </c>
      <c r="B1014" s="1">
        <v>45788</v>
      </c>
      <c r="C1014" t="s">
        <v>90</v>
      </c>
      <c r="D1014">
        <v>8</v>
      </c>
      <c r="E1014" t="s">
        <v>22</v>
      </c>
      <c r="F1014" t="s">
        <v>31</v>
      </c>
      <c r="G1014">
        <v>388</v>
      </c>
      <c r="H1014">
        <v>30</v>
      </c>
      <c r="I1014" t="s">
        <v>14</v>
      </c>
      <c r="J1014" t="str">
        <f>_xlfn.XLOOKUP(C1014,'product_masterlist(ifs)'!A:A,'product_masterlist(ifs)'!C:C,"N/A",0)</f>
        <v>Frames</v>
      </c>
      <c r="K1014">
        <f>VLOOKUP(C1014,'product_masterlist(ifs)'!A:I,7,FALSE)</f>
        <v>180</v>
      </c>
    </row>
    <row r="1015" spans="1:11" x14ac:dyDescent="0.35">
      <c r="A1015" t="s">
        <v>1295</v>
      </c>
      <c r="B1015" t="s">
        <v>506</v>
      </c>
      <c r="C1015" t="s">
        <v>33</v>
      </c>
      <c r="D1015">
        <v>17</v>
      </c>
      <c r="E1015" t="s">
        <v>12</v>
      </c>
      <c r="F1015" t="s">
        <v>13</v>
      </c>
      <c r="G1015">
        <v>2550</v>
      </c>
      <c r="H1015">
        <v>45</v>
      </c>
      <c r="I1015" t="s">
        <v>34</v>
      </c>
      <c r="J1015" t="str">
        <f>_xlfn.XLOOKUP(C1015,'product_masterlist(ifs)'!A:A,'product_masterlist(ifs)'!C:C,"N/A",0)</f>
        <v>Surgical</v>
      </c>
      <c r="K1015">
        <f>VLOOKUP(C1015,'product_masterlist(ifs)'!A:I,7,FALSE)</f>
        <v>15</v>
      </c>
    </row>
    <row r="1016" spans="1:11" x14ac:dyDescent="0.35">
      <c r="A1016" t="s">
        <v>1296</v>
      </c>
      <c r="B1016" t="s">
        <v>797</v>
      </c>
      <c r="C1016" t="s">
        <v>26</v>
      </c>
      <c r="D1016">
        <v>11</v>
      </c>
      <c r="E1016" t="s">
        <v>37</v>
      </c>
      <c r="F1016" t="s">
        <v>31</v>
      </c>
      <c r="G1016" t="s">
        <v>47</v>
      </c>
      <c r="H1016">
        <v>14</v>
      </c>
      <c r="I1016" t="s">
        <v>28</v>
      </c>
      <c r="J1016" t="str">
        <f>_xlfn.XLOOKUP(C1016,'product_masterlist(ifs)'!A:A,'product_masterlist(ifs)'!C:C,"N/A",0)</f>
        <v>Contact Lenses</v>
      </c>
      <c r="K1016">
        <f>VLOOKUP(C1016,'product_masterlist(ifs)'!A:I,7,FALSE)</f>
        <v>450</v>
      </c>
    </row>
    <row r="1017" spans="1:11" x14ac:dyDescent="0.35">
      <c r="A1017" t="s">
        <v>1297</v>
      </c>
      <c r="B1017" s="1">
        <v>45964</v>
      </c>
      <c r="C1017" t="s">
        <v>42</v>
      </c>
      <c r="D1017">
        <v>5</v>
      </c>
      <c r="E1017" t="s">
        <v>20</v>
      </c>
      <c r="F1017" t="s">
        <v>23</v>
      </c>
      <c r="G1017">
        <v>125</v>
      </c>
      <c r="H1017">
        <v>21</v>
      </c>
      <c r="I1017" t="s">
        <v>14</v>
      </c>
      <c r="J1017" t="str">
        <f>_xlfn.XLOOKUP(C1017,'product_masterlist(ifs)'!A:A,'product_masterlist(ifs)'!C:C,"N/A",0)</f>
        <v>Contact Lenses</v>
      </c>
      <c r="K1017">
        <f>VLOOKUP(C1017,'product_masterlist(ifs)'!A:I,7,FALSE)</f>
        <v>120</v>
      </c>
    </row>
    <row r="1018" spans="1:11" x14ac:dyDescent="0.35">
      <c r="A1018" t="s">
        <v>1298</v>
      </c>
      <c r="B1018" t="s">
        <v>395</v>
      </c>
      <c r="C1018" t="s">
        <v>17</v>
      </c>
      <c r="D1018">
        <v>3</v>
      </c>
      <c r="E1018" t="s">
        <v>12</v>
      </c>
      <c r="F1018" t="s">
        <v>31</v>
      </c>
      <c r="G1018">
        <v>135</v>
      </c>
      <c r="H1018">
        <v>30</v>
      </c>
      <c r="I1018" t="s">
        <v>14</v>
      </c>
      <c r="J1018" t="str">
        <f>_xlfn.XLOOKUP(C1018,'product_masterlist(ifs)'!A:A,'product_masterlist(ifs)'!C:C,"N/A",0)</f>
        <v>Frames</v>
      </c>
      <c r="K1018">
        <f>VLOOKUP(C1018,'product_masterlist(ifs)'!A:I,7,FALSE)</f>
        <v>45</v>
      </c>
    </row>
    <row r="1019" spans="1:11" x14ac:dyDescent="0.35">
      <c r="A1019" t="s">
        <v>1299</v>
      </c>
      <c r="B1019" t="s">
        <v>173</v>
      </c>
      <c r="C1019" t="s">
        <v>17</v>
      </c>
      <c r="D1019">
        <v>9</v>
      </c>
      <c r="E1019" t="s">
        <v>12</v>
      </c>
      <c r="F1019" t="s">
        <v>13</v>
      </c>
      <c r="G1019">
        <v>405</v>
      </c>
      <c r="H1019">
        <v>30</v>
      </c>
      <c r="I1019" t="s">
        <v>14</v>
      </c>
      <c r="J1019" t="str">
        <f>_xlfn.XLOOKUP(C1019,'product_masterlist(ifs)'!A:A,'product_masterlist(ifs)'!C:C,"N/A",0)</f>
        <v>Frames</v>
      </c>
      <c r="K1019">
        <f>VLOOKUP(C1019,'product_masterlist(ifs)'!A:I,7,FALSE)</f>
        <v>45</v>
      </c>
    </row>
    <row r="1020" spans="1:11" x14ac:dyDescent="0.35">
      <c r="A1020" t="s">
        <v>1300</v>
      </c>
      <c r="B1020" t="s">
        <v>62</v>
      </c>
      <c r="C1020" t="s">
        <v>11</v>
      </c>
      <c r="D1020">
        <v>7</v>
      </c>
      <c r="E1020" t="s">
        <v>37</v>
      </c>
      <c r="F1020" t="s">
        <v>18</v>
      </c>
      <c r="G1020">
        <v>595</v>
      </c>
      <c r="H1020">
        <v>30</v>
      </c>
      <c r="I1020" t="s">
        <v>14</v>
      </c>
      <c r="J1020" t="str">
        <f>_xlfn.XLOOKUP(C1020,'product_masterlist(ifs)'!A:A,'product_masterlist(ifs)'!C:C,"N/A",0)</f>
        <v>Surgical</v>
      </c>
      <c r="K1020">
        <f>VLOOKUP(C1020,'product_masterlist(ifs)'!A:I,7,FALSE)</f>
        <v>40</v>
      </c>
    </row>
    <row r="1021" spans="1:11" x14ac:dyDescent="0.35">
      <c r="A1021" t="s">
        <v>1301</v>
      </c>
      <c r="B1021" t="s">
        <v>475</v>
      </c>
      <c r="C1021" t="s">
        <v>26</v>
      </c>
      <c r="D1021">
        <v>9</v>
      </c>
      <c r="E1021" t="s">
        <v>37</v>
      </c>
      <c r="F1021" t="s">
        <v>13</v>
      </c>
      <c r="G1021" t="s">
        <v>170</v>
      </c>
      <c r="H1021">
        <v>14</v>
      </c>
      <c r="I1021" t="s">
        <v>28</v>
      </c>
      <c r="J1021" t="str">
        <f>_xlfn.XLOOKUP(C1021,'product_masterlist(ifs)'!A:A,'product_masterlist(ifs)'!C:C,"N/A",0)</f>
        <v>Contact Lenses</v>
      </c>
      <c r="K1021">
        <f>VLOOKUP(C1021,'product_masterlist(ifs)'!A:I,7,FALSE)</f>
        <v>450</v>
      </c>
    </row>
    <row r="1022" spans="1:11" x14ac:dyDescent="0.35">
      <c r="A1022" t="s">
        <v>1302</v>
      </c>
      <c r="B1022" s="1">
        <v>45840</v>
      </c>
      <c r="C1022" t="s">
        <v>11</v>
      </c>
      <c r="D1022">
        <v>21</v>
      </c>
      <c r="E1022" t="s">
        <v>37</v>
      </c>
      <c r="F1022" t="s">
        <v>18</v>
      </c>
      <c r="G1022">
        <v>1785</v>
      </c>
      <c r="H1022">
        <v>30</v>
      </c>
      <c r="I1022" t="s">
        <v>14</v>
      </c>
      <c r="J1022" t="str">
        <f>_xlfn.XLOOKUP(C1022,'product_masterlist(ifs)'!A:A,'product_masterlist(ifs)'!C:C,"N/A",0)</f>
        <v>Surgical</v>
      </c>
      <c r="K1022">
        <f>VLOOKUP(C1022,'product_masterlist(ifs)'!A:I,7,FALSE)</f>
        <v>40</v>
      </c>
    </row>
    <row r="1023" spans="1:11" x14ac:dyDescent="0.35">
      <c r="A1023" t="s">
        <v>1303</v>
      </c>
      <c r="B1023" t="s">
        <v>319</v>
      </c>
      <c r="C1023" t="s">
        <v>53</v>
      </c>
      <c r="D1023">
        <v>22</v>
      </c>
      <c r="E1023" t="s">
        <v>12</v>
      </c>
      <c r="F1023" t="s">
        <v>18</v>
      </c>
      <c r="G1023" t="s">
        <v>176</v>
      </c>
      <c r="H1023">
        <v>7</v>
      </c>
      <c r="I1023" t="s">
        <v>28</v>
      </c>
      <c r="J1023" t="str">
        <f>_xlfn.XLOOKUP(C1023,'product_masterlist(ifs)'!A:A,'product_masterlist(ifs)'!C:C,"N/A",0)</f>
        <v>Solutions</v>
      </c>
      <c r="K1023">
        <f>VLOOKUP(C1023,'product_masterlist(ifs)'!A:I,7,FALSE)</f>
        <v>800</v>
      </c>
    </row>
    <row r="1024" spans="1:11" x14ac:dyDescent="0.35">
      <c r="A1024" t="s">
        <v>1304</v>
      </c>
      <c r="B1024" s="1">
        <v>45663</v>
      </c>
      <c r="C1024" t="s">
        <v>53</v>
      </c>
      <c r="D1024">
        <v>12</v>
      </c>
      <c r="E1024" t="s">
        <v>37</v>
      </c>
      <c r="F1024" t="s">
        <v>18</v>
      </c>
      <c r="G1024">
        <v>51</v>
      </c>
      <c r="H1024">
        <v>7</v>
      </c>
      <c r="I1024" t="s">
        <v>28</v>
      </c>
      <c r="J1024" t="str">
        <f>_xlfn.XLOOKUP(C1024,'product_masterlist(ifs)'!A:A,'product_masterlist(ifs)'!C:C,"N/A",0)</f>
        <v>Solutions</v>
      </c>
      <c r="K1024">
        <f>VLOOKUP(C1024,'product_masterlist(ifs)'!A:I,7,FALSE)</f>
        <v>800</v>
      </c>
    </row>
    <row r="1025" spans="1:11" x14ac:dyDescent="0.35">
      <c r="A1025" t="s">
        <v>1305</v>
      </c>
      <c r="B1025" t="s">
        <v>310</v>
      </c>
      <c r="C1025" t="s">
        <v>90</v>
      </c>
      <c r="D1025">
        <v>25</v>
      </c>
      <c r="E1025" t="s">
        <v>20</v>
      </c>
      <c r="F1025" t="s">
        <v>31</v>
      </c>
      <c r="G1025" t="s">
        <v>308</v>
      </c>
      <c r="H1025">
        <v>30</v>
      </c>
      <c r="I1025" t="s">
        <v>14</v>
      </c>
      <c r="J1025" t="str">
        <f>_xlfn.XLOOKUP(C1025,'product_masterlist(ifs)'!A:A,'product_masterlist(ifs)'!C:C,"N/A",0)</f>
        <v>Frames</v>
      </c>
      <c r="K1025">
        <f>VLOOKUP(C1025,'product_masterlist(ifs)'!A:I,7,FALSE)</f>
        <v>180</v>
      </c>
    </row>
    <row r="1026" spans="1:11" x14ac:dyDescent="0.35">
      <c r="A1026" t="s">
        <v>1306</v>
      </c>
      <c r="B1026" t="s">
        <v>591</v>
      </c>
      <c r="C1026" t="s">
        <v>11</v>
      </c>
      <c r="D1026">
        <v>14</v>
      </c>
      <c r="E1026" t="s">
        <v>22</v>
      </c>
      <c r="F1026" t="s">
        <v>13</v>
      </c>
      <c r="G1026">
        <v>1190</v>
      </c>
      <c r="H1026">
        <v>30</v>
      </c>
      <c r="I1026" t="s">
        <v>14</v>
      </c>
      <c r="J1026" t="str">
        <f>_xlfn.XLOOKUP(C1026,'product_masterlist(ifs)'!A:A,'product_masterlist(ifs)'!C:C,"N/A",0)</f>
        <v>Surgical</v>
      </c>
      <c r="K1026">
        <f>VLOOKUP(C1026,'product_masterlist(ifs)'!A:I,7,FALSE)</f>
        <v>40</v>
      </c>
    </row>
    <row r="1027" spans="1:11" x14ac:dyDescent="0.35">
      <c r="A1027" t="s">
        <v>1307</v>
      </c>
      <c r="B1027" s="1">
        <v>45717</v>
      </c>
      <c r="C1027" t="s">
        <v>17</v>
      </c>
      <c r="D1027">
        <v>9</v>
      </c>
      <c r="E1027" t="s">
        <v>37</v>
      </c>
      <c r="F1027" t="s">
        <v>31</v>
      </c>
      <c r="G1027">
        <v>405</v>
      </c>
      <c r="H1027">
        <v>30</v>
      </c>
      <c r="I1027" t="s">
        <v>14</v>
      </c>
      <c r="J1027" t="str">
        <f>_xlfn.XLOOKUP(C1027,'product_masterlist(ifs)'!A:A,'product_masterlist(ifs)'!C:C,"N/A",0)</f>
        <v>Frames</v>
      </c>
      <c r="K1027">
        <f>VLOOKUP(C1027,'product_masterlist(ifs)'!A:I,7,FALSE)</f>
        <v>45</v>
      </c>
    </row>
    <row r="1028" spans="1:11" x14ac:dyDescent="0.35">
      <c r="A1028" t="s">
        <v>1308</v>
      </c>
      <c r="B1028" t="s">
        <v>704</v>
      </c>
      <c r="C1028" t="s">
        <v>26</v>
      </c>
      <c r="D1028">
        <v>9</v>
      </c>
      <c r="E1028" t="s">
        <v>20</v>
      </c>
      <c r="F1028" t="s">
        <v>31</v>
      </c>
      <c r="G1028" t="s">
        <v>170</v>
      </c>
      <c r="H1028">
        <v>14</v>
      </c>
      <c r="I1028" t="s">
        <v>28</v>
      </c>
      <c r="J1028" t="str">
        <f>_xlfn.XLOOKUP(C1028,'product_masterlist(ifs)'!A:A,'product_masterlist(ifs)'!C:C,"N/A",0)</f>
        <v>Contact Lenses</v>
      </c>
      <c r="K1028">
        <f>VLOOKUP(C1028,'product_masterlist(ifs)'!A:I,7,FALSE)</f>
        <v>450</v>
      </c>
    </row>
    <row r="1029" spans="1:11" x14ac:dyDescent="0.35">
      <c r="A1029" t="s">
        <v>1309</v>
      </c>
      <c r="B1029" s="1">
        <v>45874</v>
      </c>
      <c r="C1029" t="s">
        <v>90</v>
      </c>
      <c r="D1029">
        <v>13</v>
      </c>
      <c r="E1029" t="s">
        <v>20</v>
      </c>
      <c r="F1029" t="s">
        <v>23</v>
      </c>
      <c r="G1029" t="s">
        <v>262</v>
      </c>
      <c r="H1029">
        <v>30</v>
      </c>
      <c r="I1029" t="s">
        <v>14</v>
      </c>
      <c r="J1029" t="str">
        <f>_xlfn.XLOOKUP(C1029,'product_masterlist(ifs)'!A:A,'product_masterlist(ifs)'!C:C,"N/A",0)</f>
        <v>Frames</v>
      </c>
      <c r="K1029">
        <f>VLOOKUP(C1029,'product_masterlist(ifs)'!A:I,7,FALSE)</f>
        <v>180</v>
      </c>
    </row>
    <row r="1030" spans="1:11" x14ac:dyDescent="0.35">
      <c r="A1030" t="s">
        <v>1310</v>
      </c>
      <c r="B1030" s="1">
        <v>45901</v>
      </c>
      <c r="C1030" t="s">
        <v>90</v>
      </c>
      <c r="D1030">
        <v>6</v>
      </c>
      <c r="E1030" t="s">
        <v>37</v>
      </c>
      <c r="F1030" t="s">
        <v>13</v>
      </c>
      <c r="G1030">
        <v>291</v>
      </c>
      <c r="H1030">
        <v>30</v>
      </c>
      <c r="I1030" t="s">
        <v>14</v>
      </c>
      <c r="J1030" t="str">
        <f>_xlfn.XLOOKUP(C1030,'product_masterlist(ifs)'!A:A,'product_masterlist(ifs)'!C:C,"N/A",0)</f>
        <v>Frames</v>
      </c>
      <c r="K1030">
        <f>VLOOKUP(C1030,'product_masterlist(ifs)'!A:I,7,FALSE)</f>
        <v>180</v>
      </c>
    </row>
    <row r="1031" spans="1:11" x14ac:dyDescent="0.35">
      <c r="A1031" t="s">
        <v>1311</v>
      </c>
      <c r="B1031" t="s">
        <v>770</v>
      </c>
      <c r="C1031" t="s">
        <v>90</v>
      </c>
      <c r="D1031">
        <v>15</v>
      </c>
      <c r="E1031" t="s">
        <v>37</v>
      </c>
      <c r="F1031" t="s">
        <v>31</v>
      </c>
      <c r="G1031" t="s">
        <v>250</v>
      </c>
      <c r="H1031">
        <v>30</v>
      </c>
      <c r="I1031" t="s">
        <v>14</v>
      </c>
      <c r="J1031" t="str">
        <f>_xlfn.XLOOKUP(C1031,'product_masterlist(ifs)'!A:A,'product_masterlist(ifs)'!C:C,"N/A",0)</f>
        <v>Frames</v>
      </c>
      <c r="K1031">
        <f>VLOOKUP(C1031,'product_masterlist(ifs)'!A:I,7,FALSE)</f>
        <v>180</v>
      </c>
    </row>
    <row r="1032" spans="1:11" x14ac:dyDescent="0.35">
      <c r="A1032" t="s">
        <v>1312</v>
      </c>
      <c r="B1032" t="s">
        <v>636</v>
      </c>
      <c r="C1032" t="s">
        <v>33</v>
      </c>
      <c r="D1032">
        <v>3</v>
      </c>
      <c r="E1032" t="s">
        <v>20</v>
      </c>
      <c r="F1032" t="s">
        <v>31</v>
      </c>
      <c r="G1032">
        <v>450</v>
      </c>
      <c r="H1032">
        <v>45</v>
      </c>
      <c r="I1032" t="s">
        <v>34</v>
      </c>
      <c r="J1032" t="str">
        <f>_xlfn.XLOOKUP(C1032,'product_masterlist(ifs)'!A:A,'product_masterlist(ifs)'!C:C,"N/A",0)</f>
        <v>Surgical</v>
      </c>
      <c r="K1032">
        <f>VLOOKUP(C1032,'product_masterlist(ifs)'!A:I,7,FALSE)</f>
        <v>15</v>
      </c>
    </row>
    <row r="1033" spans="1:11" x14ac:dyDescent="0.35">
      <c r="A1033" t="s">
        <v>1313</v>
      </c>
      <c r="B1033" s="1">
        <v>45696</v>
      </c>
      <c r="C1033" t="s">
        <v>11</v>
      </c>
      <c r="D1033">
        <v>5</v>
      </c>
      <c r="E1033" t="s">
        <v>20</v>
      </c>
      <c r="F1033" t="s">
        <v>18</v>
      </c>
      <c r="G1033">
        <v>425</v>
      </c>
      <c r="H1033">
        <v>30</v>
      </c>
      <c r="I1033" t="s">
        <v>14</v>
      </c>
      <c r="J1033" t="str">
        <f>_xlfn.XLOOKUP(C1033,'product_masterlist(ifs)'!A:A,'product_masterlist(ifs)'!C:C,"N/A",0)</f>
        <v>Surgical</v>
      </c>
      <c r="K1033">
        <f>VLOOKUP(C1033,'product_masterlist(ifs)'!A:I,7,FALSE)</f>
        <v>40</v>
      </c>
    </row>
    <row r="1034" spans="1:11" x14ac:dyDescent="0.35">
      <c r="A1034" t="s">
        <v>1314</v>
      </c>
      <c r="B1034" s="1">
        <v>45663</v>
      </c>
      <c r="C1034" t="s">
        <v>26</v>
      </c>
      <c r="D1034">
        <v>9</v>
      </c>
      <c r="E1034" t="s">
        <v>20</v>
      </c>
      <c r="F1034" t="s">
        <v>23</v>
      </c>
      <c r="G1034" t="s">
        <v>170</v>
      </c>
      <c r="H1034">
        <v>14</v>
      </c>
      <c r="I1034" t="s">
        <v>28</v>
      </c>
      <c r="J1034" t="str">
        <f>_xlfn.XLOOKUP(C1034,'product_masterlist(ifs)'!A:A,'product_masterlist(ifs)'!C:C,"N/A",0)</f>
        <v>Contact Lenses</v>
      </c>
      <c r="K1034">
        <f>VLOOKUP(C1034,'product_masterlist(ifs)'!A:I,7,FALSE)</f>
        <v>450</v>
      </c>
    </row>
    <row r="1035" spans="1:11" x14ac:dyDescent="0.35">
      <c r="A1035" t="s">
        <v>1315</v>
      </c>
      <c r="B1035" s="1">
        <v>45660</v>
      </c>
      <c r="C1035" t="s">
        <v>26</v>
      </c>
      <c r="D1035">
        <v>10</v>
      </c>
      <c r="E1035" t="s">
        <v>37</v>
      </c>
      <c r="F1035" t="s">
        <v>23</v>
      </c>
      <c r="G1035">
        <v>125</v>
      </c>
      <c r="H1035">
        <v>14</v>
      </c>
      <c r="I1035" t="s">
        <v>28</v>
      </c>
      <c r="J1035" t="str">
        <f>_xlfn.XLOOKUP(C1035,'product_masterlist(ifs)'!A:A,'product_masterlist(ifs)'!C:C,"N/A",0)</f>
        <v>Contact Lenses</v>
      </c>
      <c r="K1035">
        <f>VLOOKUP(C1035,'product_masterlist(ifs)'!A:I,7,FALSE)</f>
        <v>450</v>
      </c>
    </row>
    <row r="1036" spans="1:11" x14ac:dyDescent="0.35">
      <c r="A1036" t="s">
        <v>1316</v>
      </c>
      <c r="B1036" s="1">
        <v>45728</v>
      </c>
      <c r="C1036" t="s">
        <v>42</v>
      </c>
      <c r="D1036">
        <v>22</v>
      </c>
      <c r="E1036" t="s">
        <v>12</v>
      </c>
      <c r="F1036" t="s">
        <v>13</v>
      </c>
      <c r="G1036">
        <v>550</v>
      </c>
      <c r="H1036">
        <v>21</v>
      </c>
      <c r="I1036" t="s">
        <v>14</v>
      </c>
      <c r="J1036" t="str">
        <f>_xlfn.XLOOKUP(C1036,'product_masterlist(ifs)'!A:A,'product_masterlist(ifs)'!C:C,"N/A",0)</f>
        <v>Contact Lenses</v>
      </c>
      <c r="K1036">
        <f>VLOOKUP(C1036,'product_masterlist(ifs)'!A:I,7,FALSE)</f>
        <v>120</v>
      </c>
    </row>
    <row r="1037" spans="1:11" x14ac:dyDescent="0.35">
      <c r="A1037" t="s">
        <v>1317</v>
      </c>
      <c r="B1037" s="1">
        <v>45749</v>
      </c>
      <c r="C1037" t="s">
        <v>42</v>
      </c>
      <c r="D1037">
        <v>9</v>
      </c>
      <c r="E1037" t="s">
        <v>12</v>
      </c>
      <c r="F1037" t="s">
        <v>13</v>
      </c>
      <c r="G1037">
        <v>225</v>
      </c>
      <c r="H1037">
        <v>21</v>
      </c>
      <c r="I1037" t="s">
        <v>14</v>
      </c>
      <c r="J1037" t="str">
        <f>_xlfn.XLOOKUP(C1037,'product_masterlist(ifs)'!A:A,'product_masterlist(ifs)'!C:C,"N/A",0)</f>
        <v>Contact Lenses</v>
      </c>
      <c r="K1037">
        <f>VLOOKUP(C1037,'product_masterlist(ifs)'!A:I,7,FALSE)</f>
        <v>120</v>
      </c>
    </row>
    <row r="1038" spans="1:11" x14ac:dyDescent="0.35">
      <c r="A1038" t="s">
        <v>1318</v>
      </c>
      <c r="B1038" s="1">
        <v>45873</v>
      </c>
      <c r="C1038" t="s">
        <v>90</v>
      </c>
      <c r="D1038">
        <v>10</v>
      </c>
      <c r="E1038" t="s">
        <v>12</v>
      </c>
      <c r="F1038" t="s">
        <v>23</v>
      </c>
      <c r="G1038">
        <v>485</v>
      </c>
      <c r="H1038">
        <v>30</v>
      </c>
      <c r="I1038" t="s">
        <v>14</v>
      </c>
      <c r="J1038" t="str">
        <f>_xlfn.XLOOKUP(C1038,'product_masterlist(ifs)'!A:A,'product_masterlist(ifs)'!C:C,"N/A",0)</f>
        <v>Frames</v>
      </c>
      <c r="K1038">
        <f>VLOOKUP(C1038,'product_masterlist(ifs)'!A:I,7,FALSE)</f>
        <v>180</v>
      </c>
    </row>
    <row r="1039" spans="1:11" x14ac:dyDescent="0.35">
      <c r="A1039" t="s">
        <v>1319</v>
      </c>
      <c r="B1039" t="s">
        <v>1320</v>
      </c>
      <c r="C1039" t="s">
        <v>17</v>
      </c>
      <c r="D1039">
        <v>15</v>
      </c>
      <c r="E1039" t="s">
        <v>20</v>
      </c>
      <c r="F1039" t="s">
        <v>23</v>
      </c>
      <c r="G1039">
        <v>675</v>
      </c>
      <c r="H1039">
        <v>30</v>
      </c>
      <c r="I1039" t="s">
        <v>14</v>
      </c>
      <c r="J1039" t="str">
        <f>_xlfn.XLOOKUP(C1039,'product_masterlist(ifs)'!A:A,'product_masterlist(ifs)'!C:C,"N/A",0)</f>
        <v>Frames</v>
      </c>
      <c r="K1039">
        <f>VLOOKUP(C1039,'product_masterlist(ifs)'!A:I,7,FALSE)</f>
        <v>45</v>
      </c>
    </row>
    <row r="1040" spans="1:11" x14ac:dyDescent="0.35">
      <c r="A1040" t="s">
        <v>1321</v>
      </c>
      <c r="B1040" t="s">
        <v>802</v>
      </c>
      <c r="C1040" t="s">
        <v>33</v>
      </c>
      <c r="D1040">
        <v>2</v>
      </c>
      <c r="E1040" t="s">
        <v>22</v>
      </c>
      <c r="F1040" t="s">
        <v>23</v>
      </c>
      <c r="G1040">
        <v>300</v>
      </c>
      <c r="H1040">
        <v>45</v>
      </c>
      <c r="I1040" t="s">
        <v>34</v>
      </c>
      <c r="J1040" t="str">
        <f>_xlfn.XLOOKUP(C1040,'product_masterlist(ifs)'!A:A,'product_masterlist(ifs)'!C:C,"N/A",0)</f>
        <v>Surgical</v>
      </c>
      <c r="K1040">
        <f>VLOOKUP(C1040,'product_masterlist(ifs)'!A:I,7,FALSE)</f>
        <v>15</v>
      </c>
    </row>
    <row r="1041" spans="1:11" x14ac:dyDescent="0.35">
      <c r="A1041" t="s">
        <v>1322</v>
      </c>
      <c r="B1041" s="1">
        <v>45997</v>
      </c>
      <c r="C1041" t="s">
        <v>33</v>
      </c>
      <c r="D1041">
        <v>12</v>
      </c>
      <c r="E1041" t="s">
        <v>12</v>
      </c>
      <c r="F1041" t="s">
        <v>23</v>
      </c>
      <c r="G1041">
        <v>1800</v>
      </c>
      <c r="H1041">
        <v>45</v>
      </c>
      <c r="I1041" t="s">
        <v>34</v>
      </c>
      <c r="J1041" t="str">
        <f>_xlfn.XLOOKUP(C1041,'product_masterlist(ifs)'!A:A,'product_masterlist(ifs)'!C:C,"N/A",0)</f>
        <v>Surgical</v>
      </c>
      <c r="K1041">
        <f>VLOOKUP(C1041,'product_masterlist(ifs)'!A:I,7,FALSE)</f>
        <v>15</v>
      </c>
    </row>
    <row r="1042" spans="1:11" x14ac:dyDescent="0.35">
      <c r="A1042" t="s">
        <v>1323</v>
      </c>
      <c r="B1042" t="s">
        <v>408</v>
      </c>
      <c r="C1042" t="s">
        <v>53</v>
      </c>
      <c r="D1042">
        <v>13</v>
      </c>
      <c r="E1042" t="s">
        <v>20</v>
      </c>
      <c r="F1042" t="s">
        <v>18</v>
      </c>
      <c r="G1042" t="s">
        <v>188</v>
      </c>
      <c r="H1042">
        <v>7</v>
      </c>
      <c r="I1042" t="s">
        <v>28</v>
      </c>
      <c r="J1042" t="str">
        <f>_xlfn.XLOOKUP(C1042,'product_masterlist(ifs)'!A:A,'product_masterlist(ifs)'!C:C,"N/A",0)</f>
        <v>Solutions</v>
      </c>
      <c r="K1042">
        <f>VLOOKUP(C1042,'product_masterlist(ifs)'!A:I,7,FALSE)</f>
        <v>800</v>
      </c>
    </row>
    <row r="1043" spans="1:11" x14ac:dyDescent="0.35">
      <c r="A1043" t="s">
        <v>1324</v>
      </c>
      <c r="B1043" t="s">
        <v>144</v>
      </c>
      <c r="C1043" t="s">
        <v>90</v>
      </c>
      <c r="D1043">
        <v>25</v>
      </c>
      <c r="E1043" t="s">
        <v>12</v>
      </c>
      <c r="F1043" t="s">
        <v>18</v>
      </c>
      <c r="G1043" t="s">
        <v>308</v>
      </c>
      <c r="H1043">
        <v>30</v>
      </c>
      <c r="I1043" t="s">
        <v>14</v>
      </c>
      <c r="J1043" t="str">
        <f>_xlfn.XLOOKUP(C1043,'product_masterlist(ifs)'!A:A,'product_masterlist(ifs)'!C:C,"N/A",0)</f>
        <v>Frames</v>
      </c>
      <c r="K1043">
        <f>VLOOKUP(C1043,'product_masterlist(ifs)'!A:I,7,FALSE)</f>
        <v>180</v>
      </c>
    </row>
    <row r="1044" spans="1:11" x14ac:dyDescent="0.35">
      <c r="A1044" t="s">
        <v>1325</v>
      </c>
      <c r="B1044" s="1">
        <v>45845</v>
      </c>
      <c r="C1044" t="s">
        <v>90</v>
      </c>
      <c r="D1044">
        <v>12</v>
      </c>
      <c r="E1044" t="s">
        <v>22</v>
      </c>
      <c r="F1044" t="s">
        <v>13</v>
      </c>
      <c r="G1044">
        <v>582</v>
      </c>
      <c r="H1044">
        <v>30</v>
      </c>
      <c r="I1044" t="s">
        <v>14</v>
      </c>
      <c r="J1044" t="str">
        <f>_xlfn.XLOOKUP(C1044,'product_masterlist(ifs)'!A:A,'product_masterlist(ifs)'!C:C,"N/A",0)</f>
        <v>Frames</v>
      </c>
      <c r="K1044">
        <f>VLOOKUP(C1044,'product_masterlist(ifs)'!A:I,7,FALSE)</f>
        <v>180</v>
      </c>
    </row>
    <row r="1045" spans="1:11" x14ac:dyDescent="0.35">
      <c r="A1045" t="s">
        <v>1326</v>
      </c>
      <c r="B1045" t="s">
        <v>271</v>
      </c>
      <c r="C1045" t="s">
        <v>53</v>
      </c>
      <c r="D1045">
        <v>11</v>
      </c>
      <c r="E1045" t="s">
        <v>22</v>
      </c>
      <c r="F1045" t="s">
        <v>18</v>
      </c>
      <c r="G1045" t="s">
        <v>240</v>
      </c>
      <c r="H1045">
        <v>7</v>
      </c>
      <c r="I1045" t="s">
        <v>28</v>
      </c>
      <c r="J1045" t="str">
        <f>_xlfn.XLOOKUP(C1045,'product_masterlist(ifs)'!A:A,'product_masterlist(ifs)'!C:C,"N/A",0)</f>
        <v>Solutions</v>
      </c>
      <c r="K1045">
        <f>VLOOKUP(C1045,'product_masterlist(ifs)'!A:I,7,FALSE)</f>
        <v>800</v>
      </c>
    </row>
    <row r="1046" spans="1:11" x14ac:dyDescent="0.35">
      <c r="A1046" t="s">
        <v>1327</v>
      </c>
      <c r="B1046" t="s">
        <v>205</v>
      </c>
      <c r="C1046" t="s">
        <v>53</v>
      </c>
      <c r="D1046">
        <v>13</v>
      </c>
      <c r="E1046" t="s">
        <v>20</v>
      </c>
      <c r="F1046" t="s">
        <v>18</v>
      </c>
      <c r="G1046" t="s">
        <v>188</v>
      </c>
      <c r="H1046">
        <v>7</v>
      </c>
      <c r="I1046" t="s">
        <v>28</v>
      </c>
      <c r="J1046" t="str">
        <f>_xlfn.XLOOKUP(C1046,'product_masterlist(ifs)'!A:A,'product_masterlist(ifs)'!C:C,"N/A",0)</f>
        <v>Solutions</v>
      </c>
      <c r="K1046">
        <f>VLOOKUP(C1046,'product_masterlist(ifs)'!A:I,7,FALSE)</f>
        <v>800</v>
      </c>
    </row>
    <row r="1047" spans="1:11" x14ac:dyDescent="0.35">
      <c r="A1047" t="s">
        <v>1328</v>
      </c>
      <c r="B1047" t="s">
        <v>1060</v>
      </c>
      <c r="C1047" t="s">
        <v>26</v>
      </c>
      <c r="D1047">
        <v>1</v>
      </c>
      <c r="E1047" t="s">
        <v>22</v>
      </c>
      <c r="F1047" t="s">
        <v>13</v>
      </c>
      <c r="G1047" t="s">
        <v>101</v>
      </c>
      <c r="H1047">
        <v>14</v>
      </c>
      <c r="I1047" t="s">
        <v>28</v>
      </c>
      <c r="J1047" t="str">
        <f>_xlfn.XLOOKUP(C1047,'product_masterlist(ifs)'!A:A,'product_masterlist(ifs)'!C:C,"N/A",0)</f>
        <v>Contact Lenses</v>
      </c>
      <c r="K1047">
        <f>VLOOKUP(C1047,'product_masterlist(ifs)'!A:I,7,FALSE)</f>
        <v>450</v>
      </c>
    </row>
    <row r="1048" spans="1:11" x14ac:dyDescent="0.35">
      <c r="A1048" t="s">
        <v>1329</v>
      </c>
      <c r="B1048" s="1">
        <v>45818</v>
      </c>
      <c r="C1048" t="s">
        <v>11</v>
      </c>
      <c r="D1048">
        <v>7</v>
      </c>
      <c r="E1048" t="s">
        <v>22</v>
      </c>
      <c r="F1048" t="s">
        <v>18</v>
      </c>
      <c r="G1048">
        <v>595</v>
      </c>
      <c r="H1048">
        <v>30</v>
      </c>
      <c r="I1048" t="s">
        <v>14</v>
      </c>
      <c r="J1048" t="str">
        <f>_xlfn.XLOOKUP(C1048,'product_masterlist(ifs)'!A:A,'product_masterlist(ifs)'!C:C,"N/A",0)</f>
        <v>Surgical</v>
      </c>
      <c r="K1048">
        <f>VLOOKUP(C1048,'product_masterlist(ifs)'!A:I,7,FALSE)</f>
        <v>40</v>
      </c>
    </row>
    <row r="1049" spans="1:11" x14ac:dyDescent="0.35">
      <c r="A1049" t="s">
        <v>1330</v>
      </c>
      <c r="B1049" s="1">
        <v>45840</v>
      </c>
      <c r="C1049" t="s">
        <v>26</v>
      </c>
      <c r="D1049">
        <v>8</v>
      </c>
      <c r="E1049" t="s">
        <v>20</v>
      </c>
      <c r="F1049" t="s">
        <v>31</v>
      </c>
      <c r="G1049">
        <v>100</v>
      </c>
      <c r="H1049">
        <v>14</v>
      </c>
      <c r="I1049" t="s">
        <v>28</v>
      </c>
      <c r="J1049" t="str">
        <f>_xlfn.XLOOKUP(C1049,'product_masterlist(ifs)'!A:A,'product_masterlist(ifs)'!C:C,"N/A",0)</f>
        <v>Contact Lenses</v>
      </c>
      <c r="K1049">
        <f>VLOOKUP(C1049,'product_masterlist(ifs)'!A:I,7,FALSE)</f>
        <v>450</v>
      </c>
    </row>
    <row r="1050" spans="1:11" x14ac:dyDescent="0.35">
      <c r="A1050" t="s">
        <v>1331</v>
      </c>
      <c r="B1050" s="1">
        <v>46002</v>
      </c>
      <c r="C1050" t="s">
        <v>53</v>
      </c>
      <c r="D1050">
        <v>16</v>
      </c>
      <c r="E1050" t="s">
        <v>20</v>
      </c>
      <c r="F1050" t="s">
        <v>13</v>
      </c>
      <c r="G1050">
        <v>68</v>
      </c>
      <c r="H1050">
        <v>7</v>
      </c>
      <c r="I1050" t="s">
        <v>28</v>
      </c>
      <c r="J1050" t="str">
        <f>_xlfn.XLOOKUP(C1050,'product_masterlist(ifs)'!A:A,'product_masterlist(ifs)'!C:C,"N/A",0)</f>
        <v>Solutions</v>
      </c>
      <c r="K1050">
        <f>VLOOKUP(C1050,'product_masterlist(ifs)'!A:I,7,FALSE)</f>
        <v>800</v>
      </c>
    </row>
    <row r="1051" spans="1:11" x14ac:dyDescent="0.35">
      <c r="A1051" t="s">
        <v>1332</v>
      </c>
      <c r="B1051" t="s">
        <v>105</v>
      </c>
      <c r="C1051" t="s">
        <v>26</v>
      </c>
      <c r="D1051">
        <v>13</v>
      </c>
      <c r="E1051" t="s">
        <v>20</v>
      </c>
      <c r="F1051" t="s">
        <v>18</v>
      </c>
      <c r="G1051" t="s">
        <v>437</v>
      </c>
      <c r="H1051">
        <v>14</v>
      </c>
      <c r="I1051" t="s">
        <v>28</v>
      </c>
      <c r="J1051" t="str">
        <f>_xlfn.XLOOKUP(C1051,'product_masterlist(ifs)'!A:A,'product_masterlist(ifs)'!C:C,"N/A",0)</f>
        <v>Contact Lenses</v>
      </c>
      <c r="K1051">
        <f>VLOOKUP(C1051,'product_masterlist(ifs)'!A:I,7,FALSE)</f>
        <v>450</v>
      </c>
    </row>
    <row r="1052" spans="1:11" x14ac:dyDescent="0.35">
      <c r="A1052" t="s">
        <v>1333</v>
      </c>
      <c r="B1052" t="s">
        <v>1006</v>
      </c>
      <c r="C1052" t="s">
        <v>53</v>
      </c>
      <c r="D1052">
        <v>18</v>
      </c>
      <c r="E1052" t="s">
        <v>12</v>
      </c>
      <c r="F1052" t="s">
        <v>31</v>
      </c>
      <c r="G1052" t="s">
        <v>336</v>
      </c>
      <c r="H1052">
        <v>7</v>
      </c>
      <c r="I1052" t="s">
        <v>28</v>
      </c>
      <c r="J1052" t="str">
        <f>_xlfn.XLOOKUP(C1052,'product_masterlist(ifs)'!A:A,'product_masterlist(ifs)'!C:C,"N/A",0)</f>
        <v>Solutions</v>
      </c>
      <c r="K1052">
        <f>VLOOKUP(C1052,'product_masterlist(ifs)'!A:I,7,FALSE)</f>
        <v>800</v>
      </c>
    </row>
    <row r="1053" spans="1:11" x14ac:dyDescent="0.35">
      <c r="A1053" t="s">
        <v>1334</v>
      </c>
      <c r="B1053" s="1">
        <v>45718</v>
      </c>
      <c r="C1053" t="s">
        <v>53</v>
      </c>
      <c r="D1053">
        <v>2</v>
      </c>
      <c r="E1053" t="s">
        <v>12</v>
      </c>
      <c r="F1053" t="s">
        <v>13</v>
      </c>
      <c r="G1053" t="s">
        <v>291</v>
      </c>
      <c r="H1053">
        <v>7</v>
      </c>
      <c r="I1053" t="s">
        <v>28</v>
      </c>
      <c r="J1053" t="str">
        <f>_xlfn.XLOOKUP(C1053,'product_masterlist(ifs)'!A:A,'product_masterlist(ifs)'!C:C,"N/A",0)</f>
        <v>Solutions</v>
      </c>
      <c r="K1053">
        <f>VLOOKUP(C1053,'product_masterlist(ifs)'!A:I,7,FALSE)</f>
        <v>800</v>
      </c>
    </row>
    <row r="1054" spans="1:11" x14ac:dyDescent="0.35">
      <c r="A1054" t="s">
        <v>1335</v>
      </c>
      <c r="B1054" t="s">
        <v>100</v>
      </c>
      <c r="C1054" t="s">
        <v>11</v>
      </c>
      <c r="D1054">
        <v>13</v>
      </c>
      <c r="E1054" t="s">
        <v>20</v>
      </c>
      <c r="F1054" t="s">
        <v>23</v>
      </c>
      <c r="G1054">
        <v>1105</v>
      </c>
      <c r="H1054">
        <v>30</v>
      </c>
      <c r="I1054" t="s">
        <v>14</v>
      </c>
      <c r="J1054" t="str">
        <f>_xlfn.XLOOKUP(C1054,'product_masterlist(ifs)'!A:A,'product_masterlist(ifs)'!C:C,"N/A",0)</f>
        <v>Surgical</v>
      </c>
      <c r="K1054">
        <f>VLOOKUP(C1054,'product_masterlist(ifs)'!A:I,7,FALSE)</f>
        <v>40</v>
      </c>
    </row>
    <row r="1055" spans="1:11" x14ac:dyDescent="0.35">
      <c r="A1055" t="s">
        <v>1336</v>
      </c>
      <c r="B1055" t="s">
        <v>60</v>
      </c>
      <c r="C1055" t="s">
        <v>90</v>
      </c>
      <c r="D1055">
        <v>9</v>
      </c>
      <c r="E1055" t="s">
        <v>12</v>
      </c>
      <c r="F1055" t="s">
        <v>13</v>
      </c>
      <c r="G1055" t="s">
        <v>91</v>
      </c>
      <c r="H1055">
        <v>30</v>
      </c>
      <c r="I1055" t="s">
        <v>14</v>
      </c>
      <c r="J1055" t="str">
        <f>_xlfn.XLOOKUP(C1055,'product_masterlist(ifs)'!A:A,'product_masterlist(ifs)'!C:C,"N/A",0)</f>
        <v>Frames</v>
      </c>
      <c r="K1055">
        <f>VLOOKUP(C1055,'product_masterlist(ifs)'!A:I,7,FALSE)</f>
        <v>180</v>
      </c>
    </row>
    <row r="1056" spans="1:11" x14ac:dyDescent="0.35">
      <c r="A1056" t="s">
        <v>1337</v>
      </c>
      <c r="B1056" t="s">
        <v>660</v>
      </c>
      <c r="C1056" t="s">
        <v>17</v>
      </c>
      <c r="D1056">
        <v>24</v>
      </c>
      <c r="E1056" t="s">
        <v>20</v>
      </c>
      <c r="F1056" t="s">
        <v>18</v>
      </c>
      <c r="G1056">
        <v>1080</v>
      </c>
      <c r="H1056">
        <v>30</v>
      </c>
      <c r="I1056" t="s">
        <v>14</v>
      </c>
      <c r="J1056" t="str">
        <f>_xlfn.XLOOKUP(C1056,'product_masterlist(ifs)'!A:A,'product_masterlist(ifs)'!C:C,"N/A",0)</f>
        <v>Frames</v>
      </c>
      <c r="K1056">
        <f>VLOOKUP(C1056,'product_masterlist(ifs)'!A:I,7,FALSE)</f>
        <v>45</v>
      </c>
    </row>
    <row r="1057" spans="1:11" x14ac:dyDescent="0.35">
      <c r="A1057" t="s">
        <v>1338</v>
      </c>
      <c r="B1057" s="1">
        <v>45820</v>
      </c>
      <c r="C1057" t="s">
        <v>26</v>
      </c>
      <c r="D1057">
        <v>8</v>
      </c>
      <c r="E1057" t="s">
        <v>22</v>
      </c>
      <c r="F1057" t="s">
        <v>18</v>
      </c>
      <c r="G1057">
        <v>100</v>
      </c>
      <c r="H1057">
        <v>14</v>
      </c>
      <c r="I1057" t="s">
        <v>28</v>
      </c>
      <c r="J1057" t="str">
        <f>_xlfn.XLOOKUP(C1057,'product_masterlist(ifs)'!A:A,'product_masterlist(ifs)'!C:C,"N/A",0)</f>
        <v>Contact Lenses</v>
      </c>
      <c r="K1057">
        <f>VLOOKUP(C1057,'product_masterlist(ifs)'!A:I,7,FALSE)</f>
        <v>450</v>
      </c>
    </row>
    <row r="1058" spans="1:11" x14ac:dyDescent="0.35">
      <c r="A1058" t="s">
        <v>1339</v>
      </c>
      <c r="B1058" s="1">
        <v>45870</v>
      </c>
      <c r="C1058" t="s">
        <v>11</v>
      </c>
      <c r="D1058">
        <v>9</v>
      </c>
      <c r="E1058" t="s">
        <v>12</v>
      </c>
      <c r="F1058" t="s">
        <v>31</v>
      </c>
      <c r="G1058">
        <v>765</v>
      </c>
      <c r="H1058">
        <v>30</v>
      </c>
      <c r="I1058" t="s">
        <v>14</v>
      </c>
      <c r="J1058" t="str">
        <f>_xlfn.XLOOKUP(C1058,'product_masterlist(ifs)'!A:A,'product_masterlist(ifs)'!C:C,"N/A",0)</f>
        <v>Surgical</v>
      </c>
      <c r="K1058">
        <f>VLOOKUP(C1058,'product_masterlist(ifs)'!A:I,7,FALSE)</f>
        <v>40</v>
      </c>
    </row>
    <row r="1059" spans="1:11" x14ac:dyDescent="0.35">
      <c r="A1059" t="s">
        <v>1340</v>
      </c>
      <c r="B1059" s="1">
        <v>45720</v>
      </c>
      <c r="C1059" t="s">
        <v>33</v>
      </c>
      <c r="D1059">
        <v>21</v>
      </c>
      <c r="E1059" t="s">
        <v>20</v>
      </c>
      <c r="F1059" t="s">
        <v>18</v>
      </c>
      <c r="G1059">
        <v>3150</v>
      </c>
      <c r="H1059">
        <v>45</v>
      </c>
      <c r="I1059" t="s">
        <v>34</v>
      </c>
      <c r="J1059" t="str">
        <f>_xlfn.XLOOKUP(C1059,'product_masterlist(ifs)'!A:A,'product_masterlist(ifs)'!C:C,"N/A",0)</f>
        <v>Surgical</v>
      </c>
      <c r="K1059">
        <f>VLOOKUP(C1059,'product_masterlist(ifs)'!A:I,7,FALSE)</f>
        <v>15</v>
      </c>
    </row>
    <row r="1060" spans="1:11" x14ac:dyDescent="0.35">
      <c r="A1060" t="s">
        <v>1341</v>
      </c>
      <c r="B1060" t="s">
        <v>446</v>
      </c>
      <c r="C1060" t="s">
        <v>11</v>
      </c>
      <c r="D1060">
        <v>5</v>
      </c>
      <c r="E1060" t="s">
        <v>20</v>
      </c>
      <c r="F1060" t="s">
        <v>18</v>
      </c>
      <c r="G1060">
        <v>425</v>
      </c>
      <c r="H1060">
        <v>30</v>
      </c>
      <c r="I1060" t="s">
        <v>14</v>
      </c>
      <c r="J1060" t="str">
        <f>_xlfn.XLOOKUP(C1060,'product_masterlist(ifs)'!A:A,'product_masterlist(ifs)'!C:C,"N/A",0)</f>
        <v>Surgical</v>
      </c>
      <c r="K1060">
        <f>VLOOKUP(C1060,'product_masterlist(ifs)'!A:I,7,FALSE)</f>
        <v>40</v>
      </c>
    </row>
    <row r="1061" spans="1:11" x14ac:dyDescent="0.35">
      <c r="A1061" t="s">
        <v>1342</v>
      </c>
      <c r="B1061" s="1">
        <v>45748</v>
      </c>
      <c r="C1061" t="s">
        <v>33</v>
      </c>
      <c r="D1061">
        <v>16</v>
      </c>
      <c r="E1061" t="s">
        <v>37</v>
      </c>
      <c r="F1061" t="s">
        <v>13</v>
      </c>
      <c r="G1061">
        <v>2400</v>
      </c>
      <c r="H1061">
        <v>45</v>
      </c>
      <c r="I1061" t="s">
        <v>34</v>
      </c>
      <c r="J1061" t="str">
        <f>_xlfn.XLOOKUP(C1061,'product_masterlist(ifs)'!A:A,'product_masterlist(ifs)'!C:C,"N/A",0)</f>
        <v>Surgical</v>
      </c>
      <c r="K1061">
        <f>VLOOKUP(C1061,'product_masterlist(ifs)'!A:I,7,FALSE)</f>
        <v>15</v>
      </c>
    </row>
    <row r="1062" spans="1:11" x14ac:dyDescent="0.35">
      <c r="A1062" t="s">
        <v>1343</v>
      </c>
      <c r="B1062" s="1">
        <v>45788</v>
      </c>
      <c r="C1062" t="s">
        <v>26</v>
      </c>
      <c r="D1062">
        <v>15</v>
      </c>
      <c r="E1062" t="s">
        <v>12</v>
      </c>
      <c r="F1062" t="s">
        <v>23</v>
      </c>
      <c r="G1062" t="s">
        <v>513</v>
      </c>
      <c r="H1062">
        <v>14</v>
      </c>
      <c r="I1062" t="s">
        <v>28</v>
      </c>
      <c r="J1062" t="str">
        <f>_xlfn.XLOOKUP(C1062,'product_masterlist(ifs)'!A:A,'product_masterlist(ifs)'!C:C,"N/A",0)</f>
        <v>Contact Lenses</v>
      </c>
      <c r="K1062">
        <f>VLOOKUP(C1062,'product_masterlist(ifs)'!A:I,7,FALSE)</f>
        <v>450</v>
      </c>
    </row>
    <row r="1063" spans="1:11" x14ac:dyDescent="0.35">
      <c r="A1063" t="s">
        <v>1344</v>
      </c>
      <c r="B1063" t="s">
        <v>674</v>
      </c>
      <c r="C1063" t="s">
        <v>17</v>
      </c>
      <c r="D1063">
        <v>13</v>
      </c>
      <c r="E1063" t="s">
        <v>12</v>
      </c>
      <c r="F1063" t="s">
        <v>31</v>
      </c>
      <c r="G1063">
        <v>585</v>
      </c>
      <c r="H1063">
        <v>30</v>
      </c>
      <c r="I1063" t="s">
        <v>14</v>
      </c>
      <c r="J1063" t="str">
        <f>_xlfn.XLOOKUP(C1063,'product_masterlist(ifs)'!A:A,'product_masterlist(ifs)'!C:C,"N/A",0)</f>
        <v>Frames</v>
      </c>
      <c r="K1063">
        <f>VLOOKUP(C1063,'product_masterlist(ifs)'!A:I,7,FALSE)</f>
        <v>45</v>
      </c>
    </row>
    <row r="1064" spans="1:11" x14ac:dyDescent="0.35">
      <c r="A1064" t="s">
        <v>1345</v>
      </c>
      <c r="B1064" t="s">
        <v>354</v>
      </c>
      <c r="C1064" t="s">
        <v>90</v>
      </c>
      <c r="D1064">
        <v>19</v>
      </c>
      <c r="E1064" t="s">
        <v>12</v>
      </c>
      <c r="F1064" t="s">
        <v>31</v>
      </c>
      <c r="G1064" t="s">
        <v>504</v>
      </c>
      <c r="H1064">
        <v>30</v>
      </c>
      <c r="I1064" t="s">
        <v>14</v>
      </c>
      <c r="J1064" t="str">
        <f>_xlfn.XLOOKUP(C1064,'product_masterlist(ifs)'!A:A,'product_masterlist(ifs)'!C:C,"N/A",0)</f>
        <v>Frames</v>
      </c>
      <c r="K1064">
        <f>VLOOKUP(C1064,'product_masterlist(ifs)'!A:I,7,FALSE)</f>
        <v>180</v>
      </c>
    </row>
    <row r="1065" spans="1:11" x14ac:dyDescent="0.35">
      <c r="A1065" t="s">
        <v>1346</v>
      </c>
      <c r="B1065" t="s">
        <v>175</v>
      </c>
      <c r="C1065" t="s">
        <v>53</v>
      </c>
      <c r="D1065">
        <v>13</v>
      </c>
      <c r="E1065" t="s">
        <v>20</v>
      </c>
      <c r="F1065" t="s">
        <v>31</v>
      </c>
      <c r="G1065" t="s">
        <v>188</v>
      </c>
      <c r="H1065">
        <v>7</v>
      </c>
      <c r="I1065" t="s">
        <v>28</v>
      </c>
      <c r="J1065" t="str">
        <f>_xlfn.XLOOKUP(C1065,'product_masterlist(ifs)'!A:A,'product_masterlist(ifs)'!C:C,"N/A",0)</f>
        <v>Solutions</v>
      </c>
      <c r="K1065">
        <f>VLOOKUP(C1065,'product_masterlist(ifs)'!A:I,7,FALSE)</f>
        <v>800</v>
      </c>
    </row>
    <row r="1066" spans="1:11" x14ac:dyDescent="0.35">
      <c r="A1066" t="s">
        <v>1347</v>
      </c>
      <c r="B1066" t="s">
        <v>144</v>
      </c>
      <c r="C1066" t="s">
        <v>26</v>
      </c>
      <c r="D1066">
        <v>25</v>
      </c>
      <c r="E1066" t="s">
        <v>37</v>
      </c>
      <c r="F1066" t="s">
        <v>18</v>
      </c>
      <c r="G1066" t="s">
        <v>285</v>
      </c>
      <c r="H1066">
        <v>14</v>
      </c>
      <c r="I1066" t="s">
        <v>28</v>
      </c>
      <c r="J1066" t="str">
        <f>_xlfn.XLOOKUP(C1066,'product_masterlist(ifs)'!A:A,'product_masterlist(ifs)'!C:C,"N/A",0)</f>
        <v>Contact Lenses</v>
      </c>
      <c r="K1066">
        <f>VLOOKUP(C1066,'product_masterlist(ifs)'!A:I,7,FALSE)</f>
        <v>450</v>
      </c>
    </row>
    <row r="1067" spans="1:11" x14ac:dyDescent="0.35">
      <c r="A1067" t="s">
        <v>1348</v>
      </c>
      <c r="B1067" s="1">
        <v>45848</v>
      </c>
      <c r="C1067" t="s">
        <v>11</v>
      </c>
      <c r="D1067">
        <v>18</v>
      </c>
      <c r="E1067" t="s">
        <v>37</v>
      </c>
      <c r="F1067" t="s">
        <v>18</v>
      </c>
      <c r="G1067">
        <v>1530</v>
      </c>
      <c r="H1067">
        <v>30</v>
      </c>
      <c r="I1067" t="s">
        <v>14</v>
      </c>
      <c r="J1067" t="str">
        <f>_xlfn.XLOOKUP(C1067,'product_masterlist(ifs)'!A:A,'product_masterlist(ifs)'!C:C,"N/A",0)</f>
        <v>Surgical</v>
      </c>
      <c r="K1067">
        <f>VLOOKUP(C1067,'product_masterlist(ifs)'!A:I,7,FALSE)</f>
        <v>40</v>
      </c>
    </row>
    <row r="1068" spans="1:11" x14ac:dyDescent="0.35">
      <c r="A1068" t="s">
        <v>1349</v>
      </c>
      <c r="B1068" t="s">
        <v>757</v>
      </c>
      <c r="C1068" t="s">
        <v>26</v>
      </c>
      <c r="D1068">
        <v>3</v>
      </c>
      <c r="E1068" t="s">
        <v>22</v>
      </c>
      <c r="F1068" t="s">
        <v>31</v>
      </c>
      <c r="G1068" t="s">
        <v>40</v>
      </c>
      <c r="H1068">
        <v>14</v>
      </c>
      <c r="I1068" t="s">
        <v>28</v>
      </c>
      <c r="J1068" t="str">
        <f>_xlfn.XLOOKUP(C1068,'product_masterlist(ifs)'!A:A,'product_masterlist(ifs)'!C:C,"N/A",0)</f>
        <v>Contact Lenses</v>
      </c>
      <c r="K1068">
        <f>VLOOKUP(C1068,'product_masterlist(ifs)'!A:I,7,FALSE)</f>
        <v>450</v>
      </c>
    </row>
    <row r="1069" spans="1:11" x14ac:dyDescent="0.35">
      <c r="A1069" t="s">
        <v>1350</v>
      </c>
      <c r="B1069" t="s">
        <v>125</v>
      </c>
      <c r="C1069" t="s">
        <v>33</v>
      </c>
      <c r="D1069">
        <v>20</v>
      </c>
      <c r="E1069" t="s">
        <v>12</v>
      </c>
      <c r="F1069" t="s">
        <v>23</v>
      </c>
      <c r="G1069">
        <v>3000</v>
      </c>
      <c r="H1069">
        <v>45</v>
      </c>
      <c r="I1069" t="s">
        <v>34</v>
      </c>
      <c r="J1069" t="str">
        <f>_xlfn.XLOOKUP(C1069,'product_masterlist(ifs)'!A:A,'product_masterlist(ifs)'!C:C,"N/A",0)</f>
        <v>Surgical</v>
      </c>
      <c r="K1069">
        <f>VLOOKUP(C1069,'product_masterlist(ifs)'!A:I,7,FALSE)</f>
        <v>15</v>
      </c>
    </row>
    <row r="1070" spans="1:11" x14ac:dyDescent="0.35">
      <c r="A1070" t="s">
        <v>1351</v>
      </c>
      <c r="B1070" t="s">
        <v>757</v>
      </c>
      <c r="C1070" t="s">
        <v>11</v>
      </c>
      <c r="D1070">
        <v>24</v>
      </c>
      <c r="E1070" t="s">
        <v>12</v>
      </c>
      <c r="F1070" t="s">
        <v>31</v>
      </c>
      <c r="G1070">
        <v>2040</v>
      </c>
      <c r="H1070">
        <v>30</v>
      </c>
      <c r="I1070" t="s">
        <v>14</v>
      </c>
      <c r="J1070" t="str">
        <f>_xlfn.XLOOKUP(C1070,'product_masterlist(ifs)'!A:A,'product_masterlist(ifs)'!C:C,"N/A",0)</f>
        <v>Surgical</v>
      </c>
      <c r="K1070">
        <f>VLOOKUP(C1070,'product_masterlist(ifs)'!A:I,7,FALSE)</f>
        <v>40</v>
      </c>
    </row>
    <row r="1071" spans="1:11" x14ac:dyDescent="0.35">
      <c r="A1071" t="s">
        <v>1352</v>
      </c>
      <c r="B1071" s="1">
        <v>45727</v>
      </c>
      <c r="C1071" t="s">
        <v>17</v>
      </c>
      <c r="D1071">
        <v>8</v>
      </c>
      <c r="E1071" t="s">
        <v>37</v>
      </c>
      <c r="F1071" t="s">
        <v>13</v>
      </c>
      <c r="G1071">
        <v>360</v>
      </c>
      <c r="H1071">
        <v>30</v>
      </c>
      <c r="I1071" t="s">
        <v>14</v>
      </c>
      <c r="J1071" t="str">
        <f>_xlfn.XLOOKUP(C1071,'product_masterlist(ifs)'!A:A,'product_masterlist(ifs)'!C:C,"N/A",0)</f>
        <v>Frames</v>
      </c>
      <c r="K1071">
        <f>VLOOKUP(C1071,'product_masterlist(ifs)'!A:I,7,FALSE)</f>
        <v>45</v>
      </c>
    </row>
    <row r="1072" spans="1:11" x14ac:dyDescent="0.35">
      <c r="A1072" t="s">
        <v>1353</v>
      </c>
      <c r="B1072" s="1">
        <v>45845</v>
      </c>
      <c r="C1072" t="s">
        <v>33</v>
      </c>
      <c r="D1072">
        <v>17</v>
      </c>
      <c r="E1072" t="s">
        <v>37</v>
      </c>
      <c r="F1072" t="s">
        <v>18</v>
      </c>
      <c r="G1072">
        <v>2550</v>
      </c>
      <c r="H1072">
        <v>45</v>
      </c>
      <c r="I1072" t="s">
        <v>34</v>
      </c>
      <c r="J1072" t="str">
        <f>_xlfn.XLOOKUP(C1072,'product_masterlist(ifs)'!A:A,'product_masterlist(ifs)'!C:C,"N/A",0)</f>
        <v>Surgical</v>
      </c>
      <c r="K1072">
        <f>VLOOKUP(C1072,'product_masterlist(ifs)'!A:I,7,FALSE)</f>
        <v>15</v>
      </c>
    </row>
    <row r="1073" spans="1:11" x14ac:dyDescent="0.35">
      <c r="A1073" t="s">
        <v>1354</v>
      </c>
      <c r="B1073" t="s">
        <v>619</v>
      </c>
      <c r="C1073" t="s">
        <v>33</v>
      </c>
      <c r="D1073">
        <v>21</v>
      </c>
      <c r="E1073" t="s">
        <v>37</v>
      </c>
      <c r="F1073" t="s">
        <v>13</v>
      </c>
      <c r="G1073">
        <v>3150</v>
      </c>
      <c r="H1073">
        <v>45</v>
      </c>
      <c r="I1073" t="s">
        <v>34</v>
      </c>
      <c r="J1073" t="str">
        <f>_xlfn.XLOOKUP(C1073,'product_masterlist(ifs)'!A:A,'product_masterlist(ifs)'!C:C,"N/A",0)</f>
        <v>Surgical</v>
      </c>
      <c r="K1073">
        <f>VLOOKUP(C1073,'product_masterlist(ifs)'!A:I,7,FALSE)</f>
        <v>15</v>
      </c>
    </row>
    <row r="1074" spans="1:11" x14ac:dyDescent="0.35">
      <c r="A1074" t="s">
        <v>1355</v>
      </c>
      <c r="B1074" s="1">
        <v>45754</v>
      </c>
      <c r="C1074" t="s">
        <v>33</v>
      </c>
      <c r="D1074">
        <v>14</v>
      </c>
      <c r="E1074" t="s">
        <v>12</v>
      </c>
      <c r="F1074" t="s">
        <v>31</v>
      </c>
      <c r="G1074">
        <v>2100</v>
      </c>
      <c r="H1074">
        <v>45</v>
      </c>
      <c r="I1074" t="s">
        <v>34</v>
      </c>
      <c r="J1074" t="str">
        <f>_xlfn.XLOOKUP(C1074,'product_masterlist(ifs)'!A:A,'product_masterlist(ifs)'!C:C,"N/A",0)</f>
        <v>Surgical</v>
      </c>
      <c r="K1074">
        <f>VLOOKUP(C1074,'product_masterlist(ifs)'!A:I,7,FALSE)</f>
        <v>15</v>
      </c>
    </row>
    <row r="1075" spans="1:11" x14ac:dyDescent="0.35">
      <c r="A1075" t="s">
        <v>1356</v>
      </c>
      <c r="B1075" s="1">
        <v>45754</v>
      </c>
      <c r="C1075" t="s">
        <v>17</v>
      </c>
      <c r="D1075">
        <v>24</v>
      </c>
      <c r="E1075" t="s">
        <v>20</v>
      </c>
      <c r="F1075" t="s">
        <v>23</v>
      </c>
      <c r="G1075">
        <v>1080</v>
      </c>
      <c r="H1075">
        <v>30</v>
      </c>
      <c r="I1075" t="s">
        <v>14</v>
      </c>
      <c r="J1075" t="str">
        <f>_xlfn.XLOOKUP(C1075,'product_masterlist(ifs)'!A:A,'product_masterlist(ifs)'!C:C,"N/A",0)</f>
        <v>Frames</v>
      </c>
      <c r="K1075">
        <f>VLOOKUP(C1075,'product_masterlist(ifs)'!A:I,7,FALSE)</f>
        <v>45</v>
      </c>
    </row>
    <row r="1076" spans="1:11" x14ac:dyDescent="0.35">
      <c r="A1076" t="s">
        <v>1357</v>
      </c>
      <c r="B1076" s="1">
        <v>45875</v>
      </c>
      <c r="C1076" t="s">
        <v>42</v>
      </c>
      <c r="D1076">
        <v>2</v>
      </c>
      <c r="E1076" t="s">
        <v>12</v>
      </c>
      <c r="F1076" t="s">
        <v>13</v>
      </c>
      <c r="G1076">
        <v>50</v>
      </c>
      <c r="H1076">
        <v>21</v>
      </c>
      <c r="I1076" t="s">
        <v>14</v>
      </c>
      <c r="J1076" t="str">
        <f>_xlfn.XLOOKUP(C1076,'product_masterlist(ifs)'!A:A,'product_masterlist(ifs)'!C:C,"N/A",0)</f>
        <v>Contact Lenses</v>
      </c>
      <c r="K1076">
        <f>VLOOKUP(C1076,'product_masterlist(ifs)'!A:I,7,FALSE)</f>
        <v>120</v>
      </c>
    </row>
    <row r="1077" spans="1:11" x14ac:dyDescent="0.35">
      <c r="A1077" t="s">
        <v>1358</v>
      </c>
      <c r="B1077" s="1">
        <v>45942</v>
      </c>
      <c r="C1077" t="s">
        <v>11</v>
      </c>
      <c r="D1077">
        <v>6</v>
      </c>
      <c r="E1077" t="s">
        <v>22</v>
      </c>
      <c r="F1077" t="s">
        <v>13</v>
      </c>
      <c r="G1077">
        <v>510</v>
      </c>
      <c r="H1077">
        <v>30</v>
      </c>
      <c r="I1077" t="s">
        <v>14</v>
      </c>
      <c r="J1077" t="str">
        <f>_xlfn.XLOOKUP(C1077,'product_masterlist(ifs)'!A:A,'product_masterlist(ifs)'!C:C,"N/A",0)</f>
        <v>Surgical</v>
      </c>
      <c r="K1077">
        <f>VLOOKUP(C1077,'product_masterlist(ifs)'!A:I,7,FALSE)</f>
        <v>40</v>
      </c>
    </row>
    <row r="1078" spans="1:11" x14ac:dyDescent="0.35">
      <c r="A1078" t="s">
        <v>1359</v>
      </c>
      <c r="B1078" t="s">
        <v>227</v>
      </c>
      <c r="C1078" t="s">
        <v>33</v>
      </c>
      <c r="D1078">
        <v>23</v>
      </c>
      <c r="E1078" t="s">
        <v>20</v>
      </c>
      <c r="F1078" t="s">
        <v>31</v>
      </c>
      <c r="G1078">
        <v>3450</v>
      </c>
      <c r="H1078">
        <v>45</v>
      </c>
      <c r="I1078" t="s">
        <v>34</v>
      </c>
      <c r="J1078" t="str">
        <f>_xlfn.XLOOKUP(C1078,'product_masterlist(ifs)'!A:A,'product_masterlist(ifs)'!C:C,"N/A",0)</f>
        <v>Surgical</v>
      </c>
      <c r="K1078">
        <f>VLOOKUP(C1078,'product_masterlist(ifs)'!A:I,7,FALSE)</f>
        <v>15</v>
      </c>
    </row>
    <row r="1079" spans="1:11" x14ac:dyDescent="0.35">
      <c r="A1079" t="s">
        <v>1360</v>
      </c>
      <c r="B1079" t="s">
        <v>58</v>
      </c>
      <c r="C1079" t="s">
        <v>42</v>
      </c>
      <c r="D1079">
        <v>24</v>
      </c>
      <c r="E1079" t="s">
        <v>20</v>
      </c>
      <c r="F1079" t="s">
        <v>18</v>
      </c>
      <c r="G1079">
        <v>600</v>
      </c>
      <c r="H1079">
        <v>21</v>
      </c>
      <c r="I1079" t="s">
        <v>14</v>
      </c>
      <c r="J1079" t="str">
        <f>_xlfn.XLOOKUP(C1079,'product_masterlist(ifs)'!A:A,'product_masterlist(ifs)'!C:C,"N/A",0)</f>
        <v>Contact Lenses</v>
      </c>
      <c r="K1079">
        <f>VLOOKUP(C1079,'product_masterlist(ifs)'!A:I,7,FALSE)</f>
        <v>120</v>
      </c>
    </row>
    <row r="1080" spans="1:11" x14ac:dyDescent="0.35">
      <c r="A1080" t="s">
        <v>1361</v>
      </c>
      <c r="B1080" t="s">
        <v>683</v>
      </c>
      <c r="C1080" t="s">
        <v>11</v>
      </c>
      <c r="D1080">
        <v>18</v>
      </c>
      <c r="E1080" t="s">
        <v>12</v>
      </c>
      <c r="F1080" t="s">
        <v>31</v>
      </c>
      <c r="G1080">
        <v>1530</v>
      </c>
      <c r="H1080">
        <v>30</v>
      </c>
      <c r="I1080" t="s">
        <v>14</v>
      </c>
      <c r="J1080" t="str">
        <f>_xlfn.XLOOKUP(C1080,'product_masterlist(ifs)'!A:A,'product_masterlist(ifs)'!C:C,"N/A",0)</f>
        <v>Surgical</v>
      </c>
      <c r="K1080">
        <f>VLOOKUP(C1080,'product_masterlist(ifs)'!A:I,7,FALSE)</f>
        <v>40</v>
      </c>
    </row>
    <row r="1081" spans="1:11" x14ac:dyDescent="0.35">
      <c r="A1081" t="s">
        <v>1362</v>
      </c>
      <c r="B1081" t="s">
        <v>499</v>
      </c>
      <c r="C1081" t="s">
        <v>53</v>
      </c>
      <c r="D1081">
        <v>5</v>
      </c>
      <c r="E1081" t="s">
        <v>37</v>
      </c>
      <c r="F1081" t="s">
        <v>31</v>
      </c>
      <c r="G1081" t="s">
        <v>854</v>
      </c>
      <c r="H1081">
        <v>7</v>
      </c>
      <c r="I1081" t="s">
        <v>28</v>
      </c>
      <c r="J1081" t="str">
        <f>_xlfn.XLOOKUP(C1081,'product_masterlist(ifs)'!A:A,'product_masterlist(ifs)'!C:C,"N/A",0)</f>
        <v>Solutions</v>
      </c>
      <c r="K1081">
        <f>VLOOKUP(C1081,'product_masterlist(ifs)'!A:I,7,FALSE)</f>
        <v>800</v>
      </c>
    </row>
    <row r="1082" spans="1:11" x14ac:dyDescent="0.35">
      <c r="A1082" t="s">
        <v>1363</v>
      </c>
      <c r="B1082" s="1">
        <v>45942</v>
      </c>
      <c r="C1082" t="s">
        <v>26</v>
      </c>
      <c r="D1082">
        <v>11</v>
      </c>
      <c r="E1082" t="s">
        <v>20</v>
      </c>
      <c r="F1082" t="s">
        <v>31</v>
      </c>
      <c r="G1082" t="s">
        <v>47</v>
      </c>
      <c r="H1082">
        <v>14</v>
      </c>
      <c r="I1082" t="s">
        <v>28</v>
      </c>
      <c r="J1082" t="str">
        <f>_xlfn.XLOOKUP(C1082,'product_masterlist(ifs)'!A:A,'product_masterlist(ifs)'!C:C,"N/A",0)</f>
        <v>Contact Lenses</v>
      </c>
      <c r="K1082">
        <f>VLOOKUP(C1082,'product_masterlist(ifs)'!A:I,7,FALSE)</f>
        <v>450</v>
      </c>
    </row>
    <row r="1083" spans="1:11" x14ac:dyDescent="0.35">
      <c r="A1083" t="s">
        <v>1364</v>
      </c>
      <c r="B1083" t="s">
        <v>737</v>
      </c>
      <c r="C1083" t="s">
        <v>53</v>
      </c>
      <c r="D1083">
        <v>12</v>
      </c>
      <c r="E1083" t="s">
        <v>22</v>
      </c>
      <c r="F1083" t="s">
        <v>13</v>
      </c>
      <c r="G1083">
        <v>51</v>
      </c>
      <c r="H1083">
        <v>7</v>
      </c>
      <c r="I1083" t="s">
        <v>28</v>
      </c>
      <c r="J1083" t="str">
        <f>_xlfn.XLOOKUP(C1083,'product_masterlist(ifs)'!A:A,'product_masterlist(ifs)'!C:C,"N/A",0)</f>
        <v>Solutions</v>
      </c>
      <c r="K1083">
        <f>VLOOKUP(C1083,'product_masterlist(ifs)'!A:I,7,FALSE)</f>
        <v>800</v>
      </c>
    </row>
    <row r="1084" spans="1:11" x14ac:dyDescent="0.35">
      <c r="A1084" t="s">
        <v>1365</v>
      </c>
      <c r="B1084" t="s">
        <v>71</v>
      </c>
      <c r="C1084" t="s">
        <v>90</v>
      </c>
      <c r="D1084">
        <v>12</v>
      </c>
      <c r="E1084" t="s">
        <v>22</v>
      </c>
      <c r="F1084" t="s">
        <v>18</v>
      </c>
      <c r="G1084">
        <v>582</v>
      </c>
      <c r="H1084">
        <v>30</v>
      </c>
      <c r="I1084" t="s">
        <v>14</v>
      </c>
      <c r="J1084" t="str">
        <f>_xlfn.XLOOKUP(C1084,'product_masterlist(ifs)'!A:A,'product_masterlist(ifs)'!C:C,"N/A",0)</f>
        <v>Frames</v>
      </c>
      <c r="K1084">
        <f>VLOOKUP(C1084,'product_masterlist(ifs)'!A:I,7,FALSE)</f>
        <v>180</v>
      </c>
    </row>
    <row r="1085" spans="1:11" x14ac:dyDescent="0.35">
      <c r="A1085" t="s">
        <v>1366</v>
      </c>
      <c r="B1085" t="s">
        <v>1367</v>
      </c>
      <c r="C1085" t="s">
        <v>53</v>
      </c>
      <c r="D1085">
        <v>23</v>
      </c>
      <c r="E1085" t="s">
        <v>22</v>
      </c>
      <c r="F1085" t="s">
        <v>18</v>
      </c>
      <c r="G1085" t="s">
        <v>576</v>
      </c>
      <c r="H1085">
        <v>7</v>
      </c>
      <c r="I1085" t="s">
        <v>28</v>
      </c>
      <c r="J1085" t="str">
        <f>_xlfn.XLOOKUP(C1085,'product_masterlist(ifs)'!A:A,'product_masterlist(ifs)'!C:C,"N/A",0)</f>
        <v>Solutions</v>
      </c>
      <c r="K1085">
        <f>VLOOKUP(C1085,'product_masterlist(ifs)'!A:I,7,FALSE)</f>
        <v>800</v>
      </c>
    </row>
    <row r="1086" spans="1:11" x14ac:dyDescent="0.35">
      <c r="A1086" t="s">
        <v>1368</v>
      </c>
      <c r="B1086" s="1">
        <v>45754</v>
      </c>
      <c r="C1086" t="s">
        <v>33</v>
      </c>
      <c r="D1086">
        <v>3</v>
      </c>
      <c r="E1086" t="s">
        <v>22</v>
      </c>
      <c r="F1086" t="s">
        <v>31</v>
      </c>
      <c r="G1086">
        <v>450</v>
      </c>
      <c r="H1086">
        <v>45</v>
      </c>
      <c r="I1086" t="s">
        <v>34</v>
      </c>
      <c r="J1086" t="str">
        <f>_xlfn.XLOOKUP(C1086,'product_masterlist(ifs)'!A:A,'product_masterlist(ifs)'!C:C,"N/A",0)</f>
        <v>Surgical</v>
      </c>
      <c r="K1086">
        <f>VLOOKUP(C1086,'product_masterlist(ifs)'!A:I,7,FALSE)</f>
        <v>15</v>
      </c>
    </row>
    <row r="1087" spans="1:11" x14ac:dyDescent="0.35">
      <c r="A1087" t="s">
        <v>1369</v>
      </c>
      <c r="B1087" t="s">
        <v>815</v>
      </c>
      <c r="C1087" t="s">
        <v>11</v>
      </c>
      <c r="D1087">
        <v>6</v>
      </c>
      <c r="E1087" t="s">
        <v>12</v>
      </c>
      <c r="F1087" t="s">
        <v>18</v>
      </c>
      <c r="G1087">
        <v>510</v>
      </c>
      <c r="H1087">
        <v>30</v>
      </c>
      <c r="I1087" t="s">
        <v>14</v>
      </c>
      <c r="J1087" t="str">
        <f>_xlfn.XLOOKUP(C1087,'product_masterlist(ifs)'!A:A,'product_masterlist(ifs)'!C:C,"N/A",0)</f>
        <v>Surgical</v>
      </c>
      <c r="K1087">
        <f>VLOOKUP(C1087,'product_masterlist(ifs)'!A:I,7,FALSE)</f>
        <v>40</v>
      </c>
    </row>
    <row r="1088" spans="1:11" x14ac:dyDescent="0.35">
      <c r="A1088" t="s">
        <v>1370</v>
      </c>
      <c r="B1088" t="s">
        <v>403</v>
      </c>
      <c r="C1088" t="s">
        <v>26</v>
      </c>
      <c r="D1088">
        <v>9</v>
      </c>
      <c r="E1088" t="s">
        <v>22</v>
      </c>
      <c r="F1088" t="s">
        <v>18</v>
      </c>
      <c r="G1088" t="s">
        <v>170</v>
      </c>
      <c r="H1088">
        <v>14</v>
      </c>
      <c r="I1088" t="s">
        <v>28</v>
      </c>
      <c r="J1088" t="str">
        <f>_xlfn.XLOOKUP(C1088,'product_masterlist(ifs)'!A:A,'product_masterlist(ifs)'!C:C,"N/A",0)</f>
        <v>Contact Lenses</v>
      </c>
      <c r="K1088">
        <f>VLOOKUP(C1088,'product_masterlist(ifs)'!A:I,7,FALSE)</f>
        <v>450</v>
      </c>
    </row>
    <row r="1089" spans="1:11" x14ac:dyDescent="0.35">
      <c r="A1089" t="s">
        <v>1371</v>
      </c>
      <c r="B1089" t="s">
        <v>103</v>
      </c>
      <c r="C1089" t="s">
        <v>26</v>
      </c>
      <c r="D1089">
        <v>1</v>
      </c>
      <c r="E1089" t="s">
        <v>12</v>
      </c>
      <c r="F1089" t="s">
        <v>23</v>
      </c>
      <c r="G1089" t="s">
        <v>101</v>
      </c>
      <c r="H1089">
        <v>14</v>
      </c>
      <c r="I1089" t="s">
        <v>28</v>
      </c>
      <c r="J1089" t="str">
        <f>_xlfn.XLOOKUP(C1089,'product_masterlist(ifs)'!A:A,'product_masterlist(ifs)'!C:C,"N/A",0)</f>
        <v>Contact Lenses</v>
      </c>
      <c r="K1089">
        <f>VLOOKUP(C1089,'product_masterlist(ifs)'!A:I,7,FALSE)</f>
        <v>450</v>
      </c>
    </row>
    <row r="1090" spans="1:11" x14ac:dyDescent="0.35">
      <c r="A1090" t="s">
        <v>1372</v>
      </c>
      <c r="B1090" t="s">
        <v>144</v>
      </c>
      <c r="C1090" t="s">
        <v>33</v>
      </c>
      <c r="D1090">
        <v>23</v>
      </c>
      <c r="E1090" t="s">
        <v>20</v>
      </c>
      <c r="F1090" t="s">
        <v>23</v>
      </c>
      <c r="G1090">
        <v>3450</v>
      </c>
      <c r="H1090">
        <v>45</v>
      </c>
      <c r="I1090" t="s">
        <v>34</v>
      </c>
      <c r="J1090" t="str">
        <f>_xlfn.XLOOKUP(C1090,'product_masterlist(ifs)'!A:A,'product_masterlist(ifs)'!C:C,"N/A",0)</f>
        <v>Surgical</v>
      </c>
      <c r="K1090">
        <f>VLOOKUP(C1090,'product_masterlist(ifs)'!A:I,7,FALSE)</f>
        <v>15</v>
      </c>
    </row>
    <row r="1091" spans="1:11" x14ac:dyDescent="0.35">
      <c r="A1091" t="s">
        <v>1373</v>
      </c>
      <c r="B1091" t="s">
        <v>599</v>
      </c>
      <c r="C1091" t="s">
        <v>17</v>
      </c>
      <c r="D1091">
        <v>8</v>
      </c>
      <c r="E1091" t="s">
        <v>20</v>
      </c>
      <c r="F1091" t="s">
        <v>31</v>
      </c>
      <c r="G1091">
        <v>360</v>
      </c>
      <c r="H1091">
        <v>30</v>
      </c>
      <c r="I1091" t="s">
        <v>14</v>
      </c>
      <c r="J1091" t="str">
        <f>_xlfn.XLOOKUP(C1091,'product_masterlist(ifs)'!A:A,'product_masterlist(ifs)'!C:C,"N/A",0)</f>
        <v>Frames</v>
      </c>
      <c r="K1091">
        <f>VLOOKUP(C1091,'product_masterlist(ifs)'!A:I,7,FALSE)</f>
        <v>45</v>
      </c>
    </row>
    <row r="1092" spans="1:11" x14ac:dyDescent="0.35">
      <c r="A1092" t="s">
        <v>1374</v>
      </c>
      <c r="B1092" t="s">
        <v>884</v>
      </c>
      <c r="C1092" t="s">
        <v>33</v>
      </c>
      <c r="D1092">
        <v>2</v>
      </c>
      <c r="E1092" t="s">
        <v>22</v>
      </c>
      <c r="F1092" t="s">
        <v>18</v>
      </c>
      <c r="G1092">
        <v>300</v>
      </c>
      <c r="H1092">
        <v>45</v>
      </c>
      <c r="I1092" t="s">
        <v>34</v>
      </c>
      <c r="J1092" t="str">
        <f>_xlfn.XLOOKUP(C1092,'product_masterlist(ifs)'!A:A,'product_masterlist(ifs)'!C:C,"N/A",0)</f>
        <v>Surgical</v>
      </c>
      <c r="K1092">
        <f>VLOOKUP(C1092,'product_masterlist(ifs)'!A:I,7,FALSE)</f>
        <v>15</v>
      </c>
    </row>
    <row r="1093" spans="1:11" x14ac:dyDescent="0.35">
      <c r="A1093" t="s">
        <v>1375</v>
      </c>
      <c r="B1093" s="1">
        <v>45880</v>
      </c>
      <c r="C1093" t="s">
        <v>17</v>
      </c>
      <c r="D1093">
        <v>3</v>
      </c>
      <c r="E1093" t="s">
        <v>20</v>
      </c>
      <c r="F1093" t="s">
        <v>13</v>
      </c>
      <c r="G1093">
        <v>135</v>
      </c>
      <c r="H1093">
        <v>30</v>
      </c>
      <c r="I1093" t="s">
        <v>14</v>
      </c>
      <c r="J1093" t="str">
        <f>_xlfn.XLOOKUP(C1093,'product_masterlist(ifs)'!A:A,'product_masterlist(ifs)'!C:C,"N/A",0)</f>
        <v>Frames</v>
      </c>
      <c r="K1093">
        <f>VLOOKUP(C1093,'product_masterlist(ifs)'!A:I,7,FALSE)</f>
        <v>45</v>
      </c>
    </row>
    <row r="1094" spans="1:11" x14ac:dyDescent="0.35">
      <c r="A1094" t="s">
        <v>1376</v>
      </c>
      <c r="B1094" s="1">
        <v>45906</v>
      </c>
      <c r="C1094" t="s">
        <v>33</v>
      </c>
      <c r="D1094">
        <v>17</v>
      </c>
      <c r="E1094" t="s">
        <v>37</v>
      </c>
      <c r="F1094" t="s">
        <v>18</v>
      </c>
      <c r="G1094">
        <v>2550</v>
      </c>
      <c r="H1094">
        <v>45</v>
      </c>
      <c r="I1094" t="s">
        <v>34</v>
      </c>
      <c r="J1094" t="str">
        <f>_xlfn.XLOOKUP(C1094,'product_masterlist(ifs)'!A:A,'product_masterlist(ifs)'!C:C,"N/A",0)</f>
        <v>Surgical</v>
      </c>
      <c r="K1094">
        <f>VLOOKUP(C1094,'product_masterlist(ifs)'!A:I,7,FALSE)</f>
        <v>15</v>
      </c>
    </row>
    <row r="1095" spans="1:11" x14ac:dyDescent="0.35">
      <c r="A1095" t="s">
        <v>1377</v>
      </c>
      <c r="B1095" s="1">
        <v>45720</v>
      </c>
      <c r="C1095" t="s">
        <v>42</v>
      </c>
      <c r="D1095">
        <v>12</v>
      </c>
      <c r="E1095" t="s">
        <v>12</v>
      </c>
      <c r="F1095" t="s">
        <v>18</v>
      </c>
      <c r="G1095">
        <v>300</v>
      </c>
      <c r="H1095">
        <v>21</v>
      </c>
      <c r="I1095" t="s">
        <v>14</v>
      </c>
      <c r="J1095" t="str">
        <f>_xlfn.XLOOKUP(C1095,'product_masterlist(ifs)'!A:A,'product_masterlist(ifs)'!C:C,"N/A",0)</f>
        <v>Contact Lenses</v>
      </c>
      <c r="K1095">
        <f>VLOOKUP(C1095,'product_masterlist(ifs)'!A:I,7,FALSE)</f>
        <v>120</v>
      </c>
    </row>
    <row r="1096" spans="1:11" x14ac:dyDescent="0.35">
      <c r="A1096" t="s">
        <v>1378</v>
      </c>
      <c r="B1096" t="s">
        <v>690</v>
      </c>
      <c r="C1096" t="s">
        <v>53</v>
      </c>
      <c r="D1096">
        <v>11</v>
      </c>
      <c r="E1096" t="s">
        <v>37</v>
      </c>
      <c r="F1096" t="s">
        <v>13</v>
      </c>
      <c r="G1096" t="s">
        <v>240</v>
      </c>
      <c r="H1096">
        <v>7</v>
      </c>
      <c r="I1096" t="s">
        <v>28</v>
      </c>
      <c r="J1096" t="str">
        <f>_xlfn.XLOOKUP(C1096,'product_masterlist(ifs)'!A:A,'product_masterlist(ifs)'!C:C,"N/A",0)</f>
        <v>Solutions</v>
      </c>
      <c r="K1096">
        <f>VLOOKUP(C1096,'product_masterlist(ifs)'!A:I,7,FALSE)</f>
        <v>800</v>
      </c>
    </row>
    <row r="1097" spans="1:11" x14ac:dyDescent="0.35">
      <c r="A1097" t="s">
        <v>1379</v>
      </c>
      <c r="B1097" s="1">
        <v>45971</v>
      </c>
      <c r="C1097" t="s">
        <v>33</v>
      </c>
      <c r="D1097">
        <v>17</v>
      </c>
      <c r="E1097" t="s">
        <v>20</v>
      </c>
      <c r="F1097" t="s">
        <v>23</v>
      </c>
      <c r="G1097">
        <v>2550</v>
      </c>
      <c r="H1097">
        <v>45</v>
      </c>
      <c r="I1097" t="s">
        <v>34</v>
      </c>
      <c r="J1097" t="str">
        <f>_xlfn.XLOOKUP(C1097,'product_masterlist(ifs)'!A:A,'product_masterlist(ifs)'!C:C,"N/A",0)</f>
        <v>Surgical</v>
      </c>
      <c r="K1097">
        <f>VLOOKUP(C1097,'product_masterlist(ifs)'!A:I,7,FALSE)</f>
        <v>15</v>
      </c>
    </row>
    <row r="1098" spans="1:11" x14ac:dyDescent="0.35">
      <c r="A1098" t="s">
        <v>1380</v>
      </c>
      <c r="B1098" s="1">
        <v>45870</v>
      </c>
      <c r="C1098" t="s">
        <v>53</v>
      </c>
      <c r="D1098">
        <v>14</v>
      </c>
      <c r="E1098" t="s">
        <v>22</v>
      </c>
      <c r="F1098" t="s">
        <v>23</v>
      </c>
      <c r="G1098" t="s">
        <v>228</v>
      </c>
      <c r="H1098">
        <v>7</v>
      </c>
      <c r="I1098" t="s">
        <v>28</v>
      </c>
      <c r="J1098" t="str">
        <f>_xlfn.XLOOKUP(C1098,'product_masterlist(ifs)'!A:A,'product_masterlist(ifs)'!C:C,"N/A",0)</f>
        <v>Solutions</v>
      </c>
      <c r="K1098">
        <f>VLOOKUP(C1098,'product_masterlist(ifs)'!A:I,7,FALSE)</f>
        <v>800</v>
      </c>
    </row>
    <row r="1099" spans="1:11" x14ac:dyDescent="0.35">
      <c r="A1099" t="s">
        <v>1381</v>
      </c>
      <c r="B1099" s="1">
        <v>45698</v>
      </c>
      <c r="C1099" t="s">
        <v>17</v>
      </c>
      <c r="D1099">
        <v>9</v>
      </c>
      <c r="E1099" t="s">
        <v>12</v>
      </c>
      <c r="F1099" t="s">
        <v>13</v>
      </c>
      <c r="G1099">
        <v>405</v>
      </c>
      <c r="H1099">
        <v>30</v>
      </c>
      <c r="I1099" t="s">
        <v>14</v>
      </c>
      <c r="J1099" t="str">
        <f>_xlfn.XLOOKUP(C1099,'product_masterlist(ifs)'!A:A,'product_masterlist(ifs)'!C:C,"N/A",0)</f>
        <v>Frames</v>
      </c>
      <c r="K1099">
        <f>VLOOKUP(C1099,'product_masterlist(ifs)'!A:I,7,FALSE)</f>
        <v>45</v>
      </c>
    </row>
    <row r="1100" spans="1:11" x14ac:dyDescent="0.35">
      <c r="A1100" t="s">
        <v>1382</v>
      </c>
      <c r="B1100" s="1">
        <v>46001</v>
      </c>
      <c r="C1100" t="s">
        <v>42</v>
      </c>
      <c r="D1100">
        <v>8</v>
      </c>
      <c r="E1100" t="s">
        <v>12</v>
      </c>
      <c r="F1100" t="s">
        <v>31</v>
      </c>
      <c r="G1100">
        <v>200</v>
      </c>
      <c r="H1100">
        <v>21</v>
      </c>
      <c r="I1100" t="s">
        <v>14</v>
      </c>
      <c r="J1100" t="str">
        <f>_xlfn.XLOOKUP(C1100,'product_masterlist(ifs)'!A:A,'product_masterlist(ifs)'!C:C,"N/A",0)</f>
        <v>Contact Lenses</v>
      </c>
      <c r="K1100">
        <f>VLOOKUP(C1100,'product_masterlist(ifs)'!A:I,7,FALSE)</f>
        <v>120</v>
      </c>
    </row>
    <row r="1101" spans="1:11" x14ac:dyDescent="0.35">
      <c r="A1101" t="s">
        <v>1383</v>
      </c>
      <c r="B1101" t="s">
        <v>654</v>
      </c>
      <c r="C1101" t="s">
        <v>53</v>
      </c>
      <c r="D1101">
        <v>12</v>
      </c>
      <c r="E1101" t="s">
        <v>37</v>
      </c>
      <c r="F1101" t="s">
        <v>23</v>
      </c>
      <c r="G1101">
        <v>51</v>
      </c>
      <c r="H1101">
        <v>7</v>
      </c>
      <c r="I1101" t="s">
        <v>28</v>
      </c>
      <c r="J1101" t="str">
        <f>_xlfn.XLOOKUP(C1101,'product_masterlist(ifs)'!A:A,'product_masterlist(ifs)'!C:C,"N/A",0)</f>
        <v>Solutions</v>
      </c>
      <c r="K1101">
        <f>VLOOKUP(C1101,'product_masterlist(ifs)'!A:I,7,FALSE)</f>
        <v>800</v>
      </c>
    </row>
    <row r="1102" spans="1:11" x14ac:dyDescent="0.35">
      <c r="A1102" t="s">
        <v>1384</v>
      </c>
      <c r="B1102" s="1">
        <v>45876</v>
      </c>
      <c r="C1102" t="s">
        <v>11</v>
      </c>
      <c r="D1102">
        <v>10</v>
      </c>
      <c r="E1102" t="s">
        <v>12</v>
      </c>
      <c r="F1102" t="s">
        <v>31</v>
      </c>
      <c r="G1102">
        <v>850</v>
      </c>
      <c r="H1102">
        <v>30</v>
      </c>
      <c r="I1102" t="s">
        <v>14</v>
      </c>
      <c r="J1102" t="str">
        <f>_xlfn.XLOOKUP(C1102,'product_masterlist(ifs)'!A:A,'product_masterlist(ifs)'!C:C,"N/A",0)</f>
        <v>Surgical</v>
      </c>
      <c r="K1102">
        <f>VLOOKUP(C1102,'product_masterlist(ifs)'!A:I,7,FALSE)</f>
        <v>40</v>
      </c>
    </row>
    <row r="1103" spans="1:11" x14ac:dyDescent="0.35">
      <c r="A1103" t="s">
        <v>1385</v>
      </c>
      <c r="B1103" t="s">
        <v>888</v>
      </c>
      <c r="C1103" t="s">
        <v>26</v>
      </c>
      <c r="D1103">
        <v>22</v>
      </c>
      <c r="E1103" t="s">
        <v>22</v>
      </c>
      <c r="F1103" t="s">
        <v>31</v>
      </c>
      <c r="G1103">
        <v>275</v>
      </c>
      <c r="H1103">
        <v>14</v>
      </c>
      <c r="I1103" t="s">
        <v>28</v>
      </c>
      <c r="J1103" t="str">
        <f>_xlfn.XLOOKUP(C1103,'product_masterlist(ifs)'!A:A,'product_masterlist(ifs)'!C:C,"N/A",0)</f>
        <v>Contact Lenses</v>
      </c>
      <c r="K1103">
        <f>VLOOKUP(C1103,'product_masterlist(ifs)'!A:I,7,FALSE)</f>
        <v>450</v>
      </c>
    </row>
    <row r="1104" spans="1:11" x14ac:dyDescent="0.35">
      <c r="A1104" t="s">
        <v>1386</v>
      </c>
      <c r="B1104" t="s">
        <v>65</v>
      </c>
      <c r="C1104" t="s">
        <v>90</v>
      </c>
      <c r="D1104">
        <v>2</v>
      </c>
      <c r="E1104" t="s">
        <v>22</v>
      </c>
      <c r="F1104" t="s">
        <v>23</v>
      </c>
      <c r="G1104">
        <v>97</v>
      </c>
      <c r="H1104">
        <v>30</v>
      </c>
      <c r="I1104" t="s">
        <v>14</v>
      </c>
      <c r="J1104" t="str">
        <f>_xlfn.XLOOKUP(C1104,'product_masterlist(ifs)'!A:A,'product_masterlist(ifs)'!C:C,"N/A",0)</f>
        <v>Frames</v>
      </c>
      <c r="K1104">
        <f>VLOOKUP(C1104,'product_masterlist(ifs)'!A:I,7,FALSE)</f>
        <v>180</v>
      </c>
    </row>
    <row r="1105" spans="1:11" x14ac:dyDescent="0.35">
      <c r="A1105" t="s">
        <v>1387</v>
      </c>
      <c r="B1105" s="1">
        <v>45812</v>
      </c>
      <c r="C1105" t="s">
        <v>17</v>
      </c>
      <c r="D1105">
        <v>22</v>
      </c>
      <c r="E1105" t="s">
        <v>22</v>
      </c>
      <c r="F1105" t="s">
        <v>18</v>
      </c>
      <c r="G1105">
        <v>990</v>
      </c>
      <c r="H1105">
        <v>30</v>
      </c>
      <c r="I1105" t="s">
        <v>14</v>
      </c>
      <c r="J1105" t="str">
        <f>_xlfn.XLOOKUP(C1105,'product_masterlist(ifs)'!A:A,'product_masterlist(ifs)'!C:C,"N/A",0)</f>
        <v>Frames</v>
      </c>
      <c r="K1105">
        <f>VLOOKUP(C1105,'product_masterlist(ifs)'!A:I,7,FALSE)</f>
        <v>45</v>
      </c>
    </row>
    <row r="1106" spans="1:11" x14ac:dyDescent="0.35">
      <c r="A1106" t="s">
        <v>1388</v>
      </c>
      <c r="B1106" s="1">
        <v>45781</v>
      </c>
      <c r="C1106" t="s">
        <v>33</v>
      </c>
      <c r="D1106">
        <v>4</v>
      </c>
      <c r="E1106" t="s">
        <v>37</v>
      </c>
      <c r="F1106" t="s">
        <v>18</v>
      </c>
      <c r="G1106">
        <v>600</v>
      </c>
      <c r="H1106">
        <v>45</v>
      </c>
      <c r="I1106" t="s">
        <v>34</v>
      </c>
      <c r="J1106" t="str">
        <f>_xlfn.XLOOKUP(C1106,'product_masterlist(ifs)'!A:A,'product_masterlist(ifs)'!C:C,"N/A",0)</f>
        <v>Surgical</v>
      </c>
      <c r="K1106">
        <f>VLOOKUP(C1106,'product_masterlist(ifs)'!A:I,7,FALSE)</f>
        <v>15</v>
      </c>
    </row>
    <row r="1107" spans="1:11" x14ac:dyDescent="0.35">
      <c r="A1107" t="s">
        <v>1389</v>
      </c>
      <c r="B1107" s="1">
        <v>45658</v>
      </c>
      <c r="C1107" t="s">
        <v>26</v>
      </c>
      <c r="D1107">
        <v>13</v>
      </c>
      <c r="E1107" t="s">
        <v>12</v>
      </c>
      <c r="F1107" t="s">
        <v>13</v>
      </c>
      <c r="G1107" t="s">
        <v>437</v>
      </c>
      <c r="H1107">
        <v>14</v>
      </c>
      <c r="I1107" t="s">
        <v>28</v>
      </c>
      <c r="J1107" t="str">
        <f>_xlfn.XLOOKUP(C1107,'product_masterlist(ifs)'!A:A,'product_masterlist(ifs)'!C:C,"N/A",0)</f>
        <v>Contact Lenses</v>
      </c>
      <c r="K1107">
        <f>VLOOKUP(C1107,'product_masterlist(ifs)'!A:I,7,FALSE)</f>
        <v>450</v>
      </c>
    </row>
    <row r="1108" spans="1:11" x14ac:dyDescent="0.35">
      <c r="A1108" t="s">
        <v>1390</v>
      </c>
      <c r="B1108" t="s">
        <v>770</v>
      </c>
      <c r="C1108" t="s">
        <v>33</v>
      </c>
      <c r="D1108">
        <v>2</v>
      </c>
      <c r="E1108" t="s">
        <v>37</v>
      </c>
      <c r="F1108" t="s">
        <v>31</v>
      </c>
      <c r="G1108">
        <v>300</v>
      </c>
      <c r="H1108">
        <v>45</v>
      </c>
      <c r="I1108" t="s">
        <v>34</v>
      </c>
      <c r="J1108" t="str">
        <f>_xlfn.XLOOKUP(C1108,'product_masterlist(ifs)'!A:A,'product_masterlist(ifs)'!C:C,"N/A",0)</f>
        <v>Surgical</v>
      </c>
      <c r="K1108">
        <f>VLOOKUP(C1108,'product_masterlist(ifs)'!A:I,7,FALSE)</f>
        <v>15</v>
      </c>
    </row>
    <row r="1109" spans="1:11" x14ac:dyDescent="0.35">
      <c r="A1109" t="s">
        <v>1391</v>
      </c>
      <c r="B1109" t="s">
        <v>515</v>
      </c>
      <c r="C1109" t="s">
        <v>26</v>
      </c>
      <c r="D1109">
        <v>19</v>
      </c>
      <c r="E1109" t="s">
        <v>37</v>
      </c>
      <c r="F1109" t="s">
        <v>18</v>
      </c>
      <c r="G1109" t="s">
        <v>1093</v>
      </c>
      <c r="H1109">
        <v>14</v>
      </c>
      <c r="I1109" t="s">
        <v>28</v>
      </c>
      <c r="J1109" t="str">
        <f>_xlfn.XLOOKUP(C1109,'product_masterlist(ifs)'!A:A,'product_masterlist(ifs)'!C:C,"N/A",0)</f>
        <v>Contact Lenses</v>
      </c>
      <c r="K1109">
        <f>VLOOKUP(C1109,'product_masterlist(ifs)'!A:I,7,FALSE)</f>
        <v>450</v>
      </c>
    </row>
    <row r="1110" spans="1:11" x14ac:dyDescent="0.35">
      <c r="A1110" t="s">
        <v>1392</v>
      </c>
      <c r="B1110" s="1">
        <v>45937</v>
      </c>
      <c r="C1110" t="s">
        <v>26</v>
      </c>
      <c r="D1110">
        <v>18</v>
      </c>
      <c r="E1110" t="s">
        <v>22</v>
      </c>
      <c r="F1110" t="s">
        <v>13</v>
      </c>
      <c r="G1110">
        <v>225</v>
      </c>
      <c r="H1110">
        <v>14</v>
      </c>
      <c r="I1110" t="s">
        <v>28</v>
      </c>
      <c r="J1110" t="str">
        <f>_xlfn.XLOOKUP(C1110,'product_masterlist(ifs)'!A:A,'product_masterlist(ifs)'!C:C,"N/A",0)</f>
        <v>Contact Lenses</v>
      </c>
      <c r="K1110">
        <f>VLOOKUP(C1110,'product_masterlist(ifs)'!A:I,7,FALSE)</f>
        <v>450</v>
      </c>
    </row>
    <row r="1111" spans="1:11" x14ac:dyDescent="0.35">
      <c r="A1111" t="s">
        <v>1393</v>
      </c>
      <c r="B1111" s="1">
        <v>45873</v>
      </c>
      <c r="C1111" t="s">
        <v>42</v>
      </c>
      <c r="D1111">
        <v>23</v>
      </c>
      <c r="E1111" t="s">
        <v>37</v>
      </c>
      <c r="F1111" t="s">
        <v>18</v>
      </c>
      <c r="G1111">
        <v>575</v>
      </c>
      <c r="H1111">
        <v>21</v>
      </c>
      <c r="I1111" t="s">
        <v>14</v>
      </c>
      <c r="J1111" t="str">
        <f>_xlfn.XLOOKUP(C1111,'product_masterlist(ifs)'!A:A,'product_masterlist(ifs)'!C:C,"N/A",0)</f>
        <v>Contact Lenses</v>
      </c>
      <c r="K1111">
        <f>VLOOKUP(C1111,'product_masterlist(ifs)'!A:I,7,FALSE)</f>
        <v>120</v>
      </c>
    </row>
    <row r="1112" spans="1:11" x14ac:dyDescent="0.35">
      <c r="A1112" t="s">
        <v>1394</v>
      </c>
      <c r="B1112" t="s">
        <v>217</v>
      </c>
      <c r="C1112" t="s">
        <v>33</v>
      </c>
      <c r="D1112">
        <v>8</v>
      </c>
      <c r="E1112" t="s">
        <v>12</v>
      </c>
      <c r="F1112" t="s">
        <v>13</v>
      </c>
      <c r="G1112">
        <v>1200</v>
      </c>
      <c r="H1112">
        <v>45</v>
      </c>
      <c r="I1112" t="s">
        <v>34</v>
      </c>
      <c r="J1112" t="str">
        <f>_xlfn.XLOOKUP(C1112,'product_masterlist(ifs)'!A:A,'product_masterlist(ifs)'!C:C,"N/A",0)</f>
        <v>Surgical</v>
      </c>
      <c r="K1112">
        <f>VLOOKUP(C1112,'product_masterlist(ifs)'!A:I,7,FALSE)</f>
        <v>15</v>
      </c>
    </row>
    <row r="1113" spans="1:11" x14ac:dyDescent="0.35">
      <c r="A1113" t="s">
        <v>1395</v>
      </c>
      <c r="B1113" t="s">
        <v>770</v>
      </c>
      <c r="C1113" t="s">
        <v>90</v>
      </c>
      <c r="D1113">
        <v>3</v>
      </c>
      <c r="E1113" t="s">
        <v>12</v>
      </c>
      <c r="F1113" t="s">
        <v>23</v>
      </c>
      <c r="G1113" t="s">
        <v>375</v>
      </c>
      <c r="H1113">
        <v>30</v>
      </c>
      <c r="I1113" t="s">
        <v>14</v>
      </c>
      <c r="J1113" t="str">
        <f>_xlfn.XLOOKUP(C1113,'product_masterlist(ifs)'!A:A,'product_masterlist(ifs)'!C:C,"N/A",0)</f>
        <v>Frames</v>
      </c>
      <c r="K1113">
        <f>VLOOKUP(C1113,'product_masterlist(ifs)'!A:I,7,FALSE)</f>
        <v>180</v>
      </c>
    </row>
    <row r="1114" spans="1:11" x14ac:dyDescent="0.35">
      <c r="A1114" t="s">
        <v>1396</v>
      </c>
      <c r="B1114" t="s">
        <v>660</v>
      </c>
      <c r="C1114" t="s">
        <v>26</v>
      </c>
      <c r="D1114">
        <v>12</v>
      </c>
      <c r="E1114" t="s">
        <v>20</v>
      </c>
      <c r="F1114" t="s">
        <v>13</v>
      </c>
      <c r="G1114">
        <v>150</v>
      </c>
      <c r="H1114">
        <v>14</v>
      </c>
      <c r="I1114" t="s">
        <v>28</v>
      </c>
      <c r="J1114" t="str">
        <f>_xlfn.XLOOKUP(C1114,'product_masterlist(ifs)'!A:A,'product_masterlist(ifs)'!C:C,"N/A",0)</f>
        <v>Contact Lenses</v>
      </c>
      <c r="K1114">
        <f>VLOOKUP(C1114,'product_masterlist(ifs)'!A:I,7,FALSE)</f>
        <v>450</v>
      </c>
    </row>
    <row r="1115" spans="1:11" x14ac:dyDescent="0.35">
      <c r="A1115" t="s">
        <v>1397</v>
      </c>
      <c r="B1115" t="s">
        <v>71</v>
      </c>
      <c r="C1115" t="s">
        <v>11</v>
      </c>
      <c r="D1115">
        <v>12</v>
      </c>
      <c r="E1115" t="s">
        <v>20</v>
      </c>
      <c r="F1115" t="s">
        <v>13</v>
      </c>
      <c r="G1115">
        <v>1020</v>
      </c>
      <c r="H1115">
        <v>30</v>
      </c>
      <c r="I1115" t="s">
        <v>14</v>
      </c>
      <c r="J1115" t="str">
        <f>_xlfn.XLOOKUP(C1115,'product_masterlist(ifs)'!A:A,'product_masterlist(ifs)'!C:C,"N/A",0)</f>
        <v>Surgical</v>
      </c>
      <c r="K1115">
        <f>VLOOKUP(C1115,'product_masterlist(ifs)'!A:I,7,FALSE)</f>
        <v>40</v>
      </c>
    </row>
    <row r="1116" spans="1:11" x14ac:dyDescent="0.35">
      <c r="A1116" t="s">
        <v>1398</v>
      </c>
      <c r="B1116" t="s">
        <v>999</v>
      </c>
      <c r="C1116" t="s">
        <v>42</v>
      </c>
      <c r="D1116">
        <v>2</v>
      </c>
      <c r="E1116" t="s">
        <v>20</v>
      </c>
      <c r="F1116" t="s">
        <v>31</v>
      </c>
      <c r="G1116">
        <v>50</v>
      </c>
      <c r="H1116">
        <v>21</v>
      </c>
      <c r="I1116" t="s">
        <v>14</v>
      </c>
      <c r="J1116" t="str">
        <f>_xlfn.XLOOKUP(C1116,'product_masterlist(ifs)'!A:A,'product_masterlist(ifs)'!C:C,"N/A",0)</f>
        <v>Contact Lenses</v>
      </c>
      <c r="K1116">
        <f>VLOOKUP(C1116,'product_masterlist(ifs)'!A:I,7,FALSE)</f>
        <v>120</v>
      </c>
    </row>
    <row r="1117" spans="1:11" x14ac:dyDescent="0.35">
      <c r="A1117" t="s">
        <v>1399</v>
      </c>
      <c r="B1117" t="s">
        <v>446</v>
      </c>
      <c r="C1117" t="s">
        <v>53</v>
      </c>
      <c r="D1117">
        <v>3</v>
      </c>
      <c r="E1117" t="s">
        <v>22</v>
      </c>
      <c r="F1117" t="s">
        <v>18</v>
      </c>
      <c r="G1117" t="s">
        <v>278</v>
      </c>
      <c r="H1117">
        <v>7</v>
      </c>
      <c r="I1117" t="s">
        <v>28</v>
      </c>
      <c r="J1117" t="str">
        <f>_xlfn.XLOOKUP(C1117,'product_masterlist(ifs)'!A:A,'product_masterlist(ifs)'!C:C,"N/A",0)</f>
        <v>Solutions</v>
      </c>
      <c r="K1117">
        <f>VLOOKUP(C1117,'product_masterlist(ifs)'!A:I,7,FALSE)</f>
        <v>800</v>
      </c>
    </row>
    <row r="1118" spans="1:11" x14ac:dyDescent="0.35">
      <c r="A1118" t="s">
        <v>1400</v>
      </c>
      <c r="B1118" t="s">
        <v>117</v>
      </c>
      <c r="C1118" t="s">
        <v>26</v>
      </c>
      <c r="D1118">
        <v>16</v>
      </c>
      <c r="E1118" t="s">
        <v>22</v>
      </c>
      <c r="F1118" t="s">
        <v>23</v>
      </c>
      <c r="G1118">
        <v>200</v>
      </c>
      <c r="H1118">
        <v>14</v>
      </c>
      <c r="I1118" t="s">
        <v>28</v>
      </c>
      <c r="J1118" t="str">
        <f>_xlfn.XLOOKUP(C1118,'product_masterlist(ifs)'!A:A,'product_masterlist(ifs)'!C:C,"N/A",0)</f>
        <v>Contact Lenses</v>
      </c>
      <c r="K1118">
        <f>VLOOKUP(C1118,'product_masterlist(ifs)'!A:I,7,FALSE)</f>
        <v>450</v>
      </c>
    </row>
    <row r="1119" spans="1:11" x14ac:dyDescent="0.35">
      <c r="A1119" t="s">
        <v>1401</v>
      </c>
      <c r="B1119" s="1">
        <v>45841</v>
      </c>
      <c r="C1119" t="s">
        <v>17</v>
      </c>
      <c r="D1119">
        <v>24</v>
      </c>
      <c r="E1119" t="s">
        <v>22</v>
      </c>
      <c r="F1119" t="s">
        <v>23</v>
      </c>
      <c r="G1119">
        <v>1080</v>
      </c>
      <c r="H1119">
        <v>30</v>
      </c>
      <c r="I1119" t="s">
        <v>14</v>
      </c>
      <c r="J1119" t="str">
        <f>_xlfn.XLOOKUP(C1119,'product_masterlist(ifs)'!A:A,'product_masterlist(ifs)'!C:C,"N/A",0)</f>
        <v>Frames</v>
      </c>
      <c r="K1119">
        <f>VLOOKUP(C1119,'product_masterlist(ifs)'!A:I,7,FALSE)</f>
        <v>45</v>
      </c>
    </row>
    <row r="1120" spans="1:11" x14ac:dyDescent="0.35">
      <c r="A1120" t="s">
        <v>1402</v>
      </c>
      <c r="B1120" t="s">
        <v>159</v>
      </c>
      <c r="C1120" t="s">
        <v>90</v>
      </c>
      <c r="D1120">
        <v>20</v>
      </c>
      <c r="E1120" t="s">
        <v>20</v>
      </c>
      <c r="F1120" t="s">
        <v>13</v>
      </c>
      <c r="G1120">
        <v>970</v>
      </c>
      <c r="H1120">
        <v>30</v>
      </c>
      <c r="I1120" t="s">
        <v>14</v>
      </c>
      <c r="J1120" t="str">
        <f>_xlfn.XLOOKUP(C1120,'product_masterlist(ifs)'!A:A,'product_masterlist(ifs)'!C:C,"N/A",0)</f>
        <v>Frames</v>
      </c>
      <c r="K1120">
        <f>VLOOKUP(C1120,'product_masterlist(ifs)'!A:I,7,FALSE)</f>
        <v>180</v>
      </c>
    </row>
    <row r="1121" spans="1:11" x14ac:dyDescent="0.35">
      <c r="A1121" t="s">
        <v>1403</v>
      </c>
      <c r="B1121" t="s">
        <v>660</v>
      </c>
      <c r="C1121" t="s">
        <v>11</v>
      </c>
      <c r="D1121">
        <v>14</v>
      </c>
      <c r="E1121" t="s">
        <v>20</v>
      </c>
      <c r="F1121" t="s">
        <v>23</v>
      </c>
      <c r="G1121">
        <v>1190</v>
      </c>
      <c r="H1121">
        <v>30</v>
      </c>
      <c r="I1121" t="s">
        <v>14</v>
      </c>
      <c r="J1121" t="str">
        <f>_xlfn.XLOOKUP(C1121,'product_masterlist(ifs)'!A:A,'product_masterlist(ifs)'!C:C,"N/A",0)</f>
        <v>Surgical</v>
      </c>
      <c r="K1121">
        <f>VLOOKUP(C1121,'product_masterlist(ifs)'!A:I,7,FALSE)</f>
        <v>40</v>
      </c>
    </row>
    <row r="1122" spans="1:11" x14ac:dyDescent="0.35">
      <c r="A1122" t="s">
        <v>1404</v>
      </c>
      <c r="B1122" s="1">
        <v>45748</v>
      </c>
      <c r="C1122" t="s">
        <v>90</v>
      </c>
      <c r="D1122">
        <v>18</v>
      </c>
      <c r="E1122" t="s">
        <v>20</v>
      </c>
      <c r="F1122" t="s">
        <v>13</v>
      </c>
      <c r="G1122">
        <v>873</v>
      </c>
      <c r="H1122">
        <v>30</v>
      </c>
      <c r="I1122" t="s">
        <v>14</v>
      </c>
      <c r="J1122" t="str">
        <f>_xlfn.XLOOKUP(C1122,'product_masterlist(ifs)'!A:A,'product_masterlist(ifs)'!C:C,"N/A",0)</f>
        <v>Frames</v>
      </c>
      <c r="K1122">
        <f>VLOOKUP(C1122,'product_masterlist(ifs)'!A:I,7,FALSE)</f>
        <v>180</v>
      </c>
    </row>
    <row r="1123" spans="1:11" x14ac:dyDescent="0.35">
      <c r="A1123" t="s">
        <v>1405</v>
      </c>
      <c r="B1123" t="s">
        <v>823</v>
      </c>
      <c r="C1123" t="s">
        <v>33</v>
      </c>
      <c r="D1123">
        <v>17</v>
      </c>
      <c r="E1123" t="s">
        <v>37</v>
      </c>
      <c r="F1123" t="s">
        <v>31</v>
      </c>
      <c r="G1123">
        <v>2550</v>
      </c>
      <c r="H1123">
        <v>45</v>
      </c>
      <c r="I1123" t="s">
        <v>34</v>
      </c>
      <c r="J1123" t="str">
        <f>_xlfn.XLOOKUP(C1123,'product_masterlist(ifs)'!A:A,'product_masterlist(ifs)'!C:C,"N/A",0)</f>
        <v>Surgical</v>
      </c>
      <c r="K1123">
        <f>VLOOKUP(C1123,'product_masterlist(ifs)'!A:I,7,FALSE)</f>
        <v>15</v>
      </c>
    </row>
    <row r="1124" spans="1:11" x14ac:dyDescent="0.35">
      <c r="A1124" t="s">
        <v>1406</v>
      </c>
      <c r="B1124" t="s">
        <v>237</v>
      </c>
      <c r="C1124" t="s">
        <v>53</v>
      </c>
      <c r="D1124">
        <v>18</v>
      </c>
      <c r="E1124" t="s">
        <v>22</v>
      </c>
      <c r="F1124" t="s">
        <v>31</v>
      </c>
      <c r="G1124" t="s">
        <v>336</v>
      </c>
      <c r="H1124">
        <v>7</v>
      </c>
      <c r="I1124" t="s">
        <v>28</v>
      </c>
      <c r="J1124" t="str">
        <f>_xlfn.XLOOKUP(C1124,'product_masterlist(ifs)'!A:A,'product_masterlist(ifs)'!C:C,"N/A",0)</f>
        <v>Solutions</v>
      </c>
      <c r="K1124">
        <f>VLOOKUP(C1124,'product_masterlist(ifs)'!A:I,7,FALSE)</f>
        <v>800</v>
      </c>
    </row>
    <row r="1125" spans="1:11" x14ac:dyDescent="0.35">
      <c r="A1125" t="s">
        <v>1407</v>
      </c>
      <c r="B1125" t="s">
        <v>448</v>
      </c>
      <c r="C1125" t="s">
        <v>53</v>
      </c>
      <c r="D1125">
        <v>9</v>
      </c>
      <c r="E1125" t="s">
        <v>37</v>
      </c>
      <c r="F1125" t="s">
        <v>13</v>
      </c>
      <c r="G1125" t="s">
        <v>75</v>
      </c>
      <c r="H1125">
        <v>7</v>
      </c>
      <c r="I1125" t="s">
        <v>28</v>
      </c>
      <c r="J1125" t="str">
        <f>_xlfn.XLOOKUP(C1125,'product_masterlist(ifs)'!A:A,'product_masterlist(ifs)'!C:C,"N/A",0)</f>
        <v>Solutions</v>
      </c>
      <c r="K1125">
        <f>VLOOKUP(C1125,'product_masterlist(ifs)'!A:I,7,FALSE)</f>
        <v>800</v>
      </c>
    </row>
    <row r="1126" spans="1:11" x14ac:dyDescent="0.35">
      <c r="A1126" t="s">
        <v>1408</v>
      </c>
      <c r="B1126" s="1">
        <v>45815</v>
      </c>
      <c r="C1126" t="s">
        <v>33</v>
      </c>
      <c r="D1126">
        <v>13</v>
      </c>
      <c r="E1126" t="s">
        <v>22</v>
      </c>
      <c r="F1126" t="s">
        <v>23</v>
      </c>
      <c r="G1126">
        <v>1950</v>
      </c>
      <c r="H1126">
        <v>45</v>
      </c>
      <c r="I1126" t="s">
        <v>34</v>
      </c>
      <c r="J1126" t="str">
        <f>_xlfn.XLOOKUP(C1126,'product_masterlist(ifs)'!A:A,'product_masterlist(ifs)'!C:C,"N/A",0)</f>
        <v>Surgical</v>
      </c>
      <c r="K1126">
        <f>VLOOKUP(C1126,'product_masterlist(ifs)'!A:I,7,FALSE)</f>
        <v>15</v>
      </c>
    </row>
    <row r="1127" spans="1:11" x14ac:dyDescent="0.35">
      <c r="A1127" t="s">
        <v>1409</v>
      </c>
      <c r="B1127" t="s">
        <v>658</v>
      </c>
      <c r="C1127" t="s">
        <v>26</v>
      </c>
      <c r="D1127">
        <v>23</v>
      </c>
      <c r="E1127" t="s">
        <v>22</v>
      </c>
      <c r="F1127" t="s">
        <v>23</v>
      </c>
      <c r="G1127" t="s">
        <v>162</v>
      </c>
      <c r="H1127">
        <v>14</v>
      </c>
      <c r="I1127" t="s">
        <v>28</v>
      </c>
      <c r="J1127" t="str">
        <f>_xlfn.XLOOKUP(C1127,'product_masterlist(ifs)'!A:A,'product_masterlist(ifs)'!C:C,"N/A",0)</f>
        <v>Contact Lenses</v>
      </c>
      <c r="K1127">
        <f>VLOOKUP(C1127,'product_masterlist(ifs)'!A:I,7,FALSE)</f>
        <v>450</v>
      </c>
    </row>
    <row r="1128" spans="1:11" x14ac:dyDescent="0.35">
      <c r="A1128" t="s">
        <v>1410</v>
      </c>
      <c r="B1128" t="s">
        <v>757</v>
      </c>
      <c r="C1128" t="s">
        <v>53</v>
      </c>
      <c r="D1128">
        <v>5</v>
      </c>
      <c r="E1128" t="s">
        <v>22</v>
      </c>
      <c r="F1128" t="s">
        <v>13</v>
      </c>
      <c r="G1128" t="s">
        <v>854</v>
      </c>
      <c r="H1128">
        <v>7</v>
      </c>
      <c r="I1128" t="s">
        <v>28</v>
      </c>
      <c r="J1128" t="str">
        <f>_xlfn.XLOOKUP(C1128,'product_masterlist(ifs)'!A:A,'product_masterlist(ifs)'!C:C,"N/A",0)</f>
        <v>Solutions</v>
      </c>
      <c r="K1128">
        <f>VLOOKUP(C1128,'product_masterlist(ifs)'!A:I,7,FALSE)</f>
        <v>800</v>
      </c>
    </row>
    <row r="1129" spans="1:11" x14ac:dyDescent="0.35">
      <c r="A1129" t="s">
        <v>1411</v>
      </c>
      <c r="B1129" t="s">
        <v>706</v>
      </c>
      <c r="C1129" t="s">
        <v>90</v>
      </c>
      <c r="D1129">
        <v>10</v>
      </c>
      <c r="E1129" t="s">
        <v>22</v>
      </c>
      <c r="F1129" t="s">
        <v>13</v>
      </c>
      <c r="G1129">
        <v>485</v>
      </c>
      <c r="H1129">
        <v>30</v>
      </c>
      <c r="I1129" t="s">
        <v>14</v>
      </c>
      <c r="J1129" t="str">
        <f>_xlfn.XLOOKUP(C1129,'product_masterlist(ifs)'!A:A,'product_masterlist(ifs)'!C:C,"N/A",0)</f>
        <v>Frames</v>
      </c>
      <c r="K1129">
        <f>VLOOKUP(C1129,'product_masterlist(ifs)'!A:I,7,FALSE)</f>
        <v>180</v>
      </c>
    </row>
    <row r="1130" spans="1:11" x14ac:dyDescent="0.35">
      <c r="A1130" t="s">
        <v>1412</v>
      </c>
      <c r="B1130" s="1">
        <v>45842</v>
      </c>
      <c r="C1130" t="s">
        <v>90</v>
      </c>
      <c r="D1130">
        <v>18</v>
      </c>
      <c r="E1130" t="s">
        <v>12</v>
      </c>
      <c r="F1130" t="s">
        <v>31</v>
      </c>
      <c r="G1130">
        <v>873</v>
      </c>
      <c r="H1130">
        <v>30</v>
      </c>
      <c r="I1130" t="s">
        <v>14</v>
      </c>
      <c r="J1130" t="str">
        <f>_xlfn.XLOOKUP(C1130,'product_masterlist(ifs)'!A:A,'product_masterlist(ifs)'!C:C,"N/A",0)</f>
        <v>Frames</v>
      </c>
      <c r="K1130">
        <f>VLOOKUP(C1130,'product_masterlist(ifs)'!A:I,7,FALSE)</f>
        <v>180</v>
      </c>
    </row>
    <row r="1131" spans="1:11" x14ac:dyDescent="0.35">
      <c r="A1131" t="s">
        <v>1413</v>
      </c>
      <c r="B1131" t="s">
        <v>395</v>
      </c>
      <c r="C1131" t="s">
        <v>11</v>
      </c>
      <c r="D1131">
        <v>1</v>
      </c>
      <c r="E1131" t="s">
        <v>37</v>
      </c>
      <c r="F1131" t="s">
        <v>13</v>
      </c>
      <c r="G1131">
        <v>85</v>
      </c>
      <c r="H1131">
        <v>30</v>
      </c>
      <c r="I1131" t="s">
        <v>14</v>
      </c>
      <c r="J1131" t="str">
        <f>_xlfn.XLOOKUP(C1131,'product_masterlist(ifs)'!A:A,'product_masterlist(ifs)'!C:C,"N/A",0)</f>
        <v>Surgical</v>
      </c>
      <c r="K1131">
        <f>VLOOKUP(C1131,'product_masterlist(ifs)'!A:I,7,FALSE)</f>
        <v>40</v>
      </c>
    </row>
    <row r="1132" spans="1:11" x14ac:dyDescent="0.35">
      <c r="A1132" t="s">
        <v>1414</v>
      </c>
      <c r="B1132" s="1">
        <v>45749</v>
      </c>
      <c r="C1132" t="s">
        <v>33</v>
      </c>
      <c r="D1132">
        <v>20</v>
      </c>
      <c r="E1132" t="s">
        <v>12</v>
      </c>
      <c r="F1132" t="s">
        <v>18</v>
      </c>
      <c r="G1132">
        <v>3000</v>
      </c>
      <c r="H1132">
        <v>45</v>
      </c>
      <c r="I1132" t="s">
        <v>34</v>
      </c>
      <c r="J1132" t="str">
        <f>_xlfn.XLOOKUP(C1132,'product_masterlist(ifs)'!A:A,'product_masterlist(ifs)'!C:C,"N/A",0)</f>
        <v>Surgical</v>
      </c>
      <c r="K1132">
        <f>VLOOKUP(C1132,'product_masterlist(ifs)'!A:I,7,FALSE)</f>
        <v>15</v>
      </c>
    </row>
    <row r="1133" spans="1:11" x14ac:dyDescent="0.35">
      <c r="A1133" t="s">
        <v>1415</v>
      </c>
      <c r="B1133" t="s">
        <v>168</v>
      </c>
      <c r="C1133" t="s">
        <v>26</v>
      </c>
      <c r="D1133">
        <v>17</v>
      </c>
      <c r="E1133" t="s">
        <v>20</v>
      </c>
      <c r="F1133" t="s">
        <v>23</v>
      </c>
      <c r="G1133" t="s">
        <v>152</v>
      </c>
      <c r="H1133">
        <v>14</v>
      </c>
      <c r="I1133" t="s">
        <v>28</v>
      </c>
      <c r="J1133" t="str">
        <f>_xlfn.XLOOKUP(C1133,'product_masterlist(ifs)'!A:A,'product_masterlist(ifs)'!C:C,"N/A",0)</f>
        <v>Contact Lenses</v>
      </c>
      <c r="K1133">
        <f>VLOOKUP(C1133,'product_masterlist(ifs)'!A:I,7,FALSE)</f>
        <v>450</v>
      </c>
    </row>
    <row r="1134" spans="1:11" x14ac:dyDescent="0.35">
      <c r="A1134" t="s">
        <v>1416</v>
      </c>
      <c r="B1134" t="s">
        <v>674</v>
      </c>
      <c r="C1134" t="s">
        <v>11</v>
      </c>
      <c r="D1134">
        <v>25</v>
      </c>
      <c r="E1134" t="s">
        <v>20</v>
      </c>
      <c r="F1134" t="s">
        <v>13</v>
      </c>
      <c r="G1134">
        <v>2125</v>
      </c>
      <c r="H1134">
        <v>30</v>
      </c>
      <c r="I1134" t="s">
        <v>14</v>
      </c>
      <c r="J1134" t="str">
        <f>_xlfn.XLOOKUP(C1134,'product_masterlist(ifs)'!A:A,'product_masterlist(ifs)'!C:C,"N/A",0)</f>
        <v>Surgical</v>
      </c>
      <c r="K1134">
        <f>VLOOKUP(C1134,'product_masterlist(ifs)'!A:I,7,FALSE)</f>
        <v>40</v>
      </c>
    </row>
    <row r="1135" spans="1:11" x14ac:dyDescent="0.35">
      <c r="A1135" t="s">
        <v>1417</v>
      </c>
      <c r="B1135" s="1">
        <v>45878</v>
      </c>
      <c r="C1135" t="s">
        <v>42</v>
      </c>
      <c r="D1135">
        <v>12</v>
      </c>
      <c r="E1135" t="s">
        <v>22</v>
      </c>
      <c r="F1135" t="s">
        <v>13</v>
      </c>
      <c r="G1135">
        <v>300</v>
      </c>
      <c r="H1135">
        <v>21</v>
      </c>
      <c r="I1135" t="s">
        <v>14</v>
      </c>
      <c r="J1135" t="str">
        <f>_xlfn.XLOOKUP(C1135,'product_masterlist(ifs)'!A:A,'product_masterlist(ifs)'!C:C,"N/A",0)</f>
        <v>Contact Lenses</v>
      </c>
      <c r="K1135">
        <f>VLOOKUP(C1135,'product_masterlist(ifs)'!A:I,7,FALSE)</f>
        <v>120</v>
      </c>
    </row>
    <row r="1136" spans="1:11" x14ac:dyDescent="0.35">
      <c r="A1136" t="s">
        <v>1418</v>
      </c>
      <c r="B1136" s="1">
        <v>46001</v>
      </c>
      <c r="C1136" t="s">
        <v>11</v>
      </c>
      <c r="D1136">
        <v>2</v>
      </c>
      <c r="E1136" t="s">
        <v>37</v>
      </c>
      <c r="F1136" t="s">
        <v>23</v>
      </c>
      <c r="G1136">
        <v>170</v>
      </c>
      <c r="H1136">
        <v>30</v>
      </c>
      <c r="I1136" t="s">
        <v>14</v>
      </c>
      <c r="J1136" t="str">
        <f>_xlfn.XLOOKUP(C1136,'product_masterlist(ifs)'!A:A,'product_masterlist(ifs)'!C:C,"N/A",0)</f>
        <v>Surgical</v>
      </c>
      <c r="K1136">
        <f>VLOOKUP(C1136,'product_masterlist(ifs)'!A:I,7,FALSE)</f>
        <v>40</v>
      </c>
    </row>
    <row r="1137" spans="1:11" x14ac:dyDescent="0.35">
      <c r="A1137" t="s">
        <v>1419</v>
      </c>
      <c r="B1137" s="1">
        <v>45754</v>
      </c>
      <c r="C1137" t="s">
        <v>17</v>
      </c>
      <c r="D1137">
        <v>5</v>
      </c>
      <c r="E1137" t="s">
        <v>37</v>
      </c>
      <c r="F1137" t="s">
        <v>31</v>
      </c>
      <c r="G1137">
        <v>225</v>
      </c>
      <c r="H1137">
        <v>30</v>
      </c>
      <c r="I1137" t="s">
        <v>14</v>
      </c>
      <c r="J1137" t="str">
        <f>_xlfn.XLOOKUP(C1137,'product_masterlist(ifs)'!A:A,'product_masterlist(ifs)'!C:C,"N/A",0)</f>
        <v>Frames</v>
      </c>
      <c r="K1137">
        <f>VLOOKUP(C1137,'product_masterlist(ifs)'!A:I,7,FALSE)</f>
        <v>45</v>
      </c>
    </row>
    <row r="1138" spans="1:11" x14ac:dyDescent="0.35">
      <c r="A1138" t="s">
        <v>1420</v>
      </c>
      <c r="B1138" s="1">
        <v>45908</v>
      </c>
      <c r="C1138" t="s">
        <v>26</v>
      </c>
      <c r="D1138">
        <v>16</v>
      </c>
      <c r="E1138" t="s">
        <v>12</v>
      </c>
      <c r="F1138" t="s">
        <v>31</v>
      </c>
      <c r="G1138">
        <v>200</v>
      </c>
      <c r="H1138">
        <v>14</v>
      </c>
      <c r="I1138" t="s">
        <v>28</v>
      </c>
      <c r="J1138" t="str">
        <f>_xlfn.XLOOKUP(C1138,'product_masterlist(ifs)'!A:A,'product_masterlist(ifs)'!C:C,"N/A",0)</f>
        <v>Contact Lenses</v>
      </c>
      <c r="K1138">
        <f>VLOOKUP(C1138,'product_masterlist(ifs)'!A:I,7,FALSE)</f>
        <v>450</v>
      </c>
    </row>
    <row r="1139" spans="1:11" x14ac:dyDescent="0.35">
      <c r="A1139" t="s">
        <v>1421</v>
      </c>
      <c r="B1139" t="s">
        <v>151</v>
      </c>
      <c r="C1139" t="s">
        <v>33</v>
      </c>
      <c r="D1139">
        <v>2</v>
      </c>
      <c r="E1139" t="s">
        <v>37</v>
      </c>
      <c r="F1139" t="s">
        <v>13</v>
      </c>
      <c r="G1139">
        <v>300</v>
      </c>
      <c r="H1139">
        <v>45</v>
      </c>
      <c r="I1139" t="s">
        <v>34</v>
      </c>
      <c r="J1139" t="str">
        <f>_xlfn.XLOOKUP(C1139,'product_masterlist(ifs)'!A:A,'product_masterlist(ifs)'!C:C,"N/A",0)</f>
        <v>Surgical</v>
      </c>
      <c r="K1139">
        <f>VLOOKUP(C1139,'product_masterlist(ifs)'!A:I,7,FALSE)</f>
        <v>15</v>
      </c>
    </row>
    <row r="1140" spans="1:11" x14ac:dyDescent="0.35">
      <c r="A1140" t="s">
        <v>1422</v>
      </c>
      <c r="B1140" t="s">
        <v>350</v>
      </c>
      <c r="C1140" t="s">
        <v>17</v>
      </c>
      <c r="D1140">
        <v>6</v>
      </c>
      <c r="E1140" t="s">
        <v>12</v>
      </c>
      <c r="F1140" t="s">
        <v>31</v>
      </c>
      <c r="G1140">
        <v>270</v>
      </c>
      <c r="H1140">
        <v>30</v>
      </c>
      <c r="I1140" t="s">
        <v>14</v>
      </c>
      <c r="J1140" t="str">
        <f>_xlfn.XLOOKUP(C1140,'product_masterlist(ifs)'!A:A,'product_masterlist(ifs)'!C:C,"N/A",0)</f>
        <v>Frames</v>
      </c>
      <c r="K1140">
        <f>VLOOKUP(C1140,'product_masterlist(ifs)'!A:I,7,FALSE)</f>
        <v>45</v>
      </c>
    </row>
    <row r="1141" spans="1:11" x14ac:dyDescent="0.35">
      <c r="A1141" t="s">
        <v>1423</v>
      </c>
      <c r="B1141" s="1">
        <v>45932</v>
      </c>
      <c r="C1141" t="s">
        <v>90</v>
      </c>
      <c r="D1141">
        <v>5</v>
      </c>
      <c r="E1141" t="s">
        <v>20</v>
      </c>
      <c r="F1141" t="s">
        <v>23</v>
      </c>
      <c r="G1141" t="s">
        <v>332</v>
      </c>
      <c r="H1141">
        <v>30</v>
      </c>
      <c r="I1141" t="s">
        <v>14</v>
      </c>
      <c r="J1141" t="str">
        <f>_xlfn.XLOOKUP(C1141,'product_masterlist(ifs)'!A:A,'product_masterlist(ifs)'!C:C,"N/A",0)</f>
        <v>Frames</v>
      </c>
      <c r="K1141">
        <f>VLOOKUP(C1141,'product_masterlist(ifs)'!A:I,7,FALSE)</f>
        <v>180</v>
      </c>
    </row>
    <row r="1142" spans="1:11" x14ac:dyDescent="0.35">
      <c r="A1142" t="s">
        <v>1424</v>
      </c>
      <c r="B1142" s="1">
        <v>45781</v>
      </c>
      <c r="C1142" t="s">
        <v>90</v>
      </c>
      <c r="D1142">
        <v>18</v>
      </c>
      <c r="E1142" t="s">
        <v>20</v>
      </c>
      <c r="F1142" t="s">
        <v>18</v>
      </c>
      <c r="G1142">
        <v>873</v>
      </c>
      <c r="H1142">
        <v>30</v>
      </c>
      <c r="I1142" t="s">
        <v>14</v>
      </c>
      <c r="J1142" t="str">
        <f>_xlfn.XLOOKUP(C1142,'product_masterlist(ifs)'!A:A,'product_masterlist(ifs)'!C:C,"N/A",0)</f>
        <v>Frames</v>
      </c>
      <c r="K1142">
        <f>VLOOKUP(C1142,'product_masterlist(ifs)'!A:I,7,FALSE)</f>
        <v>180</v>
      </c>
    </row>
    <row r="1143" spans="1:11" x14ac:dyDescent="0.35">
      <c r="A1143" t="s">
        <v>1425</v>
      </c>
      <c r="B1143" s="1">
        <v>45942</v>
      </c>
      <c r="C1143" t="s">
        <v>33</v>
      </c>
      <c r="D1143">
        <v>14</v>
      </c>
      <c r="E1143" t="s">
        <v>37</v>
      </c>
      <c r="F1143" t="s">
        <v>18</v>
      </c>
      <c r="G1143">
        <v>2100</v>
      </c>
      <c r="H1143">
        <v>45</v>
      </c>
      <c r="I1143" t="s">
        <v>34</v>
      </c>
      <c r="J1143" t="str">
        <f>_xlfn.XLOOKUP(C1143,'product_masterlist(ifs)'!A:A,'product_masterlist(ifs)'!C:C,"N/A",0)</f>
        <v>Surgical</v>
      </c>
      <c r="K1143">
        <f>VLOOKUP(C1143,'product_masterlist(ifs)'!A:I,7,FALSE)</f>
        <v>15</v>
      </c>
    </row>
    <row r="1144" spans="1:11" x14ac:dyDescent="0.35">
      <c r="A1144" t="s">
        <v>1426</v>
      </c>
      <c r="B1144" t="s">
        <v>451</v>
      </c>
      <c r="C1144" t="s">
        <v>17</v>
      </c>
      <c r="D1144">
        <v>13</v>
      </c>
      <c r="E1144" t="s">
        <v>12</v>
      </c>
      <c r="F1144" t="s">
        <v>18</v>
      </c>
      <c r="G1144">
        <v>585</v>
      </c>
      <c r="H1144">
        <v>30</v>
      </c>
      <c r="I1144" t="s">
        <v>14</v>
      </c>
      <c r="J1144" t="str">
        <f>_xlfn.XLOOKUP(C1144,'product_masterlist(ifs)'!A:A,'product_masterlist(ifs)'!C:C,"N/A",0)</f>
        <v>Frames</v>
      </c>
      <c r="K1144">
        <f>VLOOKUP(C1144,'product_masterlist(ifs)'!A:I,7,FALSE)</f>
        <v>45</v>
      </c>
    </row>
    <row r="1145" spans="1:11" x14ac:dyDescent="0.35">
      <c r="A1145" t="s">
        <v>1427</v>
      </c>
      <c r="B1145" s="1">
        <v>45941</v>
      </c>
      <c r="C1145" t="s">
        <v>11</v>
      </c>
      <c r="D1145">
        <v>6</v>
      </c>
      <c r="E1145" t="s">
        <v>22</v>
      </c>
      <c r="F1145" t="s">
        <v>18</v>
      </c>
      <c r="G1145">
        <v>510</v>
      </c>
      <c r="H1145">
        <v>30</v>
      </c>
      <c r="I1145" t="s">
        <v>14</v>
      </c>
      <c r="J1145" t="str">
        <f>_xlfn.XLOOKUP(C1145,'product_masterlist(ifs)'!A:A,'product_masterlist(ifs)'!C:C,"N/A",0)</f>
        <v>Surgical</v>
      </c>
      <c r="K1145">
        <f>VLOOKUP(C1145,'product_masterlist(ifs)'!A:I,7,FALSE)</f>
        <v>40</v>
      </c>
    </row>
    <row r="1146" spans="1:11" x14ac:dyDescent="0.35">
      <c r="A1146" t="s">
        <v>1428</v>
      </c>
      <c r="B1146" s="1">
        <v>45872</v>
      </c>
      <c r="C1146" t="s">
        <v>90</v>
      </c>
      <c r="D1146">
        <v>16</v>
      </c>
      <c r="E1146" t="s">
        <v>20</v>
      </c>
      <c r="F1146" t="s">
        <v>13</v>
      </c>
      <c r="G1146">
        <v>776</v>
      </c>
      <c r="H1146">
        <v>30</v>
      </c>
      <c r="I1146" t="s">
        <v>14</v>
      </c>
      <c r="J1146" t="str">
        <f>_xlfn.XLOOKUP(C1146,'product_masterlist(ifs)'!A:A,'product_masterlist(ifs)'!C:C,"N/A",0)</f>
        <v>Frames</v>
      </c>
      <c r="K1146">
        <f>VLOOKUP(C1146,'product_masterlist(ifs)'!A:I,7,FALSE)</f>
        <v>180</v>
      </c>
    </row>
    <row r="1147" spans="1:11" x14ac:dyDescent="0.35">
      <c r="A1147" t="s">
        <v>1429</v>
      </c>
      <c r="B1147" s="1">
        <v>45692</v>
      </c>
      <c r="C1147" t="s">
        <v>42</v>
      </c>
      <c r="D1147">
        <v>6</v>
      </c>
      <c r="E1147" t="s">
        <v>37</v>
      </c>
      <c r="F1147" t="s">
        <v>23</v>
      </c>
      <c r="G1147">
        <v>150</v>
      </c>
      <c r="H1147">
        <v>21</v>
      </c>
      <c r="I1147" t="s">
        <v>14</v>
      </c>
      <c r="J1147" t="str">
        <f>_xlfn.XLOOKUP(C1147,'product_masterlist(ifs)'!A:A,'product_masterlist(ifs)'!C:C,"N/A",0)</f>
        <v>Contact Lenses</v>
      </c>
      <c r="K1147">
        <f>VLOOKUP(C1147,'product_masterlist(ifs)'!A:I,7,FALSE)</f>
        <v>120</v>
      </c>
    </row>
    <row r="1148" spans="1:11" x14ac:dyDescent="0.35">
      <c r="A1148" t="s">
        <v>1430</v>
      </c>
      <c r="B1148" s="1">
        <v>45850</v>
      </c>
      <c r="C1148" t="s">
        <v>90</v>
      </c>
      <c r="D1148">
        <v>21</v>
      </c>
      <c r="E1148" t="s">
        <v>22</v>
      </c>
      <c r="F1148" t="s">
        <v>13</v>
      </c>
      <c r="G1148" t="s">
        <v>120</v>
      </c>
      <c r="H1148">
        <v>30</v>
      </c>
      <c r="I1148" t="s">
        <v>14</v>
      </c>
      <c r="J1148" t="str">
        <f>_xlfn.XLOOKUP(C1148,'product_masterlist(ifs)'!A:A,'product_masterlist(ifs)'!C:C,"N/A",0)</f>
        <v>Frames</v>
      </c>
      <c r="K1148">
        <f>VLOOKUP(C1148,'product_masterlist(ifs)'!A:I,7,FALSE)</f>
        <v>180</v>
      </c>
    </row>
    <row r="1149" spans="1:11" x14ac:dyDescent="0.35">
      <c r="A1149" t="s">
        <v>1431</v>
      </c>
      <c r="B1149" t="s">
        <v>194</v>
      </c>
      <c r="C1149" t="s">
        <v>11</v>
      </c>
      <c r="D1149">
        <v>6</v>
      </c>
      <c r="E1149" t="s">
        <v>22</v>
      </c>
      <c r="F1149" t="s">
        <v>18</v>
      </c>
      <c r="G1149">
        <v>510</v>
      </c>
      <c r="H1149">
        <v>30</v>
      </c>
      <c r="I1149" t="s">
        <v>14</v>
      </c>
      <c r="J1149" t="str">
        <f>_xlfn.XLOOKUP(C1149,'product_masterlist(ifs)'!A:A,'product_masterlist(ifs)'!C:C,"N/A",0)</f>
        <v>Surgical</v>
      </c>
      <c r="K1149">
        <f>VLOOKUP(C1149,'product_masterlist(ifs)'!A:I,7,FALSE)</f>
        <v>40</v>
      </c>
    </row>
    <row r="1150" spans="1:11" x14ac:dyDescent="0.35">
      <c r="A1150" t="s">
        <v>1432</v>
      </c>
      <c r="B1150" s="1">
        <v>45970</v>
      </c>
      <c r="C1150" t="s">
        <v>17</v>
      </c>
      <c r="D1150">
        <v>3</v>
      </c>
      <c r="E1150" t="s">
        <v>22</v>
      </c>
      <c r="F1150" t="s">
        <v>18</v>
      </c>
      <c r="G1150">
        <v>135</v>
      </c>
      <c r="H1150">
        <v>30</v>
      </c>
      <c r="I1150" t="s">
        <v>14</v>
      </c>
      <c r="J1150" t="str">
        <f>_xlfn.XLOOKUP(C1150,'product_masterlist(ifs)'!A:A,'product_masterlist(ifs)'!C:C,"N/A",0)</f>
        <v>Frames</v>
      </c>
      <c r="K1150">
        <f>VLOOKUP(C1150,'product_masterlist(ifs)'!A:I,7,FALSE)</f>
        <v>45</v>
      </c>
    </row>
    <row r="1151" spans="1:11" x14ac:dyDescent="0.35">
      <c r="A1151" t="s">
        <v>1433</v>
      </c>
      <c r="B1151" s="1">
        <v>45875</v>
      </c>
      <c r="C1151" t="s">
        <v>17</v>
      </c>
      <c r="D1151">
        <v>12</v>
      </c>
      <c r="E1151" t="s">
        <v>12</v>
      </c>
      <c r="F1151" t="s">
        <v>13</v>
      </c>
      <c r="G1151">
        <v>540</v>
      </c>
      <c r="H1151">
        <v>30</v>
      </c>
      <c r="I1151" t="s">
        <v>14</v>
      </c>
      <c r="J1151" t="str">
        <f>_xlfn.XLOOKUP(C1151,'product_masterlist(ifs)'!A:A,'product_masterlist(ifs)'!C:C,"N/A",0)</f>
        <v>Frames</v>
      </c>
      <c r="K1151">
        <f>VLOOKUP(C1151,'product_masterlist(ifs)'!A:I,7,FALSE)</f>
        <v>45</v>
      </c>
    </row>
    <row r="1152" spans="1:11" x14ac:dyDescent="0.35">
      <c r="A1152" t="s">
        <v>1434</v>
      </c>
      <c r="B1152" s="1">
        <v>45817</v>
      </c>
      <c r="C1152" t="s">
        <v>11</v>
      </c>
      <c r="D1152">
        <v>10</v>
      </c>
      <c r="E1152" t="s">
        <v>37</v>
      </c>
      <c r="F1152" t="s">
        <v>13</v>
      </c>
      <c r="G1152">
        <v>850</v>
      </c>
      <c r="H1152">
        <v>30</v>
      </c>
      <c r="I1152" t="s">
        <v>14</v>
      </c>
      <c r="J1152" t="str">
        <f>_xlfn.XLOOKUP(C1152,'product_masterlist(ifs)'!A:A,'product_masterlist(ifs)'!C:C,"N/A",0)</f>
        <v>Surgical</v>
      </c>
      <c r="K1152">
        <f>VLOOKUP(C1152,'product_masterlist(ifs)'!A:I,7,FALSE)</f>
        <v>40</v>
      </c>
    </row>
    <row r="1153" spans="1:11" x14ac:dyDescent="0.35">
      <c r="A1153" t="s">
        <v>1435</v>
      </c>
      <c r="B1153" t="s">
        <v>742</v>
      </c>
      <c r="C1153" t="s">
        <v>42</v>
      </c>
      <c r="D1153">
        <v>22</v>
      </c>
      <c r="E1153" t="s">
        <v>20</v>
      </c>
      <c r="F1153" t="s">
        <v>18</v>
      </c>
      <c r="G1153">
        <v>550</v>
      </c>
      <c r="H1153">
        <v>21</v>
      </c>
      <c r="I1153" t="s">
        <v>14</v>
      </c>
      <c r="J1153" t="str">
        <f>_xlfn.XLOOKUP(C1153,'product_masterlist(ifs)'!A:A,'product_masterlist(ifs)'!C:C,"N/A",0)</f>
        <v>Contact Lenses</v>
      </c>
      <c r="K1153">
        <f>VLOOKUP(C1153,'product_masterlist(ifs)'!A:I,7,FALSE)</f>
        <v>120</v>
      </c>
    </row>
    <row r="1154" spans="1:11" x14ac:dyDescent="0.35">
      <c r="A1154" t="s">
        <v>1436</v>
      </c>
      <c r="B1154" s="1">
        <v>45779</v>
      </c>
      <c r="C1154" t="s">
        <v>17</v>
      </c>
      <c r="D1154">
        <v>25</v>
      </c>
      <c r="E1154" t="s">
        <v>37</v>
      </c>
      <c r="F1154" t="s">
        <v>31</v>
      </c>
      <c r="G1154">
        <v>1125</v>
      </c>
      <c r="H1154">
        <v>30</v>
      </c>
      <c r="I1154" t="s">
        <v>14</v>
      </c>
      <c r="J1154" t="str">
        <f>_xlfn.XLOOKUP(C1154,'product_masterlist(ifs)'!A:A,'product_masterlist(ifs)'!C:C,"N/A",0)</f>
        <v>Frames</v>
      </c>
      <c r="K1154">
        <f>VLOOKUP(C1154,'product_masterlist(ifs)'!A:I,7,FALSE)</f>
        <v>45</v>
      </c>
    </row>
    <row r="1155" spans="1:11" x14ac:dyDescent="0.35">
      <c r="A1155" t="s">
        <v>1437</v>
      </c>
      <c r="B1155" s="1">
        <v>45722</v>
      </c>
      <c r="C1155" t="s">
        <v>53</v>
      </c>
      <c r="D1155">
        <v>11</v>
      </c>
      <c r="E1155" t="s">
        <v>20</v>
      </c>
      <c r="F1155" t="s">
        <v>23</v>
      </c>
      <c r="G1155" t="s">
        <v>240</v>
      </c>
      <c r="H1155">
        <v>7</v>
      </c>
      <c r="I1155" t="s">
        <v>28</v>
      </c>
      <c r="J1155" t="str">
        <f>_xlfn.XLOOKUP(C1155,'product_masterlist(ifs)'!A:A,'product_masterlist(ifs)'!C:C,"N/A",0)</f>
        <v>Solutions</v>
      </c>
      <c r="K1155">
        <f>VLOOKUP(C1155,'product_masterlist(ifs)'!A:I,7,FALSE)</f>
        <v>800</v>
      </c>
    </row>
    <row r="1156" spans="1:11" x14ac:dyDescent="0.35">
      <c r="A1156" t="s">
        <v>1438</v>
      </c>
      <c r="B1156" t="s">
        <v>1050</v>
      </c>
      <c r="C1156" t="s">
        <v>42</v>
      </c>
      <c r="D1156">
        <v>7</v>
      </c>
      <c r="E1156" t="s">
        <v>12</v>
      </c>
      <c r="F1156" t="s">
        <v>31</v>
      </c>
      <c r="G1156">
        <v>175</v>
      </c>
      <c r="H1156">
        <v>21</v>
      </c>
      <c r="I1156" t="s">
        <v>14</v>
      </c>
      <c r="J1156" t="str">
        <f>_xlfn.XLOOKUP(C1156,'product_masterlist(ifs)'!A:A,'product_masterlist(ifs)'!C:C,"N/A",0)</f>
        <v>Contact Lenses</v>
      </c>
      <c r="K1156">
        <f>VLOOKUP(C1156,'product_masterlist(ifs)'!A:I,7,FALSE)</f>
        <v>120</v>
      </c>
    </row>
    <row r="1157" spans="1:11" x14ac:dyDescent="0.35">
      <c r="A1157" t="s">
        <v>1439</v>
      </c>
      <c r="B1157" t="s">
        <v>317</v>
      </c>
      <c r="C1157" t="s">
        <v>11</v>
      </c>
      <c r="D1157">
        <v>8</v>
      </c>
      <c r="E1157" t="s">
        <v>12</v>
      </c>
      <c r="F1157" t="s">
        <v>18</v>
      </c>
      <c r="G1157">
        <v>680</v>
      </c>
      <c r="H1157">
        <v>30</v>
      </c>
      <c r="I1157" t="s">
        <v>14</v>
      </c>
      <c r="J1157" t="str">
        <f>_xlfn.XLOOKUP(C1157,'product_masterlist(ifs)'!A:A,'product_masterlist(ifs)'!C:C,"N/A",0)</f>
        <v>Surgical</v>
      </c>
      <c r="K1157">
        <f>VLOOKUP(C1157,'product_masterlist(ifs)'!A:I,7,FALSE)</f>
        <v>40</v>
      </c>
    </row>
    <row r="1158" spans="1:11" x14ac:dyDescent="0.35">
      <c r="A1158" t="s">
        <v>1440</v>
      </c>
      <c r="B1158" s="1">
        <v>45751</v>
      </c>
      <c r="C1158" t="s">
        <v>90</v>
      </c>
      <c r="D1158">
        <v>18</v>
      </c>
      <c r="E1158" t="s">
        <v>12</v>
      </c>
      <c r="F1158" t="s">
        <v>31</v>
      </c>
      <c r="G1158">
        <v>873</v>
      </c>
      <c r="H1158">
        <v>30</v>
      </c>
      <c r="I1158" t="s">
        <v>14</v>
      </c>
      <c r="J1158" t="str">
        <f>_xlfn.XLOOKUP(C1158,'product_masterlist(ifs)'!A:A,'product_masterlist(ifs)'!C:C,"N/A",0)</f>
        <v>Frames</v>
      </c>
      <c r="K1158">
        <f>VLOOKUP(C1158,'product_masterlist(ifs)'!A:I,7,FALSE)</f>
        <v>180</v>
      </c>
    </row>
    <row r="1159" spans="1:11" x14ac:dyDescent="0.35">
      <c r="A1159" t="s">
        <v>1441</v>
      </c>
      <c r="B1159" s="1">
        <v>45809</v>
      </c>
      <c r="C1159" t="s">
        <v>42</v>
      </c>
      <c r="D1159">
        <v>2</v>
      </c>
      <c r="E1159" t="s">
        <v>12</v>
      </c>
      <c r="F1159" t="s">
        <v>31</v>
      </c>
      <c r="G1159">
        <v>50</v>
      </c>
      <c r="H1159">
        <v>21</v>
      </c>
      <c r="I1159" t="s">
        <v>14</v>
      </c>
      <c r="J1159" t="str">
        <f>_xlfn.XLOOKUP(C1159,'product_masterlist(ifs)'!A:A,'product_masterlist(ifs)'!C:C,"N/A",0)</f>
        <v>Contact Lenses</v>
      </c>
      <c r="K1159">
        <f>VLOOKUP(C1159,'product_masterlist(ifs)'!A:I,7,FALSE)</f>
        <v>120</v>
      </c>
    </row>
    <row r="1160" spans="1:11" x14ac:dyDescent="0.35">
      <c r="A1160" t="s">
        <v>1442</v>
      </c>
      <c r="B1160" t="s">
        <v>131</v>
      </c>
      <c r="C1160" t="s">
        <v>11</v>
      </c>
      <c r="D1160">
        <v>3</v>
      </c>
      <c r="E1160" t="s">
        <v>12</v>
      </c>
      <c r="F1160" t="s">
        <v>23</v>
      </c>
      <c r="G1160">
        <v>255</v>
      </c>
      <c r="H1160">
        <v>30</v>
      </c>
      <c r="I1160" t="s">
        <v>14</v>
      </c>
      <c r="J1160" t="str">
        <f>_xlfn.XLOOKUP(C1160,'product_masterlist(ifs)'!A:A,'product_masterlist(ifs)'!C:C,"N/A",0)</f>
        <v>Surgical</v>
      </c>
      <c r="K1160">
        <f>VLOOKUP(C1160,'product_masterlist(ifs)'!A:I,7,FALSE)</f>
        <v>40</v>
      </c>
    </row>
    <row r="1161" spans="1:11" x14ac:dyDescent="0.35">
      <c r="A1161" t="s">
        <v>1443</v>
      </c>
      <c r="B1161" t="s">
        <v>1099</v>
      </c>
      <c r="C1161" t="s">
        <v>26</v>
      </c>
      <c r="D1161">
        <v>10</v>
      </c>
      <c r="E1161" t="s">
        <v>37</v>
      </c>
      <c r="F1161" t="s">
        <v>18</v>
      </c>
      <c r="G1161">
        <v>125</v>
      </c>
      <c r="H1161">
        <v>14</v>
      </c>
      <c r="I1161" t="s">
        <v>28</v>
      </c>
      <c r="J1161" t="str">
        <f>_xlfn.XLOOKUP(C1161,'product_masterlist(ifs)'!A:A,'product_masterlist(ifs)'!C:C,"N/A",0)</f>
        <v>Contact Lenses</v>
      </c>
      <c r="K1161">
        <f>VLOOKUP(C1161,'product_masterlist(ifs)'!A:I,7,FALSE)</f>
        <v>450</v>
      </c>
    </row>
    <row r="1162" spans="1:11" x14ac:dyDescent="0.35">
      <c r="A1162" t="s">
        <v>1444</v>
      </c>
      <c r="B1162" t="s">
        <v>312</v>
      </c>
      <c r="C1162" t="s">
        <v>42</v>
      </c>
      <c r="D1162">
        <v>24</v>
      </c>
      <c r="E1162" t="s">
        <v>12</v>
      </c>
      <c r="F1162" t="s">
        <v>31</v>
      </c>
      <c r="G1162">
        <v>600</v>
      </c>
      <c r="H1162">
        <v>21</v>
      </c>
      <c r="I1162" t="s">
        <v>14</v>
      </c>
      <c r="J1162" t="str">
        <f>_xlfn.XLOOKUP(C1162,'product_masterlist(ifs)'!A:A,'product_masterlist(ifs)'!C:C,"N/A",0)</f>
        <v>Contact Lenses</v>
      </c>
      <c r="K1162">
        <f>VLOOKUP(C1162,'product_masterlist(ifs)'!A:I,7,FALSE)</f>
        <v>120</v>
      </c>
    </row>
    <row r="1163" spans="1:11" x14ac:dyDescent="0.35">
      <c r="A1163" t="s">
        <v>1445</v>
      </c>
      <c r="B1163" t="s">
        <v>674</v>
      </c>
      <c r="C1163" t="s">
        <v>26</v>
      </c>
      <c r="D1163">
        <v>14</v>
      </c>
      <c r="E1163" t="s">
        <v>22</v>
      </c>
      <c r="F1163" t="s">
        <v>31</v>
      </c>
      <c r="G1163">
        <v>175</v>
      </c>
      <c r="H1163">
        <v>14</v>
      </c>
      <c r="I1163" t="s">
        <v>28</v>
      </c>
      <c r="J1163" t="str">
        <f>_xlfn.XLOOKUP(C1163,'product_masterlist(ifs)'!A:A,'product_masterlist(ifs)'!C:C,"N/A",0)</f>
        <v>Contact Lenses</v>
      </c>
      <c r="K1163">
        <f>VLOOKUP(C1163,'product_masterlist(ifs)'!A:I,7,FALSE)</f>
        <v>450</v>
      </c>
    </row>
    <row r="1164" spans="1:11" x14ac:dyDescent="0.35">
      <c r="A1164" t="s">
        <v>1446</v>
      </c>
      <c r="B1164" t="s">
        <v>135</v>
      </c>
      <c r="C1164" t="s">
        <v>26</v>
      </c>
      <c r="D1164">
        <v>21</v>
      </c>
      <c r="E1164" t="s">
        <v>37</v>
      </c>
      <c r="F1164" t="s">
        <v>13</v>
      </c>
      <c r="G1164" t="s">
        <v>366</v>
      </c>
      <c r="H1164">
        <v>14</v>
      </c>
      <c r="I1164" t="s">
        <v>28</v>
      </c>
      <c r="J1164" t="str">
        <f>_xlfn.XLOOKUP(C1164,'product_masterlist(ifs)'!A:A,'product_masterlist(ifs)'!C:C,"N/A",0)</f>
        <v>Contact Lenses</v>
      </c>
      <c r="K1164">
        <f>VLOOKUP(C1164,'product_masterlist(ifs)'!A:I,7,FALSE)</f>
        <v>450</v>
      </c>
    </row>
    <row r="1165" spans="1:11" x14ac:dyDescent="0.35">
      <c r="A1165" t="s">
        <v>1447</v>
      </c>
      <c r="B1165" t="s">
        <v>584</v>
      </c>
      <c r="C1165" t="s">
        <v>90</v>
      </c>
      <c r="D1165">
        <v>4</v>
      </c>
      <c r="E1165" t="s">
        <v>12</v>
      </c>
      <c r="F1165" t="s">
        <v>31</v>
      </c>
      <c r="G1165">
        <v>194</v>
      </c>
      <c r="H1165">
        <v>30</v>
      </c>
      <c r="I1165" t="s">
        <v>14</v>
      </c>
      <c r="J1165" t="str">
        <f>_xlfn.XLOOKUP(C1165,'product_masterlist(ifs)'!A:A,'product_masterlist(ifs)'!C:C,"N/A",0)</f>
        <v>Frames</v>
      </c>
      <c r="K1165">
        <f>VLOOKUP(C1165,'product_masterlist(ifs)'!A:I,7,FALSE)</f>
        <v>180</v>
      </c>
    </row>
    <row r="1166" spans="1:11" x14ac:dyDescent="0.35">
      <c r="A1166" t="s">
        <v>1448</v>
      </c>
      <c r="B1166" t="s">
        <v>888</v>
      </c>
      <c r="C1166" t="s">
        <v>42</v>
      </c>
      <c r="D1166">
        <v>13</v>
      </c>
      <c r="E1166" t="s">
        <v>22</v>
      </c>
      <c r="F1166" t="s">
        <v>31</v>
      </c>
      <c r="G1166">
        <v>325</v>
      </c>
      <c r="H1166">
        <v>21</v>
      </c>
      <c r="I1166" t="s">
        <v>14</v>
      </c>
      <c r="J1166" t="str">
        <f>_xlfn.XLOOKUP(C1166,'product_masterlist(ifs)'!A:A,'product_masterlist(ifs)'!C:C,"N/A",0)</f>
        <v>Contact Lenses</v>
      </c>
      <c r="K1166">
        <f>VLOOKUP(C1166,'product_masterlist(ifs)'!A:I,7,FALSE)</f>
        <v>120</v>
      </c>
    </row>
    <row r="1167" spans="1:11" x14ac:dyDescent="0.35">
      <c r="A1167" t="s">
        <v>1449</v>
      </c>
      <c r="B1167" t="s">
        <v>871</v>
      </c>
      <c r="C1167" t="s">
        <v>11</v>
      </c>
      <c r="D1167">
        <v>25</v>
      </c>
      <c r="E1167" t="s">
        <v>12</v>
      </c>
      <c r="F1167" t="s">
        <v>13</v>
      </c>
      <c r="G1167">
        <v>2125</v>
      </c>
      <c r="H1167">
        <v>30</v>
      </c>
      <c r="I1167" t="s">
        <v>14</v>
      </c>
      <c r="J1167" t="str">
        <f>_xlfn.XLOOKUP(C1167,'product_masterlist(ifs)'!A:A,'product_masterlist(ifs)'!C:C,"N/A",0)</f>
        <v>Surgical</v>
      </c>
      <c r="K1167">
        <f>VLOOKUP(C1167,'product_masterlist(ifs)'!A:I,7,FALSE)</f>
        <v>40</v>
      </c>
    </row>
    <row r="1168" spans="1:11" x14ac:dyDescent="0.35">
      <c r="A1168" t="s">
        <v>1450</v>
      </c>
      <c r="B1168" t="s">
        <v>97</v>
      </c>
      <c r="C1168" t="s">
        <v>33</v>
      </c>
      <c r="D1168">
        <v>10</v>
      </c>
      <c r="E1168" t="s">
        <v>20</v>
      </c>
      <c r="F1168" t="s">
        <v>23</v>
      </c>
      <c r="G1168">
        <v>1500</v>
      </c>
      <c r="H1168">
        <v>45</v>
      </c>
      <c r="I1168" t="s">
        <v>34</v>
      </c>
      <c r="J1168" t="str">
        <f>_xlfn.XLOOKUP(C1168,'product_masterlist(ifs)'!A:A,'product_masterlist(ifs)'!C:C,"N/A",0)</f>
        <v>Surgical</v>
      </c>
      <c r="K1168">
        <f>VLOOKUP(C1168,'product_masterlist(ifs)'!A:I,7,FALSE)</f>
        <v>15</v>
      </c>
    </row>
    <row r="1169" spans="1:11" x14ac:dyDescent="0.35">
      <c r="A1169" t="s">
        <v>1451</v>
      </c>
      <c r="B1169" t="s">
        <v>704</v>
      </c>
      <c r="C1169" t="s">
        <v>33</v>
      </c>
      <c r="D1169">
        <v>19</v>
      </c>
      <c r="E1169" t="s">
        <v>12</v>
      </c>
      <c r="F1169" t="s">
        <v>31</v>
      </c>
      <c r="G1169">
        <v>2850</v>
      </c>
      <c r="H1169">
        <v>45</v>
      </c>
      <c r="I1169" t="s">
        <v>34</v>
      </c>
      <c r="J1169" t="str">
        <f>_xlfn.XLOOKUP(C1169,'product_masterlist(ifs)'!A:A,'product_masterlist(ifs)'!C:C,"N/A",0)</f>
        <v>Surgical</v>
      </c>
      <c r="K1169">
        <f>VLOOKUP(C1169,'product_masterlist(ifs)'!A:I,7,FALSE)</f>
        <v>15</v>
      </c>
    </row>
    <row r="1170" spans="1:11" x14ac:dyDescent="0.35">
      <c r="A1170" t="s">
        <v>1452</v>
      </c>
      <c r="B1170" t="s">
        <v>212</v>
      </c>
      <c r="C1170" t="s">
        <v>26</v>
      </c>
      <c r="D1170">
        <v>25</v>
      </c>
      <c r="E1170" t="s">
        <v>37</v>
      </c>
      <c r="F1170" t="s">
        <v>18</v>
      </c>
      <c r="G1170" t="s">
        <v>285</v>
      </c>
      <c r="H1170">
        <v>14</v>
      </c>
      <c r="I1170" t="s">
        <v>28</v>
      </c>
      <c r="J1170" t="str">
        <f>_xlfn.XLOOKUP(C1170,'product_masterlist(ifs)'!A:A,'product_masterlist(ifs)'!C:C,"N/A",0)</f>
        <v>Contact Lenses</v>
      </c>
      <c r="K1170">
        <f>VLOOKUP(C1170,'product_masterlist(ifs)'!A:I,7,FALSE)</f>
        <v>450</v>
      </c>
    </row>
    <row r="1171" spans="1:11" x14ac:dyDescent="0.35">
      <c r="A1171" t="s">
        <v>1453</v>
      </c>
      <c r="B1171" t="s">
        <v>151</v>
      </c>
      <c r="C1171" t="s">
        <v>17</v>
      </c>
      <c r="D1171">
        <v>12</v>
      </c>
      <c r="E1171" t="s">
        <v>37</v>
      </c>
      <c r="F1171" t="s">
        <v>18</v>
      </c>
      <c r="G1171">
        <v>540</v>
      </c>
      <c r="H1171">
        <v>30</v>
      </c>
      <c r="I1171" t="s">
        <v>14</v>
      </c>
      <c r="J1171" t="str">
        <f>_xlfn.XLOOKUP(C1171,'product_masterlist(ifs)'!A:A,'product_masterlist(ifs)'!C:C,"N/A",0)</f>
        <v>Frames</v>
      </c>
      <c r="K1171">
        <f>VLOOKUP(C1171,'product_masterlist(ifs)'!A:I,7,FALSE)</f>
        <v>45</v>
      </c>
    </row>
    <row r="1172" spans="1:11" x14ac:dyDescent="0.35">
      <c r="A1172" t="s">
        <v>1454</v>
      </c>
      <c r="B1172" s="1">
        <v>45878</v>
      </c>
      <c r="C1172" t="s">
        <v>53</v>
      </c>
      <c r="D1172">
        <v>18</v>
      </c>
      <c r="E1172" t="s">
        <v>20</v>
      </c>
      <c r="F1172" t="s">
        <v>23</v>
      </c>
      <c r="G1172" t="s">
        <v>336</v>
      </c>
      <c r="H1172">
        <v>7</v>
      </c>
      <c r="I1172" t="s">
        <v>28</v>
      </c>
      <c r="J1172" t="str">
        <f>_xlfn.XLOOKUP(C1172,'product_masterlist(ifs)'!A:A,'product_masterlist(ifs)'!C:C,"N/A",0)</f>
        <v>Solutions</v>
      </c>
      <c r="K1172">
        <f>VLOOKUP(C1172,'product_masterlist(ifs)'!A:I,7,FALSE)</f>
        <v>800</v>
      </c>
    </row>
    <row r="1173" spans="1:11" x14ac:dyDescent="0.35">
      <c r="A1173" t="s">
        <v>1455</v>
      </c>
      <c r="B1173" s="1">
        <v>45938</v>
      </c>
      <c r="C1173" t="s">
        <v>53</v>
      </c>
      <c r="D1173">
        <v>6</v>
      </c>
      <c r="E1173" t="s">
        <v>20</v>
      </c>
      <c r="F1173" t="s">
        <v>31</v>
      </c>
      <c r="G1173" t="s">
        <v>369</v>
      </c>
      <c r="H1173">
        <v>7</v>
      </c>
      <c r="I1173" t="s">
        <v>28</v>
      </c>
      <c r="J1173" t="str">
        <f>_xlfn.XLOOKUP(C1173,'product_masterlist(ifs)'!A:A,'product_masterlist(ifs)'!C:C,"N/A",0)</f>
        <v>Solutions</v>
      </c>
      <c r="K1173">
        <f>VLOOKUP(C1173,'product_masterlist(ifs)'!A:I,7,FALSE)</f>
        <v>800</v>
      </c>
    </row>
    <row r="1174" spans="1:11" x14ac:dyDescent="0.35">
      <c r="A1174" t="s">
        <v>1456</v>
      </c>
      <c r="B1174" t="s">
        <v>567</v>
      </c>
      <c r="C1174" t="s">
        <v>26</v>
      </c>
      <c r="D1174">
        <v>14</v>
      </c>
      <c r="E1174" t="s">
        <v>20</v>
      </c>
      <c r="F1174" t="s">
        <v>23</v>
      </c>
      <c r="G1174">
        <v>175</v>
      </c>
      <c r="H1174">
        <v>14</v>
      </c>
      <c r="I1174" t="s">
        <v>28</v>
      </c>
      <c r="J1174" t="str">
        <f>_xlfn.XLOOKUP(C1174,'product_masterlist(ifs)'!A:A,'product_masterlist(ifs)'!C:C,"N/A",0)</f>
        <v>Contact Lenses</v>
      </c>
      <c r="K1174">
        <f>VLOOKUP(C1174,'product_masterlist(ifs)'!A:I,7,FALSE)</f>
        <v>450</v>
      </c>
    </row>
    <row r="1175" spans="1:11" x14ac:dyDescent="0.35">
      <c r="A1175" t="s">
        <v>1457</v>
      </c>
      <c r="B1175" s="1">
        <v>45782</v>
      </c>
      <c r="C1175" t="s">
        <v>11</v>
      </c>
      <c r="D1175">
        <v>1</v>
      </c>
      <c r="E1175" t="s">
        <v>37</v>
      </c>
      <c r="F1175" t="s">
        <v>31</v>
      </c>
      <c r="G1175">
        <v>85</v>
      </c>
      <c r="H1175">
        <v>30</v>
      </c>
      <c r="I1175" t="s">
        <v>14</v>
      </c>
      <c r="J1175" t="str">
        <f>_xlfn.XLOOKUP(C1175,'product_masterlist(ifs)'!A:A,'product_masterlist(ifs)'!C:C,"N/A",0)</f>
        <v>Surgical</v>
      </c>
      <c r="K1175">
        <f>VLOOKUP(C1175,'product_masterlist(ifs)'!A:I,7,FALSE)</f>
        <v>40</v>
      </c>
    </row>
    <row r="1176" spans="1:11" x14ac:dyDescent="0.35">
      <c r="A1176" t="s">
        <v>1458</v>
      </c>
      <c r="B1176" s="1">
        <v>45755</v>
      </c>
      <c r="C1176" t="s">
        <v>90</v>
      </c>
      <c r="D1176">
        <v>8</v>
      </c>
      <c r="E1176" t="s">
        <v>20</v>
      </c>
      <c r="F1176" t="s">
        <v>13</v>
      </c>
      <c r="G1176">
        <v>388</v>
      </c>
      <c r="H1176">
        <v>30</v>
      </c>
      <c r="I1176" t="s">
        <v>14</v>
      </c>
      <c r="J1176" t="str">
        <f>_xlfn.XLOOKUP(C1176,'product_masterlist(ifs)'!A:A,'product_masterlist(ifs)'!C:C,"N/A",0)</f>
        <v>Frames</v>
      </c>
      <c r="K1176">
        <f>VLOOKUP(C1176,'product_masterlist(ifs)'!A:I,7,FALSE)</f>
        <v>180</v>
      </c>
    </row>
    <row r="1177" spans="1:11" x14ac:dyDescent="0.35">
      <c r="A1177" t="s">
        <v>1459</v>
      </c>
      <c r="B1177" s="1">
        <v>45879</v>
      </c>
      <c r="C1177" t="s">
        <v>33</v>
      </c>
      <c r="D1177">
        <v>13</v>
      </c>
      <c r="E1177" t="s">
        <v>37</v>
      </c>
      <c r="F1177" t="s">
        <v>31</v>
      </c>
      <c r="G1177">
        <v>1950</v>
      </c>
      <c r="H1177">
        <v>45</v>
      </c>
      <c r="I1177" t="s">
        <v>34</v>
      </c>
      <c r="J1177" t="str">
        <f>_xlfn.XLOOKUP(C1177,'product_masterlist(ifs)'!A:A,'product_masterlist(ifs)'!C:C,"N/A",0)</f>
        <v>Surgical</v>
      </c>
      <c r="K1177">
        <f>VLOOKUP(C1177,'product_masterlist(ifs)'!A:I,7,FALSE)</f>
        <v>15</v>
      </c>
    </row>
    <row r="1178" spans="1:11" x14ac:dyDescent="0.35">
      <c r="A1178" t="s">
        <v>1460</v>
      </c>
      <c r="B1178" t="s">
        <v>651</v>
      </c>
      <c r="C1178" t="s">
        <v>53</v>
      </c>
      <c r="D1178">
        <v>14</v>
      </c>
      <c r="E1178" t="s">
        <v>37</v>
      </c>
      <c r="F1178" t="s">
        <v>13</v>
      </c>
      <c r="G1178" t="s">
        <v>228</v>
      </c>
      <c r="H1178">
        <v>7</v>
      </c>
      <c r="I1178" t="s">
        <v>28</v>
      </c>
      <c r="J1178" t="str">
        <f>_xlfn.XLOOKUP(C1178,'product_masterlist(ifs)'!A:A,'product_masterlist(ifs)'!C:C,"N/A",0)</f>
        <v>Solutions</v>
      </c>
      <c r="K1178">
        <f>VLOOKUP(C1178,'product_masterlist(ifs)'!A:I,7,FALSE)</f>
        <v>800</v>
      </c>
    </row>
    <row r="1179" spans="1:11" x14ac:dyDescent="0.35">
      <c r="A1179" t="s">
        <v>1461</v>
      </c>
      <c r="B1179" t="s">
        <v>565</v>
      </c>
      <c r="C1179" t="s">
        <v>26</v>
      </c>
      <c r="D1179">
        <v>17</v>
      </c>
      <c r="E1179" t="s">
        <v>20</v>
      </c>
      <c r="F1179" t="s">
        <v>23</v>
      </c>
      <c r="G1179" t="s">
        <v>152</v>
      </c>
      <c r="H1179">
        <v>14</v>
      </c>
      <c r="I1179" t="s">
        <v>28</v>
      </c>
      <c r="J1179" t="str">
        <f>_xlfn.XLOOKUP(C1179,'product_masterlist(ifs)'!A:A,'product_masterlist(ifs)'!C:C,"N/A",0)</f>
        <v>Contact Lenses</v>
      </c>
      <c r="K1179">
        <f>VLOOKUP(C1179,'product_masterlist(ifs)'!A:I,7,FALSE)</f>
        <v>450</v>
      </c>
    </row>
    <row r="1180" spans="1:11" x14ac:dyDescent="0.35">
      <c r="A1180" t="s">
        <v>1462</v>
      </c>
      <c r="B1180" t="s">
        <v>180</v>
      </c>
      <c r="C1180" t="s">
        <v>53</v>
      </c>
      <c r="D1180">
        <v>19</v>
      </c>
      <c r="E1180" t="s">
        <v>12</v>
      </c>
      <c r="F1180" t="s">
        <v>31</v>
      </c>
      <c r="G1180" t="s">
        <v>54</v>
      </c>
      <c r="H1180">
        <v>7</v>
      </c>
      <c r="I1180" t="s">
        <v>28</v>
      </c>
      <c r="J1180" t="str">
        <f>_xlfn.XLOOKUP(C1180,'product_masterlist(ifs)'!A:A,'product_masterlist(ifs)'!C:C,"N/A",0)</f>
        <v>Solutions</v>
      </c>
      <c r="K1180">
        <f>VLOOKUP(C1180,'product_masterlist(ifs)'!A:I,7,FALSE)</f>
        <v>800</v>
      </c>
    </row>
    <row r="1181" spans="1:11" x14ac:dyDescent="0.35">
      <c r="A1181" t="s">
        <v>1463</v>
      </c>
      <c r="B1181" s="1">
        <v>45841</v>
      </c>
      <c r="C1181" t="s">
        <v>11</v>
      </c>
      <c r="D1181">
        <v>24</v>
      </c>
      <c r="E1181" t="s">
        <v>37</v>
      </c>
      <c r="F1181" t="s">
        <v>31</v>
      </c>
      <c r="G1181">
        <v>2040</v>
      </c>
      <c r="H1181">
        <v>30</v>
      </c>
      <c r="I1181" t="s">
        <v>14</v>
      </c>
      <c r="J1181" t="str">
        <f>_xlfn.XLOOKUP(C1181,'product_masterlist(ifs)'!A:A,'product_masterlist(ifs)'!C:C,"N/A",0)</f>
        <v>Surgical</v>
      </c>
      <c r="K1181">
        <f>VLOOKUP(C1181,'product_masterlist(ifs)'!A:I,7,FALSE)</f>
        <v>40</v>
      </c>
    </row>
    <row r="1182" spans="1:11" x14ac:dyDescent="0.35">
      <c r="A1182" t="s">
        <v>1464</v>
      </c>
      <c r="B1182" s="1">
        <v>45903</v>
      </c>
      <c r="C1182" t="s">
        <v>42</v>
      </c>
      <c r="D1182">
        <v>9</v>
      </c>
      <c r="E1182" t="s">
        <v>22</v>
      </c>
      <c r="F1182" t="s">
        <v>13</v>
      </c>
      <c r="G1182">
        <v>225</v>
      </c>
      <c r="H1182">
        <v>21</v>
      </c>
      <c r="I1182" t="s">
        <v>14</v>
      </c>
      <c r="J1182" t="str">
        <f>_xlfn.XLOOKUP(C1182,'product_masterlist(ifs)'!A:A,'product_masterlist(ifs)'!C:C,"N/A",0)</f>
        <v>Contact Lenses</v>
      </c>
      <c r="K1182">
        <f>VLOOKUP(C1182,'product_masterlist(ifs)'!A:I,7,FALSE)</f>
        <v>120</v>
      </c>
    </row>
    <row r="1183" spans="1:11" x14ac:dyDescent="0.35">
      <c r="A1183" t="s">
        <v>1465</v>
      </c>
      <c r="B1183" t="s">
        <v>924</v>
      </c>
      <c r="C1183" t="s">
        <v>90</v>
      </c>
      <c r="D1183">
        <v>1</v>
      </c>
      <c r="E1183" t="s">
        <v>12</v>
      </c>
      <c r="F1183" t="s">
        <v>13</v>
      </c>
      <c r="G1183" t="s">
        <v>109</v>
      </c>
      <c r="H1183">
        <v>30</v>
      </c>
      <c r="I1183" t="s">
        <v>14</v>
      </c>
      <c r="J1183" t="str">
        <f>_xlfn.XLOOKUP(C1183,'product_masterlist(ifs)'!A:A,'product_masterlist(ifs)'!C:C,"N/A",0)</f>
        <v>Frames</v>
      </c>
      <c r="K1183">
        <f>VLOOKUP(C1183,'product_masterlist(ifs)'!A:I,7,FALSE)</f>
        <v>180</v>
      </c>
    </row>
    <row r="1184" spans="1:11" x14ac:dyDescent="0.35">
      <c r="A1184" t="s">
        <v>1466</v>
      </c>
      <c r="B1184" t="s">
        <v>10</v>
      </c>
      <c r="C1184" t="s">
        <v>11</v>
      </c>
      <c r="D1184">
        <v>9</v>
      </c>
      <c r="E1184" t="s">
        <v>22</v>
      </c>
      <c r="F1184" t="s">
        <v>23</v>
      </c>
      <c r="G1184">
        <v>765</v>
      </c>
      <c r="H1184">
        <v>30</v>
      </c>
      <c r="I1184" t="s">
        <v>14</v>
      </c>
      <c r="J1184" t="str">
        <f>_xlfn.XLOOKUP(C1184,'product_masterlist(ifs)'!A:A,'product_masterlist(ifs)'!C:C,"N/A",0)</f>
        <v>Surgical</v>
      </c>
      <c r="K1184">
        <f>VLOOKUP(C1184,'product_masterlist(ifs)'!A:I,7,FALSE)</f>
        <v>40</v>
      </c>
    </row>
    <row r="1185" spans="1:11" x14ac:dyDescent="0.35">
      <c r="A1185" t="s">
        <v>1467</v>
      </c>
      <c r="B1185" t="s">
        <v>248</v>
      </c>
      <c r="C1185" t="s">
        <v>11</v>
      </c>
      <c r="D1185">
        <v>4</v>
      </c>
      <c r="E1185" t="s">
        <v>37</v>
      </c>
      <c r="F1185" t="s">
        <v>31</v>
      </c>
      <c r="G1185">
        <v>340</v>
      </c>
      <c r="H1185">
        <v>30</v>
      </c>
      <c r="I1185" t="s">
        <v>14</v>
      </c>
      <c r="J1185" t="str">
        <f>_xlfn.XLOOKUP(C1185,'product_masterlist(ifs)'!A:A,'product_masterlist(ifs)'!C:C,"N/A",0)</f>
        <v>Surgical</v>
      </c>
      <c r="K1185">
        <f>VLOOKUP(C1185,'product_masterlist(ifs)'!A:I,7,FALSE)</f>
        <v>40</v>
      </c>
    </row>
    <row r="1186" spans="1:11" x14ac:dyDescent="0.35">
      <c r="A1186" t="s">
        <v>1468</v>
      </c>
      <c r="B1186" t="s">
        <v>248</v>
      </c>
      <c r="C1186" t="s">
        <v>90</v>
      </c>
      <c r="D1186">
        <v>15</v>
      </c>
      <c r="E1186" t="s">
        <v>37</v>
      </c>
      <c r="F1186" t="s">
        <v>13</v>
      </c>
      <c r="G1186" t="s">
        <v>250</v>
      </c>
      <c r="H1186">
        <v>30</v>
      </c>
      <c r="I1186" t="s">
        <v>14</v>
      </c>
      <c r="J1186" t="str">
        <f>_xlfn.XLOOKUP(C1186,'product_masterlist(ifs)'!A:A,'product_masterlist(ifs)'!C:C,"N/A",0)</f>
        <v>Frames</v>
      </c>
      <c r="K1186">
        <f>VLOOKUP(C1186,'product_masterlist(ifs)'!A:I,7,FALSE)</f>
        <v>180</v>
      </c>
    </row>
    <row r="1187" spans="1:11" x14ac:dyDescent="0.35">
      <c r="A1187" t="s">
        <v>1469</v>
      </c>
      <c r="B1187" s="1">
        <v>45995</v>
      </c>
      <c r="C1187" t="s">
        <v>26</v>
      </c>
      <c r="D1187">
        <v>4</v>
      </c>
      <c r="E1187" t="s">
        <v>20</v>
      </c>
      <c r="F1187" t="s">
        <v>31</v>
      </c>
      <c r="G1187">
        <v>50</v>
      </c>
      <c r="H1187">
        <v>14</v>
      </c>
      <c r="I1187" t="s">
        <v>28</v>
      </c>
      <c r="J1187" t="str">
        <f>_xlfn.XLOOKUP(C1187,'product_masterlist(ifs)'!A:A,'product_masterlist(ifs)'!C:C,"N/A",0)</f>
        <v>Contact Lenses</v>
      </c>
      <c r="K1187">
        <f>VLOOKUP(C1187,'product_masterlist(ifs)'!A:I,7,FALSE)</f>
        <v>450</v>
      </c>
    </row>
    <row r="1188" spans="1:11" x14ac:dyDescent="0.35">
      <c r="A1188" t="s">
        <v>1470</v>
      </c>
      <c r="B1188" t="s">
        <v>398</v>
      </c>
      <c r="C1188" t="s">
        <v>42</v>
      </c>
      <c r="D1188">
        <v>4</v>
      </c>
      <c r="E1188" t="s">
        <v>37</v>
      </c>
      <c r="F1188" t="s">
        <v>13</v>
      </c>
      <c r="G1188">
        <v>100</v>
      </c>
      <c r="H1188">
        <v>21</v>
      </c>
      <c r="I1188" t="s">
        <v>14</v>
      </c>
      <c r="J1188" t="str">
        <f>_xlfn.XLOOKUP(C1188,'product_masterlist(ifs)'!A:A,'product_masterlist(ifs)'!C:C,"N/A",0)</f>
        <v>Contact Lenses</v>
      </c>
      <c r="K1188">
        <f>VLOOKUP(C1188,'product_masterlist(ifs)'!A:I,7,FALSE)</f>
        <v>120</v>
      </c>
    </row>
    <row r="1189" spans="1:11" x14ac:dyDescent="0.35">
      <c r="A1189" t="s">
        <v>1471</v>
      </c>
      <c r="B1189" t="s">
        <v>569</v>
      </c>
      <c r="C1189" t="s">
        <v>26</v>
      </c>
      <c r="D1189">
        <v>18</v>
      </c>
      <c r="E1189" t="s">
        <v>37</v>
      </c>
      <c r="F1189" t="s">
        <v>18</v>
      </c>
      <c r="G1189">
        <v>225</v>
      </c>
      <c r="H1189">
        <v>14</v>
      </c>
      <c r="I1189" t="s">
        <v>28</v>
      </c>
      <c r="J1189" t="str">
        <f>_xlfn.XLOOKUP(C1189,'product_masterlist(ifs)'!A:A,'product_masterlist(ifs)'!C:C,"N/A",0)</f>
        <v>Contact Lenses</v>
      </c>
      <c r="K1189">
        <f>VLOOKUP(C1189,'product_masterlist(ifs)'!A:I,7,FALSE)</f>
        <v>450</v>
      </c>
    </row>
    <row r="1190" spans="1:11" x14ac:dyDescent="0.35">
      <c r="A1190" t="s">
        <v>1472</v>
      </c>
      <c r="B1190" t="s">
        <v>625</v>
      </c>
      <c r="C1190" t="s">
        <v>33</v>
      </c>
      <c r="D1190">
        <v>3</v>
      </c>
      <c r="E1190" t="s">
        <v>22</v>
      </c>
      <c r="F1190" t="s">
        <v>18</v>
      </c>
      <c r="G1190">
        <v>450</v>
      </c>
      <c r="H1190">
        <v>45</v>
      </c>
      <c r="I1190" t="s">
        <v>34</v>
      </c>
      <c r="J1190" t="str">
        <f>_xlfn.XLOOKUP(C1190,'product_masterlist(ifs)'!A:A,'product_masterlist(ifs)'!C:C,"N/A",0)</f>
        <v>Surgical</v>
      </c>
      <c r="K1190">
        <f>VLOOKUP(C1190,'product_masterlist(ifs)'!A:I,7,FALSE)</f>
        <v>15</v>
      </c>
    </row>
    <row r="1191" spans="1:11" x14ac:dyDescent="0.35">
      <c r="A1191" t="s">
        <v>1473</v>
      </c>
      <c r="B1191" s="1">
        <v>45787</v>
      </c>
      <c r="C1191" t="s">
        <v>11</v>
      </c>
      <c r="D1191">
        <v>8</v>
      </c>
      <c r="E1191" t="s">
        <v>22</v>
      </c>
      <c r="F1191" t="s">
        <v>13</v>
      </c>
      <c r="G1191">
        <v>680</v>
      </c>
      <c r="H1191">
        <v>30</v>
      </c>
      <c r="I1191" t="s">
        <v>14</v>
      </c>
      <c r="J1191" t="str">
        <f>_xlfn.XLOOKUP(C1191,'product_masterlist(ifs)'!A:A,'product_masterlist(ifs)'!C:C,"N/A",0)</f>
        <v>Surgical</v>
      </c>
      <c r="K1191">
        <f>VLOOKUP(C1191,'product_masterlist(ifs)'!A:I,7,FALSE)</f>
        <v>40</v>
      </c>
    </row>
    <row r="1192" spans="1:11" x14ac:dyDescent="0.35">
      <c r="A1192" t="s">
        <v>1474</v>
      </c>
      <c r="B1192" s="1">
        <v>45757</v>
      </c>
      <c r="C1192" t="s">
        <v>53</v>
      </c>
      <c r="D1192">
        <v>12</v>
      </c>
      <c r="E1192" t="s">
        <v>37</v>
      </c>
      <c r="F1192" t="s">
        <v>31</v>
      </c>
      <c r="G1192">
        <v>51</v>
      </c>
      <c r="H1192">
        <v>7</v>
      </c>
      <c r="I1192" t="s">
        <v>28</v>
      </c>
      <c r="J1192" t="str">
        <f>_xlfn.XLOOKUP(C1192,'product_masterlist(ifs)'!A:A,'product_masterlist(ifs)'!C:C,"N/A",0)</f>
        <v>Solutions</v>
      </c>
      <c r="K1192">
        <f>VLOOKUP(C1192,'product_masterlist(ifs)'!A:I,7,FALSE)</f>
        <v>800</v>
      </c>
    </row>
    <row r="1193" spans="1:11" x14ac:dyDescent="0.35">
      <c r="A1193" t="s">
        <v>1475</v>
      </c>
      <c r="B1193" t="s">
        <v>233</v>
      </c>
      <c r="C1193" t="s">
        <v>17</v>
      </c>
      <c r="D1193">
        <v>7</v>
      </c>
      <c r="E1193" t="s">
        <v>37</v>
      </c>
      <c r="F1193" t="s">
        <v>13</v>
      </c>
      <c r="G1193">
        <v>315</v>
      </c>
      <c r="H1193">
        <v>30</v>
      </c>
      <c r="I1193" t="s">
        <v>14</v>
      </c>
      <c r="J1193" t="str">
        <f>_xlfn.XLOOKUP(C1193,'product_masterlist(ifs)'!A:A,'product_masterlist(ifs)'!C:C,"N/A",0)</f>
        <v>Frames</v>
      </c>
      <c r="K1193">
        <f>VLOOKUP(C1193,'product_masterlist(ifs)'!A:I,7,FALSE)</f>
        <v>45</v>
      </c>
    </row>
    <row r="1194" spans="1:11" x14ac:dyDescent="0.35">
      <c r="A1194" t="s">
        <v>1476</v>
      </c>
      <c r="B1194" t="s">
        <v>194</v>
      </c>
      <c r="C1194" t="s">
        <v>90</v>
      </c>
      <c r="D1194">
        <v>1</v>
      </c>
      <c r="E1194" t="s">
        <v>37</v>
      </c>
      <c r="F1194" t="s">
        <v>23</v>
      </c>
      <c r="G1194" t="s">
        <v>109</v>
      </c>
      <c r="H1194">
        <v>30</v>
      </c>
      <c r="I1194" t="s">
        <v>14</v>
      </c>
      <c r="J1194" t="str">
        <f>_xlfn.XLOOKUP(C1194,'product_masterlist(ifs)'!A:A,'product_masterlist(ifs)'!C:C,"N/A",0)</f>
        <v>Frames</v>
      </c>
      <c r="K1194">
        <f>VLOOKUP(C1194,'product_masterlist(ifs)'!A:I,7,FALSE)</f>
        <v>180</v>
      </c>
    </row>
    <row r="1195" spans="1:11" x14ac:dyDescent="0.35">
      <c r="A1195" t="s">
        <v>1477</v>
      </c>
      <c r="B1195" s="1">
        <v>45724</v>
      </c>
      <c r="C1195" t="s">
        <v>53</v>
      </c>
      <c r="D1195">
        <v>8</v>
      </c>
      <c r="E1195" t="s">
        <v>12</v>
      </c>
      <c r="F1195" t="s">
        <v>13</v>
      </c>
      <c r="G1195">
        <v>34</v>
      </c>
      <c r="H1195">
        <v>7</v>
      </c>
      <c r="I1195" t="s">
        <v>28</v>
      </c>
      <c r="J1195" t="str">
        <f>_xlfn.XLOOKUP(C1195,'product_masterlist(ifs)'!A:A,'product_masterlist(ifs)'!C:C,"N/A",0)</f>
        <v>Solutions</v>
      </c>
      <c r="K1195">
        <f>VLOOKUP(C1195,'product_masterlist(ifs)'!A:I,7,FALSE)</f>
        <v>800</v>
      </c>
    </row>
    <row r="1196" spans="1:11" x14ac:dyDescent="0.35">
      <c r="A1196" t="s">
        <v>1478</v>
      </c>
      <c r="B1196" t="s">
        <v>151</v>
      </c>
      <c r="C1196" t="s">
        <v>53</v>
      </c>
      <c r="D1196">
        <v>8</v>
      </c>
      <c r="E1196" t="s">
        <v>12</v>
      </c>
      <c r="F1196" t="s">
        <v>13</v>
      </c>
      <c r="G1196">
        <v>34</v>
      </c>
      <c r="H1196">
        <v>7</v>
      </c>
      <c r="I1196" t="s">
        <v>28</v>
      </c>
      <c r="J1196" t="str">
        <f>_xlfn.XLOOKUP(C1196,'product_masterlist(ifs)'!A:A,'product_masterlist(ifs)'!C:C,"N/A",0)</f>
        <v>Solutions</v>
      </c>
      <c r="K1196">
        <f>VLOOKUP(C1196,'product_masterlist(ifs)'!A:I,7,FALSE)</f>
        <v>800</v>
      </c>
    </row>
    <row r="1197" spans="1:11" x14ac:dyDescent="0.35">
      <c r="A1197" t="s">
        <v>1479</v>
      </c>
      <c r="B1197" s="1">
        <v>45840</v>
      </c>
      <c r="C1197" t="s">
        <v>26</v>
      </c>
      <c r="D1197">
        <v>15</v>
      </c>
      <c r="E1197" t="s">
        <v>22</v>
      </c>
      <c r="F1197" t="s">
        <v>31</v>
      </c>
      <c r="G1197" t="s">
        <v>513</v>
      </c>
      <c r="H1197">
        <v>14</v>
      </c>
      <c r="I1197" t="s">
        <v>28</v>
      </c>
      <c r="J1197" t="str">
        <f>_xlfn.XLOOKUP(C1197,'product_masterlist(ifs)'!A:A,'product_masterlist(ifs)'!C:C,"N/A",0)</f>
        <v>Contact Lenses</v>
      </c>
      <c r="K1197">
        <f>VLOOKUP(C1197,'product_masterlist(ifs)'!A:I,7,FALSE)</f>
        <v>450</v>
      </c>
    </row>
    <row r="1198" spans="1:11" x14ac:dyDescent="0.35">
      <c r="A1198" t="s">
        <v>1480</v>
      </c>
      <c r="B1198" t="s">
        <v>312</v>
      </c>
      <c r="C1198" t="s">
        <v>11</v>
      </c>
      <c r="D1198">
        <v>11</v>
      </c>
      <c r="E1198" t="s">
        <v>20</v>
      </c>
      <c r="F1198" t="s">
        <v>18</v>
      </c>
      <c r="G1198">
        <v>935</v>
      </c>
      <c r="H1198">
        <v>30</v>
      </c>
      <c r="I1198" t="s">
        <v>14</v>
      </c>
      <c r="J1198" t="str">
        <f>_xlfn.XLOOKUP(C1198,'product_masterlist(ifs)'!A:A,'product_masterlist(ifs)'!C:C,"N/A",0)</f>
        <v>Surgical</v>
      </c>
      <c r="K1198">
        <f>VLOOKUP(C1198,'product_masterlist(ifs)'!A:I,7,FALSE)</f>
        <v>40</v>
      </c>
    </row>
    <row r="1199" spans="1:11" x14ac:dyDescent="0.35">
      <c r="A1199" t="s">
        <v>1481</v>
      </c>
      <c r="B1199" s="1">
        <v>45690</v>
      </c>
      <c r="C1199" t="s">
        <v>26</v>
      </c>
      <c r="D1199">
        <v>10</v>
      </c>
      <c r="E1199" t="s">
        <v>22</v>
      </c>
      <c r="F1199" t="s">
        <v>23</v>
      </c>
      <c r="G1199">
        <v>125</v>
      </c>
      <c r="H1199">
        <v>14</v>
      </c>
      <c r="I1199" t="s">
        <v>28</v>
      </c>
      <c r="J1199" t="str">
        <f>_xlfn.XLOOKUP(C1199,'product_masterlist(ifs)'!A:A,'product_masterlist(ifs)'!C:C,"N/A",0)</f>
        <v>Contact Lenses</v>
      </c>
      <c r="K1199">
        <f>VLOOKUP(C1199,'product_masterlist(ifs)'!A:I,7,FALSE)</f>
        <v>450</v>
      </c>
    </row>
    <row r="1200" spans="1:11" x14ac:dyDescent="0.35">
      <c r="A1200" t="s">
        <v>1482</v>
      </c>
      <c r="B1200" t="s">
        <v>183</v>
      </c>
      <c r="C1200" t="s">
        <v>90</v>
      </c>
      <c r="D1200">
        <v>23</v>
      </c>
      <c r="E1200" t="s">
        <v>37</v>
      </c>
      <c r="F1200" t="s">
        <v>13</v>
      </c>
      <c r="G1200" t="s">
        <v>123</v>
      </c>
      <c r="H1200">
        <v>30</v>
      </c>
      <c r="I1200" t="s">
        <v>14</v>
      </c>
      <c r="J1200" t="str">
        <f>_xlfn.XLOOKUP(C1200,'product_masterlist(ifs)'!A:A,'product_masterlist(ifs)'!C:C,"N/A",0)</f>
        <v>Frames</v>
      </c>
      <c r="K1200">
        <f>VLOOKUP(C1200,'product_masterlist(ifs)'!A:I,7,FALSE)</f>
        <v>180</v>
      </c>
    </row>
    <row r="1201" spans="1:11" x14ac:dyDescent="0.35">
      <c r="A1201" t="s">
        <v>1483</v>
      </c>
      <c r="B1201" t="s">
        <v>246</v>
      </c>
      <c r="C1201" t="s">
        <v>53</v>
      </c>
      <c r="D1201">
        <v>15</v>
      </c>
      <c r="E1201" t="s">
        <v>22</v>
      </c>
      <c r="F1201" t="s">
        <v>23</v>
      </c>
      <c r="G1201" t="s">
        <v>93</v>
      </c>
      <c r="H1201">
        <v>7</v>
      </c>
      <c r="I1201" t="s">
        <v>28</v>
      </c>
      <c r="J1201" t="str">
        <f>_xlfn.XLOOKUP(C1201,'product_masterlist(ifs)'!A:A,'product_masterlist(ifs)'!C:C,"N/A",0)</f>
        <v>Solutions</v>
      </c>
      <c r="K1201">
        <f>VLOOKUP(C1201,'product_masterlist(ifs)'!A:I,7,FALSE)</f>
        <v>800</v>
      </c>
    </row>
    <row r="1202" spans="1:11" x14ac:dyDescent="0.35">
      <c r="A1202" t="s">
        <v>1484</v>
      </c>
      <c r="B1202" t="s">
        <v>1485</v>
      </c>
      <c r="C1202" t="s">
        <v>33</v>
      </c>
      <c r="D1202">
        <v>14</v>
      </c>
      <c r="E1202" t="s">
        <v>12</v>
      </c>
      <c r="F1202" t="s">
        <v>13</v>
      </c>
      <c r="G1202">
        <v>2100</v>
      </c>
      <c r="H1202">
        <v>45</v>
      </c>
      <c r="I1202" t="s">
        <v>34</v>
      </c>
      <c r="J1202" t="str">
        <f>_xlfn.XLOOKUP(C1202,'product_masterlist(ifs)'!A:A,'product_masterlist(ifs)'!C:C,"N/A",0)</f>
        <v>Surgical</v>
      </c>
      <c r="K1202">
        <f>VLOOKUP(C1202,'product_masterlist(ifs)'!A:I,7,FALSE)</f>
        <v>15</v>
      </c>
    </row>
    <row r="1203" spans="1:11" x14ac:dyDescent="0.35">
      <c r="A1203" t="s">
        <v>1486</v>
      </c>
      <c r="B1203" s="1">
        <v>45750</v>
      </c>
      <c r="C1203" t="s">
        <v>11</v>
      </c>
      <c r="D1203">
        <v>19</v>
      </c>
      <c r="E1203" t="s">
        <v>20</v>
      </c>
      <c r="F1203" t="s">
        <v>23</v>
      </c>
      <c r="G1203">
        <v>1615</v>
      </c>
      <c r="H1203">
        <v>30</v>
      </c>
      <c r="I1203" t="s">
        <v>14</v>
      </c>
      <c r="J1203" t="str">
        <f>_xlfn.XLOOKUP(C1203,'product_masterlist(ifs)'!A:A,'product_masterlist(ifs)'!C:C,"N/A",0)</f>
        <v>Surgical</v>
      </c>
      <c r="K1203">
        <f>VLOOKUP(C1203,'product_masterlist(ifs)'!A:I,7,FALSE)</f>
        <v>40</v>
      </c>
    </row>
    <row r="1204" spans="1:11" x14ac:dyDescent="0.35">
      <c r="A1204" t="s">
        <v>1487</v>
      </c>
      <c r="B1204" s="1">
        <v>45996</v>
      </c>
      <c r="C1204" t="s">
        <v>11</v>
      </c>
      <c r="D1204">
        <v>13</v>
      </c>
      <c r="E1204" t="s">
        <v>22</v>
      </c>
      <c r="F1204" t="s">
        <v>13</v>
      </c>
      <c r="G1204">
        <v>1105</v>
      </c>
      <c r="H1204">
        <v>30</v>
      </c>
      <c r="I1204" t="s">
        <v>14</v>
      </c>
      <c r="J1204" t="str">
        <f>_xlfn.XLOOKUP(C1204,'product_masterlist(ifs)'!A:A,'product_masterlist(ifs)'!C:C,"N/A",0)</f>
        <v>Surgical</v>
      </c>
      <c r="K1204">
        <f>VLOOKUP(C1204,'product_masterlist(ifs)'!A:I,7,FALSE)</f>
        <v>40</v>
      </c>
    </row>
    <row r="1205" spans="1:11" x14ac:dyDescent="0.35">
      <c r="A1205" t="s">
        <v>1488</v>
      </c>
      <c r="B1205" s="1">
        <v>45722</v>
      </c>
      <c r="C1205" t="s">
        <v>33</v>
      </c>
      <c r="D1205">
        <v>4</v>
      </c>
      <c r="E1205" t="s">
        <v>37</v>
      </c>
      <c r="F1205" t="s">
        <v>13</v>
      </c>
      <c r="G1205">
        <v>600</v>
      </c>
      <c r="H1205">
        <v>45</v>
      </c>
      <c r="I1205" t="s">
        <v>34</v>
      </c>
      <c r="J1205" t="str">
        <f>_xlfn.XLOOKUP(C1205,'product_masterlist(ifs)'!A:A,'product_masterlist(ifs)'!C:C,"N/A",0)</f>
        <v>Surgical</v>
      </c>
      <c r="K1205">
        <f>VLOOKUP(C1205,'product_masterlist(ifs)'!A:I,7,FALSE)</f>
        <v>15</v>
      </c>
    </row>
    <row r="1206" spans="1:11" x14ac:dyDescent="0.35">
      <c r="A1206" t="s">
        <v>1489</v>
      </c>
      <c r="B1206" t="s">
        <v>723</v>
      </c>
      <c r="C1206" t="s">
        <v>17</v>
      </c>
      <c r="D1206">
        <v>2</v>
      </c>
      <c r="E1206" t="s">
        <v>37</v>
      </c>
      <c r="F1206" t="s">
        <v>31</v>
      </c>
      <c r="G1206">
        <v>90</v>
      </c>
      <c r="H1206">
        <v>30</v>
      </c>
      <c r="I1206" t="s">
        <v>14</v>
      </c>
      <c r="J1206" t="str">
        <f>_xlfn.XLOOKUP(C1206,'product_masterlist(ifs)'!A:A,'product_masterlist(ifs)'!C:C,"N/A",0)</f>
        <v>Frames</v>
      </c>
      <c r="K1206">
        <f>VLOOKUP(C1206,'product_masterlist(ifs)'!A:I,7,FALSE)</f>
        <v>45</v>
      </c>
    </row>
    <row r="1207" spans="1:11" x14ac:dyDescent="0.35">
      <c r="A1207" t="s">
        <v>1490</v>
      </c>
      <c r="B1207" s="1">
        <v>45901</v>
      </c>
      <c r="C1207" t="s">
        <v>53</v>
      </c>
      <c r="D1207">
        <v>21</v>
      </c>
      <c r="E1207" t="s">
        <v>12</v>
      </c>
      <c r="F1207" t="s">
        <v>31</v>
      </c>
      <c r="G1207" t="s">
        <v>197</v>
      </c>
      <c r="H1207">
        <v>7</v>
      </c>
      <c r="I1207" t="s">
        <v>28</v>
      </c>
      <c r="J1207" t="str">
        <f>_xlfn.XLOOKUP(C1207,'product_masterlist(ifs)'!A:A,'product_masterlist(ifs)'!C:C,"N/A",0)</f>
        <v>Solutions</v>
      </c>
      <c r="K1207">
        <f>VLOOKUP(C1207,'product_masterlist(ifs)'!A:I,7,FALSE)</f>
        <v>800</v>
      </c>
    </row>
    <row r="1208" spans="1:11" x14ac:dyDescent="0.35">
      <c r="A1208" t="s">
        <v>1491</v>
      </c>
      <c r="B1208" t="s">
        <v>462</v>
      </c>
      <c r="C1208" t="s">
        <v>17</v>
      </c>
      <c r="D1208">
        <v>15</v>
      </c>
      <c r="E1208" t="s">
        <v>20</v>
      </c>
      <c r="F1208" t="s">
        <v>18</v>
      </c>
      <c r="G1208">
        <v>675</v>
      </c>
      <c r="H1208">
        <v>30</v>
      </c>
      <c r="I1208" t="s">
        <v>14</v>
      </c>
      <c r="J1208" t="str">
        <f>_xlfn.XLOOKUP(C1208,'product_masterlist(ifs)'!A:A,'product_masterlist(ifs)'!C:C,"N/A",0)</f>
        <v>Frames</v>
      </c>
      <c r="K1208">
        <f>VLOOKUP(C1208,'product_masterlist(ifs)'!A:I,7,FALSE)</f>
        <v>45</v>
      </c>
    </row>
    <row r="1209" spans="1:11" x14ac:dyDescent="0.35">
      <c r="A1209" t="s">
        <v>1492</v>
      </c>
      <c r="B1209" t="s">
        <v>129</v>
      </c>
      <c r="C1209" t="s">
        <v>90</v>
      </c>
      <c r="D1209">
        <v>16</v>
      </c>
      <c r="E1209" t="s">
        <v>37</v>
      </c>
      <c r="F1209" t="s">
        <v>18</v>
      </c>
      <c r="G1209">
        <v>776</v>
      </c>
      <c r="H1209">
        <v>30</v>
      </c>
      <c r="I1209" t="s">
        <v>14</v>
      </c>
      <c r="J1209" t="str">
        <f>_xlfn.XLOOKUP(C1209,'product_masterlist(ifs)'!A:A,'product_masterlist(ifs)'!C:C,"N/A",0)</f>
        <v>Frames</v>
      </c>
      <c r="K1209">
        <f>VLOOKUP(C1209,'product_masterlist(ifs)'!A:I,7,FALSE)</f>
        <v>180</v>
      </c>
    </row>
    <row r="1210" spans="1:11" x14ac:dyDescent="0.35">
      <c r="A1210" t="s">
        <v>1493</v>
      </c>
      <c r="B1210" t="s">
        <v>281</v>
      </c>
      <c r="C1210" t="s">
        <v>17</v>
      </c>
      <c r="D1210">
        <v>7</v>
      </c>
      <c r="E1210" t="s">
        <v>37</v>
      </c>
      <c r="F1210" t="s">
        <v>18</v>
      </c>
      <c r="G1210">
        <v>315</v>
      </c>
      <c r="H1210">
        <v>30</v>
      </c>
      <c r="I1210" t="s">
        <v>14</v>
      </c>
      <c r="J1210" t="str">
        <f>_xlfn.XLOOKUP(C1210,'product_masterlist(ifs)'!A:A,'product_masterlist(ifs)'!C:C,"N/A",0)</f>
        <v>Frames</v>
      </c>
      <c r="K1210">
        <f>VLOOKUP(C1210,'product_masterlist(ifs)'!A:I,7,FALSE)</f>
        <v>45</v>
      </c>
    </row>
    <row r="1211" spans="1:11" x14ac:dyDescent="0.35">
      <c r="A1211" t="s">
        <v>1494</v>
      </c>
      <c r="B1211" s="1">
        <v>45942</v>
      </c>
      <c r="C1211" t="s">
        <v>11</v>
      </c>
      <c r="D1211">
        <v>20</v>
      </c>
      <c r="E1211" t="s">
        <v>20</v>
      </c>
      <c r="F1211" t="s">
        <v>18</v>
      </c>
      <c r="G1211">
        <v>1700</v>
      </c>
      <c r="H1211">
        <v>30</v>
      </c>
      <c r="I1211" t="s">
        <v>14</v>
      </c>
      <c r="J1211" t="str">
        <f>_xlfn.XLOOKUP(C1211,'product_masterlist(ifs)'!A:A,'product_masterlist(ifs)'!C:C,"N/A",0)</f>
        <v>Surgical</v>
      </c>
      <c r="K1211">
        <f>VLOOKUP(C1211,'product_masterlist(ifs)'!A:I,7,FALSE)</f>
        <v>40</v>
      </c>
    </row>
    <row r="1212" spans="1:11" x14ac:dyDescent="0.35">
      <c r="A1212" t="s">
        <v>1495</v>
      </c>
      <c r="B1212" s="1">
        <v>45661</v>
      </c>
      <c r="C1212" t="s">
        <v>33</v>
      </c>
      <c r="D1212">
        <v>11</v>
      </c>
      <c r="E1212" t="s">
        <v>20</v>
      </c>
      <c r="F1212" t="s">
        <v>31</v>
      </c>
      <c r="G1212">
        <v>1650</v>
      </c>
      <c r="H1212">
        <v>45</v>
      </c>
      <c r="I1212" t="s">
        <v>34</v>
      </c>
      <c r="J1212" t="str">
        <f>_xlfn.XLOOKUP(C1212,'product_masterlist(ifs)'!A:A,'product_masterlist(ifs)'!C:C,"N/A",0)</f>
        <v>Surgical</v>
      </c>
      <c r="K1212">
        <f>VLOOKUP(C1212,'product_masterlist(ifs)'!A:I,7,FALSE)</f>
        <v>15</v>
      </c>
    </row>
    <row r="1213" spans="1:11" x14ac:dyDescent="0.35">
      <c r="A1213" t="s">
        <v>1496</v>
      </c>
      <c r="B1213" t="s">
        <v>354</v>
      </c>
      <c r="C1213" t="s">
        <v>90</v>
      </c>
      <c r="D1213">
        <v>13</v>
      </c>
      <c r="E1213" t="s">
        <v>12</v>
      </c>
      <c r="F1213" t="s">
        <v>18</v>
      </c>
      <c r="G1213" t="s">
        <v>262</v>
      </c>
      <c r="H1213">
        <v>30</v>
      </c>
      <c r="I1213" t="s">
        <v>14</v>
      </c>
      <c r="J1213" t="str">
        <f>_xlfn.XLOOKUP(C1213,'product_masterlist(ifs)'!A:A,'product_masterlist(ifs)'!C:C,"N/A",0)</f>
        <v>Frames</v>
      </c>
      <c r="K1213">
        <f>VLOOKUP(C1213,'product_masterlist(ifs)'!A:I,7,FALSE)</f>
        <v>180</v>
      </c>
    </row>
    <row r="1214" spans="1:11" x14ac:dyDescent="0.35">
      <c r="A1214" t="s">
        <v>1497</v>
      </c>
      <c r="B1214" t="s">
        <v>706</v>
      </c>
      <c r="C1214" t="s">
        <v>11</v>
      </c>
      <c r="D1214">
        <v>8</v>
      </c>
      <c r="E1214" t="s">
        <v>37</v>
      </c>
      <c r="F1214" t="s">
        <v>13</v>
      </c>
      <c r="G1214">
        <v>680</v>
      </c>
      <c r="H1214">
        <v>30</v>
      </c>
      <c r="I1214" t="s">
        <v>14</v>
      </c>
      <c r="J1214" t="str">
        <f>_xlfn.XLOOKUP(C1214,'product_masterlist(ifs)'!A:A,'product_masterlist(ifs)'!C:C,"N/A",0)</f>
        <v>Surgical</v>
      </c>
      <c r="K1214">
        <f>VLOOKUP(C1214,'product_masterlist(ifs)'!A:I,7,FALSE)</f>
        <v>40</v>
      </c>
    </row>
    <row r="1215" spans="1:11" x14ac:dyDescent="0.35">
      <c r="A1215" t="s">
        <v>1498</v>
      </c>
      <c r="B1215" s="1">
        <v>45842</v>
      </c>
      <c r="C1215" t="s">
        <v>90</v>
      </c>
      <c r="D1215">
        <v>23</v>
      </c>
      <c r="E1215" t="s">
        <v>20</v>
      </c>
      <c r="F1215" t="s">
        <v>23</v>
      </c>
      <c r="G1215" t="s">
        <v>123</v>
      </c>
      <c r="H1215">
        <v>30</v>
      </c>
      <c r="I1215" t="s">
        <v>14</v>
      </c>
      <c r="J1215" t="str">
        <f>_xlfn.XLOOKUP(C1215,'product_masterlist(ifs)'!A:A,'product_masterlist(ifs)'!C:C,"N/A",0)</f>
        <v>Frames</v>
      </c>
      <c r="K1215">
        <f>VLOOKUP(C1215,'product_masterlist(ifs)'!A:I,7,FALSE)</f>
        <v>180</v>
      </c>
    </row>
    <row r="1216" spans="1:11" x14ac:dyDescent="0.35">
      <c r="A1216" t="s">
        <v>1499</v>
      </c>
      <c r="B1216" t="s">
        <v>210</v>
      </c>
      <c r="C1216" t="s">
        <v>90</v>
      </c>
      <c r="D1216">
        <v>23</v>
      </c>
      <c r="E1216" t="s">
        <v>20</v>
      </c>
      <c r="F1216" t="s">
        <v>23</v>
      </c>
      <c r="G1216" t="s">
        <v>123</v>
      </c>
      <c r="H1216">
        <v>30</v>
      </c>
      <c r="I1216" t="s">
        <v>14</v>
      </c>
      <c r="J1216" t="str">
        <f>_xlfn.XLOOKUP(C1216,'product_masterlist(ifs)'!A:A,'product_masterlist(ifs)'!C:C,"N/A",0)</f>
        <v>Frames</v>
      </c>
      <c r="K1216">
        <f>VLOOKUP(C1216,'product_masterlist(ifs)'!A:I,7,FALSE)</f>
        <v>180</v>
      </c>
    </row>
    <row r="1217" spans="1:11" x14ac:dyDescent="0.35">
      <c r="A1217" t="s">
        <v>1500</v>
      </c>
      <c r="B1217" s="1">
        <v>45972</v>
      </c>
      <c r="C1217" t="s">
        <v>90</v>
      </c>
      <c r="D1217">
        <v>21</v>
      </c>
      <c r="E1217" t="s">
        <v>20</v>
      </c>
      <c r="F1217" t="s">
        <v>13</v>
      </c>
      <c r="G1217" t="s">
        <v>120</v>
      </c>
      <c r="H1217">
        <v>30</v>
      </c>
      <c r="I1217" t="s">
        <v>14</v>
      </c>
      <c r="J1217" t="str">
        <f>_xlfn.XLOOKUP(C1217,'product_masterlist(ifs)'!A:A,'product_masterlist(ifs)'!C:C,"N/A",0)</f>
        <v>Frames</v>
      </c>
      <c r="K1217">
        <f>VLOOKUP(C1217,'product_masterlist(ifs)'!A:I,7,FALSE)</f>
        <v>180</v>
      </c>
    </row>
    <row r="1218" spans="1:11" x14ac:dyDescent="0.35">
      <c r="A1218" t="s">
        <v>1501</v>
      </c>
      <c r="B1218" t="s">
        <v>302</v>
      </c>
      <c r="C1218" t="s">
        <v>53</v>
      </c>
      <c r="D1218">
        <v>14</v>
      </c>
      <c r="E1218" t="s">
        <v>37</v>
      </c>
      <c r="F1218" t="s">
        <v>31</v>
      </c>
      <c r="G1218" t="s">
        <v>228</v>
      </c>
      <c r="H1218">
        <v>7</v>
      </c>
      <c r="I1218" t="s">
        <v>28</v>
      </c>
      <c r="J1218" t="str">
        <f>_xlfn.XLOOKUP(C1218,'product_masterlist(ifs)'!A:A,'product_masterlist(ifs)'!C:C,"N/A",0)</f>
        <v>Solutions</v>
      </c>
      <c r="K1218">
        <f>VLOOKUP(C1218,'product_masterlist(ifs)'!A:I,7,FALSE)</f>
        <v>800</v>
      </c>
    </row>
    <row r="1219" spans="1:11" x14ac:dyDescent="0.35">
      <c r="A1219" t="s">
        <v>1502</v>
      </c>
      <c r="B1219" t="s">
        <v>345</v>
      </c>
      <c r="C1219" t="s">
        <v>11</v>
      </c>
      <c r="D1219">
        <v>12</v>
      </c>
      <c r="E1219" t="s">
        <v>37</v>
      </c>
      <c r="F1219" t="s">
        <v>18</v>
      </c>
      <c r="G1219">
        <v>1020</v>
      </c>
      <c r="H1219">
        <v>30</v>
      </c>
      <c r="I1219" t="s">
        <v>14</v>
      </c>
      <c r="J1219" t="str">
        <f>_xlfn.XLOOKUP(C1219,'product_masterlist(ifs)'!A:A,'product_masterlist(ifs)'!C:C,"N/A",0)</f>
        <v>Surgical</v>
      </c>
      <c r="K1219">
        <f>VLOOKUP(C1219,'product_masterlist(ifs)'!A:I,7,FALSE)</f>
        <v>40</v>
      </c>
    </row>
    <row r="1220" spans="1:11" x14ac:dyDescent="0.35">
      <c r="A1220" t="s">
        <v>1503</v>
      </c>
      <c r="B1220" s="1">
        <v>45752</v>
      </c>
      <c r="C1220" t="s">
        <v>90</v>
      </c>
      <c r="D1220">
        <v>13</v>
      </c>
      <c r="E1220" t="s">
        <v>37</v>
      </c>
      <c r="F1220" t="s">
        <v>13</v>
      </c>
      <c r="G1220" t="s">
        <v>262</v>
      </c>
      <c r="H1220">
        <v>30</v>
      </c>
      <c r="I1220" t="s">
        <v>14</v>
      </c>
      <c r="J1220" t="str">
        <f>_xlfn.XLOOKUP(C1220,'product_masterlist(ifs)'!A:A,'product_masterlist(ifs)'!C:C,"N/A",0)</f>
        <v>Frames</v>
      </c>
      <c r="K1220">
        <f>VLOOKUP(C1220,'product_masterlist(ifs)'!A:I,7,FALSE)</f>
        <v>180</v>
      </c>
    </row>
    <row r="1221" spans="1:11" x14ac:dyDescent="0.35">
      <c r="A1221" t="s">
        <v>1504</v>
      </c>
      <c r="B1221" s="1">
        <v>45759</v>
      </c>
      <c r="C1221" t="s">
        <v>42</v>
      </c>
      <c r="D1221">
        <v>6</v>
      </c>
      <c r="E1221" t="s">
        <v>37</v>
      </c>
      <c r="F1221" t="s">
        <v>31</v>
      </c>
      <c r="G1221">
        <v>150</v>
      </c>
      <c r="H1221">
        <v>21</v>
      </c>
      <c r="I1221" t="s">
        <v>14</v>
      </c>
      <c r="J1221" t="str">
        <f>_xlfn.XLOOKUP(C1221,'product_masterlist(ifs)'!A:A,'product_masterlist(ifs)'!C:C,"N/A",0)</f>
        <v>Contact Lenses</v>
      </c>
      <c r="K1221">
        <f>VLOOKUP(C1221,'product_masterlist(ifs)'!A:I,7,FALSE)</f>
        <v>120</v>
      </c>
    </row>
    <row r="1222" spans="1:11" x14ac:dyDescent="0.35">
      <c r="A1222" t="s">
        <v>1505</v>
      </c>
      <c r="B1222" t="s">
        <v>105</v>
      </c>
      <c r="C1222" t="s">
        <v>26</v>
      </c>
      <c r="D1222">
        <v>16</v>
      </c>
      <c r="E1222" t="s">
        <v>20</v>
      </c>
      <c r="F1222" t="s">
        <v>18</v>
      </c>
      <c r="G1222">
        <v>200</v>
      </c>
      <c r="H1222">
        <v>14</v>
      </c>
      <c r="I1222" t="s">
        <v>28</v>
      </c>
      <c r="J1222" t="str">
        <f>_xlfn.XLOOKUP(C1222,'product_masterlist(ifs)'!A:A,'product_masterlist(ifs)'!C:C,"N/A",0)</f>
        <v>Contact Lenses</v>
      </c>
      <c r="K1222">
        <f>VLOOKUP(C1222,'product_masterlist(ifs)'!A:I,7,FALSE)</f>
        <v>450</v>
      </c>
    </row>
    <row r="1223" spans="1:11" x14ac:dyDescent="0.35">
      <c r="A1223" t="s">
        <v>1506</v>
      </c>
      <c r="B1223" s="1">
        <v>45784</v>
      </c>
      <c r="C1223" t="s">
        <v>90</v>
      </c>
      <c r="D1223">
        <v>3</v>
      </c>
      <c r="E1223" t="s">
        <v>37</v>
      </c>
      <c r="F1223" t="s">
        <v>18</v>
      </c>
      <c r="G1223" t="s">
        <v>375</v>
      </c>
      <c r="H1223">
        <v>30</v>
      </c>
      <c r="I1223" t="s">
        <v>14</v>
      </c>
      <c r="J1223" t="str">
        <f>_xlfn.XLOOKUP(C1223,'product_masterlist(ifs)'!A:A,'product_masterlist(ifs)'!C:C,"N/A",0)</f>
        <v>Frames</v>
      </c>
      <c r="K1223">
        <f>VLOOKUP(C1223,'product_masterlist(ifs)'!A:I,7,FALSE)</f>
        <v>180</v>
      </c>
    </row>
    <row r="1224" spans="1:11" x14ac:dyDescent="0.35">
      <c r="A1224" t="s">
        <v>1507</v>
      </c>
      <c r="B1224" s="1">
        <v>45813</v>
      </c>
      <c r="C1224" t="s">
        <v>42</v>
      </c>
      <c r="D1224">
        <v>8</v>
      </c>
      <c r="E1224" t="s">
        <v>22</v>
      </c>
      <c r="F1224" t="s">
        <v>13</v>
      </c>
      <c r="G1224">
        <v>200</v>
      </c>
      <c r="H1224">
        <v>21</v>
      </c>
      <c r="I1224" t="s">
        <v>14</v>
      </c>
      <c r="J1224" t="str">
        <f>_xlfn.XLOOKUP(C1224,'product_masterlist(ifs)'!A:A,'product_masterlist(ifs)'!C:C,"N/A",0)</f>
        <v>Contact Lenses</v>
      </c>
      <c r="K1224">
        <f>VLOOKUP(C1224,'product_masterlist(ifs)'!A:I,7,FALSE)</f>
        <v>120</v>
      </c>
    </row>
    <row r="1225" spans="1:11" x14ac:dyDescent="0.35">
      <c r="A1225" t="s">
        <v>1508</v>
      </c>
      <c r="B1225" s="1">
        <v>45697</v>
      </c>
      <c r="C1225" t="s">
        <v>11</v>
      </c>
      <c r="D1225">
        <v>5</v>
      </c>
      <c r="E1225" t="s">
        <v>22</v>
      </c>
      <c r="F1225" t="s">
        <v>18</v>
      </c>
      <c r="G1225">
        <v>425</v>
      </c>
      <c r="H1225">
        <v>30</v>
      </c>
      <c r="I1225" t="s">
        <v>14</v>
      </c>
      <c r="J1225" t="str">
        <f>_xlfn.XLOOKUP(C1225,'product_masterlist(ifs)'!A:A,'product_masterlist(ifs)'!C:C,"N/A",0)</f>
        <v>Surgical</v>
      </c>
      <c r="K1225">
        <f>VLOOKUP(C1225,'product_masterlist(ifs)'!A:I,7,FALSE)</f>
        <v>40</v>
      </c>
    </row>
    <row r="1226" spans="1:11" x14ac:dyDescent="0.35">
      <c r="A1226" t="s">
        <v>1509</v>
      </c>
      <c r="B1226" t="s">
        <v>584</v>
      </c>
      <c r="C1226" t="s">
        <v>17</v>
      </c>
      <c r="D1226">
        <v>1</v>
      </c>
      <c r="E1226" t="s">
        <v>37</v>
      </c>
      <c r="F1226" t="s">
        <v>13</v>
      </c>
      <c r="G1226">
        <v>45</v>
      </c>
      <c r="H1226">
        <v>30</v>
      </c>
      <c r="I1226" t="s">
        <v>14</v>
      </c>
      <c r="J1226" t="str">
        <f>_xlfn.XLOOKUP(C1226,'product_masterlist(ifs)'!A:A,'product_masterlist(ifs)'!C:C,"N/A",0)</f>
        <v>Frames</v>
      </c>
      <c r="K1226">
        <f>VLOOKUP(C1226,'product_masterlist(ifs)'!A:I,7,FALSE)</f>
        <v>45</v>
      </c>
    </row>
    <row r="1227" spans="1:11" x14ac:dyDescent="0.35">
      <c r="A1227" t="s">
        <v>1510</v>
      </c>
      <c r="B1227" t="s">
        <v>660</v>
      </c>
      <c r="C1227" t="s">
        <v>26</v>
      </c>
      <c r="D1227">
        <v>21</v>
      </c>
      <c r="E1227" t="s">
        <v>22</v>
      </c>
      <c r="F1227" t="s">
        <v>31</v>
      </c>
      <c r="G1227" t="s">
        <v>366</v>
      </c>
      <c r="H1227">
        <v>14</v>
      </c>
      <c r="I1227" t="s">
        <v>28</v>
      </c>
      <c r="J1227" t="str">
        <f>_xlfn.XLOOKUP(C1227,'product_masterlist(ifs)'!A:A,'product_masterlist(ifs)'!C:C,"N/A",0)</f>
        <v>Contact Lenses</v>
      </c>
      <c r="K1227">
        <f>VLOOKUP(C1227,'product_masterlist(ifs)'!A:I,7,FALSE)</f>
        <v>450</v>
      </c>
    </row>
    <row r="1228" spans="1:11" x14ac:dyDescent="0.35">
      <c r="A1228" t="s">
        <v>1511</v>
      </c>
      <c r="B1228" t="s">
        <v>25</v>
      </c>
      <c r="C1228" t="s">
        <v>11</v>
      </c>
      <c r="D1228">
        <v>8</v>
      </c>
      <c r="E1228" t="s">
        <v>37</v>
      </c>
      <c r="F1228" t="s">
        <v>31</v>
      </c>
      <c r="G1228">
        <v>680</v>
      </c>
      <c r="H1228">
        <v>30</v>
      </c>
      <c r="I1228" t="s">
        <v>14</v>
      </c>
      <c r="J1228" t="str">
        <f>_xlfn.XLOOKUP(C1228,'product_masterlist(ifs)'!A:A,'product_masterlist(ifs)'!C:C,"N/A",0)</f>
        <v>Surgical</v>
      </c>
      <c r="K1228">
        <f>VLOOKUP(C1228,'product_masterlist(ifs)'!A:I,7,FALSE)</f>
        <v>40</v>
      </c>
    </row>
    <row r="1229" spans="1:11" x14ac:dyDescent="0.35">
      <c r="A1229" t="s">
        <v>1512</v>
      </c>
      <c r="B1229" t="s">
        <v>448</v>
      </c>
      <c r="C1229" t="s">
        <v>90</v>
      </c>
      <c r="D1229">
        <v>1</v>
      </c>
      <c r="E1229" t="s">
        <v>12</v>
      </c>
      <c r="F1229" t="s">
        <v>18</v>
      </c>
      <c r="G1229" t="s">
        <v>109</v>
      </c>
      <c r="H1229">
        <v>30</v>
      </c>
      <c r="I1229" t="s">
        <v>14</v>
      </c>
      <c r="J1229" t="str">
        <f>_xlfn.XLOOKUP(C1229,'product_masterlist(ifs)'!A:A,'product_masterlist(ifs)'!C:C,"N/A",0)</f>
        <v>Frames</v>
      </c>
      <c r="K1229">
        <f>VLOOKUP(C1229,'product_masterlist(ifs)'!A:I,7,FALSE)</f>
        <v>180</v>
      </c>
    </row>
    <row r="1230" spans="1:11" x14ac:dyDescent="0.35">
      <c r="A1230" t="s">
        <v>1513</v>
      </c>
      <c r="B1230" t="s">
        <v>967</v>
      </c>
      <c r="C1230" t="s">
        <v>42</v>
      </c>
      <c r="D1230">
        <v>8</v>
      </c>
      <c r="E1230" t="s">
        <v>22</v>
      </c>
      <c r="F1230" t="s">
        <v>18</v>
      </c>
      <c r="G1230">
        <v>200</v>
      </c>
      <c r="H1230">
        <v>21</v>
      </c>
      <c r="I1230" t="s">
        <v>14</v>
      </c>
      <c r="J1230" t="str">
        <f>_xlfn.XLOOKUP(C1230,'product_masterlist(ifs)'!A:A,'product_masterlist(ifs)'!C:C,"N/A",0)</f>
        <v>Contact Lenses</v>
      </c>
      <c r="K1230">
        <f>VLOOKUP(C1230,'product_masterlist(ifs)'!A:I,7,FALSE)</f>
        <v>120</v>
      </c>
    </row>
    <row r="1231" spans="1:11" x14ac:dyDescent="0.35">
      <c r="A1231" t="s">
        <v>1514</v>
      </c>
      <c r="B1231" t="s">
        <v>567</v>
      </c>
      <c r="C1231" t="s">
        <v>26</v>
      </c>
      <c r="D1231">
        <v>24</v>
      </c>
      <c r="E1231" t="s">
        <v>12</v>
      </c>
      <c r="F1231" t="s">
        <v>13</v>
      </c>
      <c r="G1231">
        <v>300</v>
      </c>
      <c r="H1231">
        <v>14</v>
      </c>
      <c r="I1231" t="s">
        <v>28</v>
      </c>
      <c r="J1231" t="str">
        <f>_xlfn.XLOOKUP(C1231,'product_masterlist(ifs)'!A:A,'product_masterlist(ifs)'!C:C,"N/A",0)</f>
        <v>Contact Lenses</v>
      </c>
      <c r="K1231">
        <f>VLOOKUP(C1231,'product_masterlist(ifs)'!A:I,7,FALSE)</f>
        <v>450</v>
      </c>
    </row>
    <row r="1232" spans="1:11" x14ac:dyDescent="0.35">
      <c r="A1232" t="s">
        <v>1515</v>
      </c>
      <c r="B1232" s="1">
        <v>45906</v>
      </c>
      <c r="C1232" t="s">
        <v>26</v>
      </c>
      <c r="D1232">
        <v>16</v>
      </c>
      <c r="E1232" t="s">
        <v>22</v>
      </c>
      <c r="F1232" t="s">
        <v>13</v>
      </c>
      <c r="G1232">
        <v>200</v>
      </c>
      <c r="H1232">
        <v>14</v>
      </c>
      <c r="I1232" t="s">
        <v>28</v>
      </c>
      <c r="J1232" t="str">
        <f>_xlfn.XLOOKUP(C1232,'product_masterlist(ifs)'!A:A,'product_masterlist(ifs)'!C:C,"N/A",0)</f>
        <v>Contact Lenses</v>
      </c>
      <c r="K1232">
        <f>VLOOKUP(C1232,'product_masterlist(ifs)'!A:I,7,FALSE)</f>
        <v>450</v>
      </c>
    </row>
    <row r="1233" spans="1:11" x14ac:dyDescent="0.35">
      <c r="A1233" t="s">
        <v>1516</v>
      </c>
      <c r="B1233" t="s">
        <v>205</v>
      </c>
      <c r="C1233" t="s">
        <v>42</v>
      </c>
      <c r="D1233">
        <v>15</v>
      </c>
      <c r="E1233" t="s">
        <v>37</v>
      </c>
      <c r="F1233" t="s">
        <v>13</v>
      </c>
      <c r="G1233">
        <v>375</v>
      </c>
      <c r="H1233">
        <v>21</v>
      </c>
      <c r="I1233" t="s">
        <v>14</v>
      </c>
      <c r="J1233" t="str">
        <f>_xlfn.XLOOKUP(C1233,'product_masterlist(ifs)'!A:A,'product_masterlist(ifs)'!C:C,"N/A",0)</f>
        <v>Contact Lenses</v>
      </c>
      <c r="K1233">
        <f>VLOOKUP(C1233,'product_masterlist(ifs)'!A:I,7,FALSE)</f>
        <v>120</v>
      </c>
    </row>
    <row r="1234" spans="1:11" x14ac:dyDescent="0.35">
      <c r="A1234" t="s">
        <v>1517</v>
      </c>
      <c r="B1234" t="s">
        <v>567</v>
      </c>
      <c r="C1234" t="s">
        <v>53</v>
      </c>
      <c r="D1234">
        <v>2</v>
      </c>
      <c r="E1234" t="s">
        <v>37</v>
      </c>
      <c r="F1234" t="s">
        <v>31</v>
      </c>
      <c r="G1234" t="s">
        <v>291</v>
      </c>
      <c r="H1234">
        <v>7</v>
      </c>
      <c r="I1234" t="s">
        <v>28</v>
      </c>
      <c r="J1234" t="str">
        <f>_xlfn.XLOOKUP(C1234,'product_masterlist(ifs)'!A:A,'product_masterlist(ifs)'!C:C,"N/A",0)</f>
        <v>Solutions</v>
      </c>
      <c r="K1234">
        <f>VLOOKUP(C1234,'product_masterlist(ifs)'!A:I,7,FALSE)</f>
        <v>800</v>
      </c>
    </row>
    <row r="1235" spans="1:11" x14ac:dyDescent="0.35">
      <c r="A1235" t="s">
        <v>1518</v>
      </c>
      <c r="B1235" s="1">
        <v>45881</v>
      </c>
      <c r="C1235" t="s">
        <v>53</v>
      </c>
      <c r="D1235">
        <v>7</v>
      </c>
      <c r="E1235" t="s">
        <v>12</v>
      </c>
      <c r="F1235" t="s">
        <v>31</v>
      </c>
      <c r="G1235" t="s">
        <v>320</v>
      </c>
      <c r="H1235">
        <v>7</v>
      </c>
      <c r="I1235" t="s">
        <v>28</v>
      </c>
      <c r="J1235" t="str">
        <f>_xlfn.XLOOKUP(C1235,'product_masterlist(ifs)'!A:A,'product_masterlist(ifs)'!C:C,"N/A",0)</f>
        <v>Solutions</v>
      </c>
      <c r="K1235">
        <f>VLOOKUP(C1235,'product_masterlist(ifs)'!A:I,7,FALSE)</f>
        <v>800</v>
      </c>
    </row>
    <row r="1236" spans="1:11" x14ac:dyDescent="0.35">
      <c r="A1236" t="s">
        <v>1519</v>
      </c>
      <c r="B1236" t="s">
        <v>567</v>
      </c>
      <c r="C1236" t="s">
        <v>26</v>
      </c>
      <c r="D1236">
        <v>2</v>
      </c>
      <c r="E1236" t="s">
        <v>37</v>
      </c>
      <c r="F1236" t="s">
        <v>18</v>
      </c>
      <c r="G1236">
        <v>25</v>
      </c>
      <c r="H1236">
        <v>14</v>
      </c>
      <c r="I1236" t="s">
        <v>28</v>
      </c>
      <c r="J1236" t="str">
        <f>_xlfn.XLOOKUP(C1236,'product_masterlist(ifs)'!A:A,'product_masterlist(ifs)'!C:C,"N/A",0)</f>
        <v>Contact Lenses</v>
      </c>
      <c r="K1236">
        <f>VLOOKUP(C1236,'product_masterlist(ifs)'!A:I,7,FALSE)</f>
        <v>450</v>
      </c>
    </row>
    <row r="1237" spans="1:11" x14ac:dyDescent="0.35">
      <c r="A1237" t="s">
        <v>1520</v>
      </c>
      <c r="B1237" t="s">
        <v>381</v>
      </c>
      <c r="C1237" t="s">
        <v>26</v>
      </c>
      <c r="D1237">
        <v>10</v>
      </c>
      <c r="E1237" t="s">
        <v>12</v>
      </c>
      <c r="F1237" t="s">
        <v>31</v>
      </c>
      <c r="G1237">
        <v>125</v>
      </c>
      <c r="H1237">
        <v>14</v>
      </c>
      <c r="I1237" t="s">
        <v>28</v>
      </c>
      <c r="J1237" t="str">
        <f>_xlfn.XLOOKUP(C1237,'product_masterlist(ifs)'!A:A,'product_masterlist(ifs)'!C:C,"N/A",0)</f>
        <v>Contact Lenses</v>
      </c>
      <c r="K1237">
        <f>VLOOKUP(C1237,'product_masterlist(ifs)'!A:I,7,FALSE)</f>
        <v>450</v>
      </c>
    </row>
    <row r="1238" spans="1:11" x14ac:dyDescent="0.35">
      <c r="A1238" t="s">
        <v>1521</v>
      </c>
      <c r="B1238" s="1">
        <v>45970</v>
      </c>
      <c r="C1238" t="s">
        <v>26</v>
      </c>
      <c r="D1238">
        <v>22</v>
      </c>
      <c r="E1238" t="s">
        <v>12</v>
      </c>
      <c r="F1238" t="s">
        <v>18</v>
      </c>
      <c r="G1238">
        <v>275</v>
      </c>
      <c r="H1238">
        <v>14</v>
      </c>
      <c r="I1238" t="s">
        <v>28</v>
      </c>
      <c r="J1238" t="str">
        <f>_xlfn.XLOOKUP(C1238,'product_masterlist(ifs)'!A:A,'product_masterlist(ifs)'!C:C,"N/A",0)</f>
        <v>Contact Lenses</v>
      </c>
      <c r="K1238">
        <f>VLOOKUP(C1238,'product_masterlist(ifs)'!A:I,7,FALSE)</f>
        <v>450</v>
      </c>
    </row>
    <row r="1239" spans="1:11" x14ac:dyDescent="0.35">
      <c r="A1239" t="s">
        <v>1522</v>
      </c>
      <c r="B1239" t="s">
        <v>293</v>
      </c>
      <c r="C1239" t="s">
        <v>33</v>
      </c>
      <c r="D1239">
        <v>2</v>
      </c>
      <c r="E1239" t="s">
        <v>22</v>
      </c>
      <c r="F1239" t="s">
        <v>13</v>
      </c>
      <c r="G1239">
        <v>300</v>
      </c>
      <c r="H1239">
        <v>45</v>
      </c>
      <c r="I1239" t="s">
        <v>34</v>
      </c>
      <c r="J1239" t="str">
        <f>_xlfn.XLOOKUP(C1239,'product_masterlist(ifs)'!A:A,'product_masterlist(ifs)'!C:C,"N/A",0)</f>
        <v>Surgical</v>
      </c>
      <c r="K1239">
        <f>VLOOKUP(C1239,'product_masterlist(ifs)'!A:I,7,FALSE)</f>
        <v>15</v>
      </c>
    </row>
    <row r="1240" spans="1:11" x14ac:dyDescent="0.35">
      <c r="A1240" t="s">
        <v>1523</v>
      </c>
      <c r="B1240" t="s">
        <v>58</v>
      </c>
      <c r="C1240" t="s">
        <v>26</v>
      </c>
      <c r="D1240">
        <v>22</v>
      </c>
      <c r="E1240" t="s">
        <v>20</v>
      </c>
      <c r="F1240" t="s">
        <v>13</v>
      </c>
      <c r="G1240">
        <v>275</v>
      </c>
      <c r="H1240">
        <v>14</v>
      </c>
      <c r="I1240" t="s">
        <v>28</v>
      </c>
      <c r="J1240" t="str">
        <f>_xlfn.XLOOKUP(C1240,'product_masterlist(ifs)'!A:A,'product_masterlist(ifs)'!C:C,"N/A",0)</f>
        <v>Contact Lenses</v>
      </c>
      <c r="K1240">
        <f>VLOOKUP(C1240,'product_masterlist(ifs)'!A:I,7,FALSE)</f>
        <v>450</v>
      </c>
    </row>
    <row r="1241" spans="1:11" x14ac:dyDescent="0.35">
      <c r="A1241" t="s">
        <v>1524</v>
      </c>
      <c r="B1241" t="s">
        <v>208</v>
      </c>
      <c r="C1241" t="s">
        <v>11</v>
      </c>
      <c r="D1241">
        <v>21</v>
      </c>
      <c r="E1241" t="s">
        <v>22</v>
      </c>
      <c r="F1241" t="s">
        <v>31</v>
      </c>
      <c r="G1241">
        <v>1785</v>
      </c>
      <c r="H1241">
        <v>30</v>
      </c>
      <c r="I1241" t="s">
        <v>14</v>
      </c>
      <c r="J1241" t="str">
        <f>_xlfn.XLOOKUP(C1241,'product_masterlist(ifs)'!A:A,'product_masterlist(ifs)'!C:C,"N/A",0)</f>
        <v>Surgical</v>
      </c>
      <c r="K1241">
        <f>VLOOKUP(C1241,'product_masterlist(ifs)'!A:I,7,FALSE)</f>
        <v>40</v>
      </c>
    </row>
    <row r="1242" spans="1:11" x14ac:dyDescent="0.35">
      <c r="A1242" t="s">
        <v>1525</v>
      </c>
      <c r="B1242" s="1">
        <v>45908</v>
      </c>
      <c r="C1242" t="s">
        <v>11</v>
      </c>
      <c r="D1242">
        <v>3</v>
      </c>
      <c r="E1242" t="s">
        <v>37</v>
      </c>
      <c r="F1242" t="s">
        <v>31</v>
      </c>
      <c r="G1242">
        <v>255</v>
      </c>
      <c r="H1242">
        <v>30</v>
      </c>
      <c r="I1242" t="s">
        <v>14</v>
      </c>
      <c r="J1242" t="str">
        <f>_xlfn.XLOOKUP(C1242,'product_masterlist(ifs)'!A:A,'product_masterlist(ifs)'!C:C,"N/A",0)</f>
        <v>Surgical</v>
      </c>
      <c r="K1242">
        <f>VLOOKUP(C1242,'product_masterlist(ifs)'!A:I,7,FALSE)</f>
        <v>40</v>
      </c>
    </row>
    <row r="1243" spans="1:11" x14ac:dyDescent="0.35">
      <c r="A1243" t="s">
        <v>1526</v>
      </c>
      <c r="B1243" s="1">
        <v>45966</v>
      </c>
      <c r="C1243" t="s">
        <v>42</v>
      </c>
      <c r="D1243">
        <v>5</v>
      </c>
      <c r="E1243" t="s">
        <v>22</v>
      </c>
      <c r="F1243" t="s">
        <v>23</v>
      </c>
      <c r="G1243">
        <v>125</v>
      </c>
      <c r="H1243">
        <v>21</v>
      </c>
      <c r="I1243" t="s">
        <v>14</v>
      </c>
      <c r="J1243" t="str">
        <f>_xlfn.XLOOKUP(C1243,'product_masterlist(ifs)'!A:A,'product_masterlist(ifs)'!C:C,"N/A",0)</f>
        <v>Contact Lenses</v>
      </c>
      <c r="K1243">
        <f>VLOOKUP(C1243,'product_masterlist(ifs)'!A:I,7,FALSE)</f>
        <v>120</v>
      </c>
    </row>
    <row r="1244" spans="1:11" x14ac:dyDescent="0.35">
      <c r="A1244" t="s">
        <v>1527</v>
      </c>
      <c r="B1244" s="1">
        <v>45905</v>
      </c>
      <c r="C1244" t="s">
        <v>90</v>
      </c>
      <c r="D1244">
        <v>10</v>
      </c>
      <c r="E1244" t="s">
        <v>12</v>
      </c>
      <c r="F1244" t="s">
        <v>23</v>
      </c>
      <c r="G1244">
        <v>485</v>
      </c>
      <c r="H1244">
        <v>30</v>
      </c>
      <c r="I1244" t="s">
        <v>14</v>
      </c>
      <c r="J1244" t="str">
        <f>_xlfn.XLOOKUP(C1244,'product_masterlist(ifs)'!A:A,'product_masterlist(ifs)'!C:C,"N/A",0)</f>
        <v>Frames</v>
      </c>
      <c r="K1244">
        <f>VLOOKUP(C1244,'product_masterlist(ifs)'!A:I,7,FALSE)</f>
        <v>180</v>
      </c>
    </row>
    <row r="1245" spans="1:11" x14ac:dyDescent="0.35">
      <c r="A1245" t="s">
        <v>1528</v>
      </c>
      <c r="B1245" t="s">
        <v>1529</v>
      </c>
      <c r="C1245" t="s">
        <v>90</v>
      </c>
      <c r="D1245">
        <v>3</v>
      </c>
      <c r="E1245" t="s">
        <v>12</v>
      </c>
      <c r="F1245" t="s">
        <v>13</v>
      </c>
      <c r="G1245" t="s">
        <v>375</v>
      </c>
      <c r="H1245">
        <v>30</v>
      </c>
      <c r="I1245" t="s">
        <v>14</v>
      </c>
      <c r="J1245" t="str">
        <f>_xlfn.XLOOKUP(C1245,'product_masterlist(ifs)'!A:A,'product_masterlist(ifs)'!C:C,"N/A",0)</f>
        <v>Frames</v>
      </c>
      <c r="K1245">
        <f>VLOOKUP(C1245,'product_masterlist(ifs)'!A:I,7,FALSE)</f>
        <v>180</v>
      </c>
    </row>
    <row r="1246" spans="1:11" x14ac:dyDescent="0.35">
      <c r="A1246" t="s">
        <v>1530</v>
      </c>
      <c r="B1246" s="1">
        <v>45876</v>
      </c>
      <c r="C1246" t="s">
        <v>53</v>
      </c>
      <c r="D1246">
        <v>8</v>
      </c>
      <c r="E1246" t="s">
        <v>12</v>
      </c>
      <c r="F1246" t="s">
        <v>23</v>
      </c>
      <c r="G1246">
        <v>34</v>
      </c>
      <c r="H1246">
        <v>7</v>
      </c>
      <c r="I1246" t="s">
        <v>28</v>
      </c>
      <c r="J1246" t="str">
        <f>_xlfn.XLOOKUP(C1246,'product_masterlist(ifs)'!A:A,'product_masterlist(ifs)'!C:C,"N/A",0)</f>
        <v>Solutions</v>
      </c>
      <c r="K1246">
        <f>VLOOKUP(C1246,'product_masterlist(ifs)'!A:I,7,FALSE)</f>
        <v>800</v>
      </c>
    </row>
    <row r="1247" spans="1:11" x14ac:dyDescent="0.35">
      <c r="A1247" t="s">
        <v>1531</v>
      </c>
      <c r="B1247" s="1">
        <v>45967</v>
      </c>
      <c r="C1247" t="s">
        <v>17</v>
      </c>
      <c r="D1247">
        <v>14</v>
      </c>
      <c r="E1247" t="s">
        <v>12</v>
      </c>
      <c r="F1247" t="s">
        <v>18</v>
      </c>
      <c r="G1247">
        <v>630</v>
      </c>
      <c r="H1247">
        <v>30</v>
      </c>
      <c r="I1247" t="s">
        <v>14</v>
      </c>
      <c r="J1247" t="str">
        <f>_xlfn.XLOOKUP(C1247,'product_masterlist(ifs)'!A:A,'product_masterlist(ifs)'!C:C,"N/A",0)</f>
        <v>Frames</v>
      </c>
      <c r="K1247">
        <f>VLOOKUP(C1247,'product_masterlist(ifs)'!A:I,7,FALSE)</f>
        <v>45</v>
      </c>
    </row>
    <row r="1248" spans="1:11" x14ac:dyDescent="0.35">
      <c r="A1248" t="s">
        <v>1532</v>
      </c>
      <c r="B1248" s="1">
        <v>45939</v>
      </c>
      <c r="C1248" t="s">
        <v>11</v>
      </c>
      <c r="D1248">
        <v>10</v>
      </c>
      <c r="E1248" t="s">
        <v>22</v>
      </c>
      <c r="F1248" t="s">
        <v>13</v>
      </c>
      <c r="G1248">
        <v>850</v>
      </c>
      <c r="H1248">
        <v>30</v>
      </c>
      <c r="I1248" t="s">
        <v>14</v>
      </c>
      <c r="J1248" t="str">
        <f>_xlfn.XLOOKUP(C1248,'product_masterlist(ifs)'!A:A,'product_masterlist(ifs)'!C:C,"N/A",0)</f>
        <v>Surgical</v>
      </c>
      <c r="K1248">
        <f>VLOOKUP(C1248,'product_masterlist(ifs)'!A:I,7,FALSE)</f>
        <v>40</v>
      </c>
    </row>
    <row r="1249" spans="1:11" x14ac:dyDescent="0.35">
      <c r="A1249" t="s">
        <v>1533</v>
      </c>
      <c r="B1249" t="s">
        <v>146</v>
      </c>
      <c r="C1249" t="s">
        <v>17</v>
      </c>
      <c r="D1249">
        <v>1</v>
      </c>
      <c r="E1249" t="s">
        <v>12</v>
      </c>
      <c r="F1249" t="s">
        <v>13</v>
      </c>
      <c r="G1249">
        <v>45</v>
      </c>
      <c r="H1249">
        <v>30</v>
      </c>
      <c r="I1249" t="s">
        <v>14</v>
      </c>
      <c r="J1249" t="str">
        <f>_xlfn.XLOOKUP(C1249,'product_masterlist(ifs)'!A:A,'product_masterlist(ifs)'!C:C,"N/A",0)</f>
        <v>Frames</v>
      </c>
      <c r="K1249">
        <f>VLOOKUP(C1249,'product_masterlist(ifs)'!A:I,7,FALSE)</f>
        <v>45</v>
      </c>
    </row>
    <row r="1250" spans="1:11" x14ac:dyDescent="0.35">
      <c r="A1250" t="s">
        <v>1534</v>
      </c>
      <c r="B1250" t="s">
        <v>588</v>
      </c>
      <c r="C1250" t="s">
        <v>42</v>
      </c>
      <c r="D1250">
        <v>15</v>
      </c>
      <c r="E1250" t="s">
        <v>12</v>
      </c>
      <c r="F1250" t="s">
        <v>31</v>
      </c>
      <c r="G1250">
        <v>375</v>
      </c>
      <c r="H1250">
        <v>21</v>
      </c>
      <c r="I1250" t="s">
        <v>14</v>
      </c>
      <c r="J1250" t="str">
        <f>_xlfn.XLOOKUP(C1250,'product_masterlist(ifs)'!A:A,'product_masterlist(ifs)'!C:C,"N/A",0)</f>
        <v>Contact Lenses</v>
      </c>
      <c r="K1250">
        <f>VLOOKUP(C1250,'product_masterlist(ifs)'!A:I,7,FALSE)</f>
        <v>120</v>
      </c>
    </row>
    <row r="1251" spans="1:11" x14ac:dyDescent="0.35">
      <c r="A1251" t="s">
        <v>1535</v>
      </c>
      <c r="B1251" t="s">
        <v>105</v>
      </c>
      <c r="C1251" t="s">
        <v>33</v>
      </c>
      <c r="D1251">
        <v>1</v>
      </c>
      <c r="E1251" t="s">
        <v>12</v>
      </c>
      <c r="F1251" t="s">
        <v>18</v>
      </c>
      <c r="G1251">
        <v>150</v>
      </c>
      <c r="H1251">
        <v>45</v>
      </c>
      <c r="I1251" t="s">
        <v>34</v>
      </c>
      <c r="J1251" t="str">
        <f>_xlfn.XLOOKUP(C1251,'product_masterlist(ifs)'!A:A,'product_masterlist(ifs)'!C:C,"N/A",0)</f>
        <v>Surgical</v>
      </c>
      <c r="K1251">
        <f>VLOOKUP(C1251,'product_masterlist(ifs)'!A:I,7,FALSE)</f>
        <v>15</v>
      </c>
    </row>
    <row r="1252" spans="1:11" x14ac:dyDescent="0.35">
      <c r="A1252" t="s">
        <v>1536</v>
      </c>
      <c r="B1252" s="1">
        <v>45906</v>
      </c>
      <c r="C1252" t="s">
        <v>26</v>
      </c>
      <c r="D1252">
        <v>2</v>
      </c>
      <c r="E1252" t="s">
        <v>20</v>
      </c>
      <c r="F1252" t="s">
        <v>13</v>
      </c>
      <c r="G1252">
        <v>25</v>
      </c>
      <c r="H1252">
        <v>14</v>
      </c>
      <c r="I1252" t="s">
        <v>28</v>
      </c>
      <c r="J1252" t="str">
        <f>_xlfn.XLOOKUP(C1252,'product_masterlist(ifs)'!A:A,'product_masterlist(ifs)'!C:C,"N/A",0)</f>
        <v>Contact Lenses</v>
      </c>
      <c r="K1252">
        <f>VLOOKUP(C1252,'product_masterlist(ifs)'!A:I,7,FALSE)</f>
        <v>450</v>
      </c>
    </row>
    <row r="1253" spans="1:11" x14ac:dyDescent="0.35">
      <c r="A1253" t="s">
        <v>1537</v>
      </c>
      <c r="B1253" t="s">
        <v>588</v>
      </c>
      <c r="C1253" t="s">
        <v>11</v>
      </c>
      <c r="D1253">
        <v>13</v>
      </c>
      <c r="E1253" t="s">
        <v>12</v>
      </c>
      <c r="F1253" t="s">
        <v>18</v>
      </c>
      <c r="G1253">
        <v>1105</v>
      </c>
      <c r="H1253">
        <v>30</v>
      </c>
      <c r="I1253" t="s">
        <v>14</v>
      </c>
      <c r="J1253" t="str">
        <f>_xlfn.XLOOKUP(C1253,'product_masterlist(ifs)'!A:A,'product_masterlist(ifs)'!C:C,"N/A",0)</f>
        <v>Surgical</v>
      </c>
      <c r="K1253">
        <f>VLOOKUP(C1253,'product_masterlist(ifs)'!A:I,7,FALSE)</f>
        <v>40</v>
      </c>
    </row>
    <row r="1254" spans="1:11" x14ac:dyDescent="0.35">
      <c r="A1254" t="s">
        <v>1538</v>
      </c>
      <c r="B1254" t="s">
        <v>1190</v>
      </c>
      <c r="C1254" t="s">
        <v>26</v>
      </c>
      <c r="D1254">
        <v>22</v>
      </c>
      <c r="E1254" t="s">
        <v>20</v>
      </c>
      <c r="F1254" t="s">
        <v>13</v>
      </c>
      <c r="G1254">
        <v>275</v>
      </c>
      <c r="H1254">
        <v>14</v>
      </c>
      <c r="I1254" t="s">
        <v>28</v>
      </c>
      <c r="J1254" t="str">
        <f>_xlfn.XLOOKUP(C1254,'product_masterlist(ifs)'!A:A,'product_masterlist(ifs)'!C:C,"N/A",0)</f>
        <v>Contact Lenses</v>
      </c>
      <c r="K1254">
        <f>VLOOKUP(C1254,'product_masterlist(ifs)'!A:I,7,FALSE)</f>
        <v>450</v>
      </c>
    </row>
    <row r="1255" spans="1:11" x14ac:dyDescent="0.35">
      <c r="A1255" t="s">
        <v>1539</v>
      </c>
      <c r="B1255" t="s">
        <v>122</v>
      </c>
      <c r="C1255" t="s">
        <v>26</v>
      </c>
      <c r="D1255">
        <v>16</v>
      </c>
      <c r="E1255" t="s">
        <v>20</v>
      </c>
      <c r="F1255" t="s">
        <v>13</v>
      </c>
      <c r="G1255">
        <v>200</v>
      </c>
      <c r="H1255">
        <v>14</v>
      </c>
      <c r="I1255" t="s">
        <v>28</v>
      </c>
      <c r="J1255" t="str">
        <f>_xlfn.XLOOKUP(C1255,'product_masterlist(ifs)'!A:A,'product_masterlist(ifs)'!C:C,"N/A",0)</f>
        <v>Contact Lenses</v>
      </c>
      <c r="K1255">
        <f>VLOOKUP(C1255,'product_masterlist(ifs)'!A:I,7,FALSE)</f>
        <v>450</v>
      </c>
    </row>
    <row r="1256" spans="1:11" x14ac:dyDescent="0.35">
      <c r="A1256" t="s">
        <v>1540</v>
      </c>
      <c r="B1256" t="s">
        <v>255</v>
      </c>
      <c r="C1256" t="s">
        <v>42</v>
      </c>
      <c r="D1256">
        <v>20</v>
      </c>
      <c r="E1256" t="s">
        <v>37</v>
      </c>
      <c r="F1256" t="s">
        <v>31</v>
      </c>
      <c r="G1256">
        <v>500</v>
      </c>
      <c r="H1256">
        <v>21</v>
      </c>
      <c r="I1256" t="s">
        <v>14</v>
      </c>
      <c r="J1256" t="str">
        <f>_xlfn.XLOOKUP(C1256,'product_masterlist(ifs)'!A:A,'product_masterlist(ifs)'!C:C,"N/A",0)</f>
        <v>Contact Lenses</v>
      </c>
      <c r="K1256">
        <f>VLOOKUP(C1256,'product_masterlist(ifs)'!A:I,7,FALSE)</f>
        <v>120</v>
      </c>
    </row>
    <row r="1257" spans="1:11" x14ac:dyDescent="0.35">
      <c r="A1257" t="s">
        <v>1541</v>
      </c>
      <c r="B1257" t="s">
        <v>345</v>
      </c>
      <c r="C1257" t="s">
        <v>33</v>
      </c>
      <c r="D1257">
        <v>5</v>
      </c>
      <c r="E1257" t="s">
        <v>22</v>
      </c>
      <c r="F1257" t="s">
        <v>31</v>
      </c>
      <c r="G1257">
        <v>750</v>
      </c>
      <c r="H1257">
        <v>45</v>
      </c>
      <c r="I1257" t="s">
        <v>34</v>
      </c>
      <c r="J1257" t="str">
        <f>_xlfn.XLOOKUP(C1257,'product_masterlist(ifs)'!A:A,'product_masterlist(ifs)'!C:C,"N/A",0)</f>
        <v>Surgical</v>
      </c>
      <c r="K1257">
        <f>VLOOKUP(C1257,'product_masterlist(ifs)'!A:I,7,FALSE)</f>
        <v>15</v>
      </c>
    </row>
    <row r="1258" spans="1:11" x14ac:dyDescent="0.35">
      <c r="A1258" t="s">
        <v>1542</v>
      </c>
      <c r="B1258" s="1">
        <v>45695</v>
      </c>
      <c r="C1258" t="s">
        <v>53</v>
      </c>
      <c r="D1258">
        <v>4</v>
      </c>
      <c r="E1258" t="s">
        <v>22</v>
      </c>
      <c r="F1258" t="s">
        <v>13</v>
      </c>
      <c r="G1258">
        <v>17</v>
      </c>
      <c r="H1258">
        <v>7</v>
      </c>
      <c r="I1258" t="s">
        <v>28</v>
      </c>
      <c r="J1258" t="str">
        <f>_xlfn.XLOOKUP(C1258,'product_masterlist(ifs)'!A:A,'product_masterlist(ifs)'!C:C,"N/A",0)</f>
        <v>Solutions</v>
      </c>
      <c r="K1258">
        <f>VLOOKUP(C1258,'product_masterlist(ifs)'!A:I,7,FALSE)</f>
        <v>800</v>
      </c>
    </row>
    <row r="1259" spans="1:11" x14ac:dyDescent="0.35">
      <c r="A1259" t="s">
        <v>1543</v>
      </c>
      <c r="B1259" s="1">
        <v>45727</v>
      </c>
      <c r="C1259" t="s">
        <v>90</v>
      </c>
      <c r="D1259">
        <v>20</v>
      </c>
      <c r="E1259" t="s">
        <v>37</v>
      </c>
      <c r="F1259" t="s">
        <v>23</v>
      </c>
      <c r="G1259">
        <v>970</v>
      </c>
      <c r="H1259">
        <v>30</v>
      </c>
      <c r="I1259" t="s">
        <v>14</v>
      </c>
      <c r="J1259" t="str">
        <f>_xlfn.XLOOKUP(C1259,'product_masterlist(ifs)'!A:A,'product_masterlist(ifs)'!C:C,"N/A",0)</f>
        <v>Frames</v>
      </c>
      <c r="K1259">
        <f>VLOOKUP(C1259,'product_masterlist(ifs)'!A:I,7,FALSE)</f>
        <v>180</v>
      </c>
    </row>
    <row r="1260" spans="1:11" x14ac:dyDescent="0.35">
      <c r="A1260" t="s">
        <v>1544</v>
      </c>
      <c r="B1260" t="s">
        <v>625</v>
      </c>
      <c r="C1260" t="s">
        <v>53</v>
      </c>
      <c r="D1260">
        <v>18</v>
      </c>
      <c r="E1260" t="s">
        <v>37</v>
      </c>
      <c r="F1260" t="s">
        <v>13</v>
      </c>
      <c r="G1260" t="s">
        <v>336</v>
      </c>
      <c r="H1260">
        <v>7</v>
      </c>
      <c r="I1260" t="s">
        <v>28</v>
      </c>
      <c r="J1260" t="str">
        <f>_xlfn.XLOOKUP(C1260,'product_masterlist(ifs)'!A:A,'product_masterlist(ifs)'!C:C,"N/A",0)</f>
        <v>Solutions</v>
      </c>
      <c r="K1260">
        <f>VLOOKUP(C1260,'product_masterlist(ifs)'!A:I,7,FALSE)</f>
        <v>800</v>
      </c>
    </row>
    <row r="1261" spans="1:11" x14ac:dyDescent="0.35">
      <c r="A1261" t="s">
        <v>1545</v>
      </c>
      <c r="B1261" s="1">
        <v>45787</v>
      </c>
      <c r="C1261" t="s">
        <v>33</v>
      </c>
      <c r="D1261">
        <v>17</v>
      </c>
      <c r="E1261" t="s">
        <v>12</v>
      </c>
      <c r="F1261" t="s">
        <v>23</v>
      </c>
      <c r="G1261">
        <v>2550</v>
      </c>
      <c r="H1261">
        <v>45</v>
      </c>
      <c r="I1261" t="s">
        <v>34</v>
      </c>
      <c r="J1261" t="str">
        <f>_xlfn.XLOOKUP(C1261,'product_masterlist(ifs)'!A:A,'product_masterlist(ifs)'!C:C,"N/A",0)</f>
        <v>Surgical</v>
      </c>
      <c r="K1261">
        <f>VLOOKUP(C1261,'product_masterlist(ifs)'!A:I,7,FALSE)</f>
        <v>15</v>
      </c>
    </row>
    <row r="1262" spans="1:11" x14ac:dyDescent="0.35">
      <c r="A1262" t="s">
        <v>1546</v>
      </c>
      <c r="B1262" t="s">
        <v>364</v>
      </c>
      <c r="C1262" t="s">
        <v>42</v>
      </c>
      <c r="D1262">
        <v>14</v>
      </c>
      <c r="E1262" t="s">
        <v>20</v>
      </c>
      <c r="F1262" t="s">
        <v>23</v>
      </c>
      <c r="G1262">
        <v>350</v>
      </c>
      <c r="H1262">
        <v>21</v>
      </c>
      <c r="I1262" t="s">
        <v>14</v>
      </c>
      <c r="J1262" t="str">
        <f>_xlfn.XLOOKUP(C1262,'product_masterlist(ifs)'!A:A,'product_masterlist(ifs)'!C:C,"N/A",0)</f>
        <v>Contact Lenses</v>
      </c>
      <c r="K1262">
        <f>VLOOKUP(C1262,'product_masterlist(ifs)'!A:I,7,FALSE)</f>
        <v>120</v>
      </c>
    </row>
    <row r="1263" spans="1:11" x14ac:dyDescent="0.35">
      <c r="A1263" t="s">
        <v>1547</v>
      </c>
      <c r="B1263" s="1">
        <v>45700</v>
      </c>
      <c r="C1263" t="s">
        <v>42</v>
      </c>
      <c r="D1263">
        <v>6</v>
      </c>
      <c r="E1263" t="s">
        <v>22</v>
      </c>
      <c r="F1263" t="s">
        <v>13</v>
      </c>
      <c r="G1263">
        <v>150</v>
      </c>
      <c r="H1263">
        <v>21</v>
      </c>
      <c r="I1263" t="s">
        <v>14</v>
      </c>
      <c r="J1263" t="str">
        <f>_xlfn.XLOOKUP(C1263,'product_masterlist(ifs)'!A:A,'product_masterlist(ifs)'!C:C,"N/A",0)</f>
        <v>Contact Lenses</v>
      </c>
      <c r="K1263">
        <f>VLOOKUP(C1263,'product_masterlist(ifs)'!A:I,7,FALSE)</f>
        <v>120</v>
      </c>
    </row>
    <row r="1264" spans="1:11" x14ac:dyDescent="0.35">
      <c r="A1264" t="s">
        <v>1548</v>
      </c>
      <c r="B1264" t="s">
        <v>277</v>
      </c>
      <c r="C1264" t="s">
        <v>33</v>
      </c>
      <c r="D1264">
        <v>18</v>
      </c>
      <c r="E1264" t="s">
        <v>20</v>
      </c>
      <c r="F1264" t="s">
        <v>31</v>
      </c>
      <c r="G1264">
        <v>2700</v>
      </c>
      <c r="H1264">
        <v>45</v>
      </c>
      <c r="I1264" t="s">
        <v>34</v>
      </c>
      <c r="J1264" t="str">
        <f>_xlfn.XLOOKUP(C1264,'product_masterlist(ifs)'!A:A,'product_masterlist(ifs)'!C:C,"N/A",0)</f>
        <v>Surgical</v>
      </c>
      <c r="K1264">
        <f>VLOOKUP(C1264,'product_masterlist(ifs)'!A:I,7,FALSE)</f>
        <v>15</v>
      </c>
    </row>
    <row r="1265" spans="1:11" x14ac:dyDescent="0.35">
      <c r="A1265" t="s">
        <v>1549</v>
      </c>
      <c r="B1265" t="s">
        <v>80</v>
      </c>
      <c r="C1265" t="s">
        <v>53</v>
      </c>
      <c r="D1265">
        <v>12</v>
      </c>
      <c r="E1265" t="s">
        <v>20</v>
      </c>
      <c r="F1265" t="s">
        <v>18</v>
      </c>
      <c r="G1265">
        <v>51</v>
      </c>
      <c r="H1265">
        <v>7</v>
      </c>
      <c r="I1265" t="s">
        <v>28</v>
      </c>
      <c r="J1265" t="str">
        <f>_xlfn.XLOOKUP(C1265,'product_masterlist(ifs)'!A:A,'product_masterlist(ifs)'!C:C,"N/A",0)</f>
        <v>Solutions</v>
      </c>
      <c r="K1265">
        <f>VLOOKUP(C1265,'product_masterlist(ifs)'!A:I,7,FALSE)</f>
        <v>800</v>
      </c>
    </row>
    <row r="1266" spans="1:11" x14ac:dyDescent="0.35">
      <c r="A1266" t="s">
        <v>1550</v>
      </c>
      <c r="B1266" t="s">
        <v>920</v>
      </c>
      <c r="C1266" t="s">
        <v>53</v>
      </c>
      <c r="D1266">
        <v>24</v>
      </c>
      <c r="E1266" t="s">
        <v>20</v>
      </c>
      <c r="F1266" t="s">
        <v>18</v>
      </c>
      <c r="G1266">
        <v>102</v>
      </c>
      <c r="H1266">
        <v>7</v>
      </c>
      <c r="I1266" t="s">
        <v>28</v>
      </c>
      <c r="J1266" t="str">
        <f>_xlfn.XLOOKUP(C1266,'product_masterlist(ifs)'!A:A,'product_masterlist(ifs)'!C:C,"N/A",0)</f>
        <v>Solutions</v>
      </c>
      <c r="K1266">
        <f>VLOOKUP(C1266,'product_masterlist(ifs)'!A:I,7,FALSE)</f>
        <v>800</v>
      </c>
    </row>
    <row r="1267" spans="1:11" x14ac:dyDescent="0.35">
      <c r="A1267" t="s">
        <v>1551</v>
      </c>
      <c r="B1267" t="s">
        <v>159</v>
      </c>
      <c r="C1267" t="s">
        <v>90</v>
      </c>
      <c r="D1267">
        <v>21</v>
      </c>
      <c r="E1267" t="s">
        <v>20</v>
      </c>
      <c r="F1267" t="s">
        <v>13</v>
      </c>
      <c r="G1267" t="s">
        <v>120</v>
      </c>
      <c r="H1267">
        <v>30</v>
      </c>
      <c r="I1267" t="s">
        <v>14</v>
      </c>
      <c r="J1267" t="str">
        <f>_xlfn.XLOOKUP(C1267,'product_masterlist(ifs)'!A:A,'product_masterlist(ifs)'!C:C,"N/A",0)</f>
        <v>Frames</v>
      </c>
      <c r="K1267">
        <f>VLOOKUP(C1267,'product_masterlist(ifs)'!A:I,7,FALSE)</f>
        <v>180</v>
      </c>
    </row>
    <row r="1268" spans="1:11" x14ac:dyDescent="0.35">
      <c r="A1268" t="s">
        <v>1552</v>
      </c>
      <c r="B1268" t="s">
        <v>312</v>
      </c>
      <c r="C1268" t="s">
        <v>11</v>
      </c>
      <c r="D1268">
        <v>12</v>
      </c>
      <c r="E1268" t="s">
        <v>20</v>
      </c>
      <c r="F1268" t="s">
        <v>23</v>
      </c>
      <c r="G1268">
        <v>1020</v>
      </c>
      <c r="H1268">
        <v>30</v>
      </c>
      <c r="I1268" t="s">
        <v>14</v>
      </c>
      <c r="J1268" t="str">
        <f>_xlfn.XLOOKUP(C1268,'product_masterlist(ifs)'!A:A,'product_masterlist(ifs)'!C:C,"N/A",0)</f>
        <v>Surgical</v>
      </c>
      <c r="K1268">
        <f>VLOOKUP(C1268,'product_masterlist(ifs)'!A:I,7,FALSE)</f>
        <v>40</v>
      </c>
    </row>
    <row r="1269" spans="1:11" x14ac:dyDescent="0.35">
      <c r="A1269" t="s">
        <v>1553</v>
      </c>
      <c r="B1269" s="1">
        <v>45879</v>
      </c>
      <c r="C1269" t="s">
        <v>53</v>
      </c>
      <c r="D1269">
        <v>2</v>
      </c>
      <c r="E1269" t="s">
        <v>12</v>
      </c>
      <c r="F1269" t="s">
        <v>23</v>
      </c>
      <c r="G1269" t="s">
        <v>291</v>
      </c>
      <c r="H1269">
        <v>7</v>
      </c>
      <c r="I1269" t="s">
        <v>28</v>
      </c>
      <c r="J1269" t="str">
        <f>_xlfn.XLOOKUP(C1269,'product_masterlist(ifs)'!A:A,'product_masterlist(ifs)'!C:C,"N/A",0)</f>
        <v>Solutions</v>
      </c>
      <c r="K1269">
        <f>VLOOKUP(C1269,'product_masterlist(ifs)'!A:I,7,FALSE)</f>
        <v>800</v>
      </c>
    </row>
    <row r="1270" spans="1:11" x14ac:dyDescent="0.35">
      <c r="A1270" t="s">
        <v>1554</v>
      </c>
      <c r="B1270" t="s">
        <v>460</v>
      </c>
      <c r="C1270" t="s">
        <v>53</v>
      </c>
      <c r="D1270">
        <v>4</v>
      </c>
      <c r="E1270" t="s">
        <v>20</v>
      </c>
      <c r="F1270" t="s">
        <v>18</v>
      </c>
      <c r="G1270">
        <v>17</v>
      </c>
      <c r="H1270">
        <v>7</v>
      </c>
      <c r="I1270" t="s">
        <v>28</v>
      </c>
      <c r="J1270" t="str">
        <f>_xlfn.XLOOKUP(C1270,'product_masterlist(ifs)'!A:A,'product_masterlist(ifs)'!C:C,"N/A",0)</f>
        <v>Solutions</v>
      </c>
      <c r="K1270">
        <f>VLOOKUP(C1270,'product_masterlist(ifs)'!A:I,7,FALSE)</f>
        <v>800</v>
      </c>
    </row>
    <row r="1271" spans="1:11" x14ac:dyDescent="0.35">
      <c r="A1271" t="s">
        <v>1555</v>
      </c>
      <c r="B1271" s="1">
        <v>45696</v>
      </c>
      <c r="C1271" t="s">
        <v>53</v>
      </c>
      <c r="D1271">
        <v>5</v>
      </c>
      <c r="E1271" t="s">
        <v>37</v>
      </c>
      <c r="F1271" t="s">
        <v>31</v>
      </c>
      <c r="G1271" t="s">
        <v>854</v>
      </c>
      <c r="H1271">
        <v>7</v>
      </c>
      <c r="I1271" t="s">
        <v>28</v>
      </c>
      <c r="J1271" t="str">
        <f>_xlfn.XLOOKUP(C1271,'product_masterlist(ifs)'!A:A,'product_masterlist(ifs)'!C:C,"N/A",0)</f>
        <v>Solutions</v>
      </c>
      <c r="K1271">
        <f>VLOOKUP(C1271,'product_masterlist(ifs)'!A:I,7,FALSE)</f>
        <v>800</v>
      </c>
    </row>
    <row r="1272" spans="1:11" x14ac:dyDescent="0.35">
      <c r="A1272" t="s">
        <v>1556</v>
      </c>
      <c r="B1272" t="s">
        <v>149</v>
      </c>
      <c r="C1272" t="s">
        <v>11</v>
      </c>
      <c r="D1272">
        <v>24</v>
      </c>
      <c r="E1272" t="s">
        <v>12</v>
      </c>
      <c r="F1272" t="s">
        <v>31</v>
      </c>
      <c r="G1272">
        <v>2040</v>
      </c>
      <c r="H1272">
        <v>30</v>
      </c>
      <c r="I1272" t="s">
        <v>14</v>
      </c>
      <c r="J1272" t="str">
        <f>_xlfn.XLOOKUP(C1272,'product_masterlist(ifs)'!A:A,'product_masterlist(ifs)'!C:C,"N/A",0)</f>
        <v>Surgical</v>
      </c>
      <c r="K1272">
        <f>VLOOKUP(C1272,'product_masterlist(ifs)'!A:I,7,FALSE)</f>
        <v>40</v>
      </c>
    </row>
    <row r="1273" spans="1:11" x14ac:dyDescent="0.35">
      <c r="A1273" t="s">
        <v>1557</v>
      </c>
      <c r="B1273" s="1">
        <v>45819</v>
      </c>
      <c r="C1273" t="s">
        <v>33</v>
      </c>
      <c r="D1273">
        <v>8</v>
      </c>
      <c r="E1273" t="s">
        <v>20</v>
      </c>
      <c r="F1273" t="s">
        <v>13</v>
      </c>
      <c r="G1273">
        <v>1200</v>
      </c>
      <c r="H1273">
        <v>45</v>
      </c>
      <c r="I1273" t="s">
        <v>34</v>
      </c>
      <c r="J1273" t="str">
        <f>_xlfn.XLOOKUP(C1273,'product_masterlist(ifs)'!A:A,'product_masterlist(ifs)'!C:C,"N/A",0)</f>
        <v>Surgical</v>
      </c>
      <c r="K1273">
        <f>VLOOKUP(C1273,'product_masterlist(ifs)'!A:I,7,FALSE)</f>
        <v>15</v>
      </c>
    </row>
    <row r="1274" spans="1:11" x14ac:dyDescent="0.35">
      <c r="A1274" t="s">
        <v>1558</v>
      </c>
      <c r="B1274" s="1">
        <v>45901</v>
      </c>
      <c r="C1274" t="s">
        <v>90</v>
      </c>
      <c r="D1274">
        <v>8</v>
      </c>
      <c r="E1274" t="s">
        <v>20</v>
      </c>
      <c r="F1274" t="s">
        <v>13</v>
      </c>
      <c r="G1274">
        <v>388</v>
      </c>
      <c r="H1274">
        <v>30</v>
      </c>
      <c r="I1274" t="s">
        <v>14</v>
      </c>
      <c r="J1274" t="str">
        <f>_xlfn.XLOOKUP(C1274,'product_masterlist(ifs)'!A:A,'product_masterlist(ifs)'!C:C,"N/A",0)</f>
        <v>Frames</v>
      </c>
      <c r="K1274">
        <f>VLOOKUP(C1274,'product_masterlist(ifs)'!A:I,7,FALSE)</f>
        <v>180</v>
      </c>
    </row>
    <row r="1275" spans="1:11" x14ac:dyDescent="0.35">
      <c r="A1275" t="s">
        <v>1559</v>
      </c>
      <c r="B1275" t="s">
        <v>192</v>
      </c>
      <c r="C1275" t="s">
        <v>42</v>
      </c>
      <c r="D1275">
        <v>25</v>
      </c>
      <c r="E1275" t="s">
        <v>12</v>
      </c>
      <c r="F1275" t="s">
        <v>18</v>
      </c>
      <c r="G1275">
        <v>625</v>
      </c>
      <c r="H1275">
        <v>21</v>
      </c>
      <c r="I1275" t="s">
        <v>14</v>
      </c>
      <c r="J1275" t="str">
        <f>_xlfn.XLOOKUP(C1275,'product_masterlist(ifs)'!A:A,'product_masterlist(ifs)'!C:C,"N/A",0)</f>
        <v>Contact Lenses</v>
      </c>
      <c r="K1275">
        <f>VLOOKUP(C1275,'product_masterlist(ifs)'!A:I,7,FALSE)</f>
        <v>120</v>
      </c>
    </row>
    <row r="1276" spans="1:11" x14ac:dyDescent="0.35">
      <c r="A1276" t="s">
        <v>1560</v>
      </c>
      <c r="B1276" s="1">
        <v>45722</v>
      </c>
      <c r="C1276" t="s">
        <v>33</v>
      </c>
      <c r="D1276">
        <v>15</v>
      </c>
      <c r="E1276" t="s">
        <v>22</v>
      </c>
      <c r="F1276" t="s">
        <v>18</v>
      </c>
      <c r="G1276">
        <v>2250</v>
      </c>
      <c r="H1276">
        <v>45</v>
      </c>
      <c r="I1276" t="s">
        <v>34</v>
      </c>
      <c r="J1276" t="str">
        <f>_xlfn.XLOOKUP(C1276,'product_masterlist(ifs)'!A:A,'product_masterlist(ifs)'!C:C,"N/A",0)</f>
        <v>Surgical</v>
      </c>
      <c r="K1276">
        <f>VLOOKUP(C1276,'product_masterlist(ifs)'!A:I,7,FALSE)</f>
        <v>15</v>
      </c>
    </row>
    <row r="1277" spans="1:11" x14ac:dyDescent="0.35">
      <c r="A1277" t="s">
        <v>1561</v>
      </c>
      <c r="B1277" t="s">
        <v>582</v>
      </c>
      <c r="C1277" t="s">
        <v>42</v>
      </c>
      <c r="D1277">
        <v>8</v>
      </c>
      <c r="E1277" t="s">
        <v>20</v>
      </c>
      <c r="F1277" t="s">
        <v>23</v>
      </c>
      <c r="G1277">
        <v>200</v>
      </c>
      <c r="H1277">
        <v>21</v>
      </c>
      <c r="I1277" t="s">
        <v>14</v>
      </c>
      <c r="J1277" t="str">
        <f>_xlfn.XLOOKUP(C1277,'product_masterlist(ifs)'!A:A,'product_masterlist(ifs)'!C:C,"N/A",0)</f>
        <v>Contact Lenses</v>
      </c>
      <c r="K1277">
        <f>VLOOKUP(C1277,'product_masterlist(ifs)'!A:I,7,FALSE)</f>
        <v>120</v>
      </c>
    </row>
    <row r="1278" spans="1:11" x14ac:dyDescent="0.35">
      <c r="A1278" t="s">
        <v>1562</v>
      </c>
      <c r="B1278" t="s">
        <v>350</v>
      </c>
      <c r="C1278" t="s">
        <v>11</v>
      </c>
      <c r="D1278">
        <v>6</v>
      </c>
      <c r="E1278" t="s">
        <v>37</v>
      </c>
      <c r="F1278" t="s">
        <v>18</v>
      </c>
      <c r="G1278">
        <v>510</v>
      </c>
      <c r="H1278">
        <v>30</v>
      </c>
      <c r="I1278" t="s">
        <v>14</v>
      </c>
      <c r="J1278" t="str">
        <f>_xlfn.XLOOKUP(C1278,'product_masterlist(ifs)'!A:A,'product_masterlist(ifs)'!C:C,"N/A",0)</f>
        <v>Surgical</v>
      </c>
      <c r="K1278">
        <f>VLOOKUP(C1278,'product_masterlist(ifs)'!A:I,7,FALSE)</f>
        <v>40</v>
      </c>
    </row>
    <row r="1279" spans="1:11" x14ac:dyDescent="0.35">
      <c r="A1279" t="s">
        <v>1563</v>
      </c>
      <c r="B1279" t="s">
        <v>567</v>
      </c>
      <c r="C1279" t="s">
        <v>33</v>
      </c>
      <c r="D1279">
        <v>17</v>
      </c>
      <c r="E1279" t="s">
        <v>12</v>
      </c>
      <c r="F1279" t="s">
        <v>18</v>
      </c>
      <c r="G1279">
        <v>2550</v>
      </c>
      <c r="H1279">
        <v>45</v>
      </c>
      <c r="I1279" t="s">
        <v>34</v>
      </c>
      <c r="J1279" t="str">
        <f>_xlfn.XLOOKUP(C1279,'product_masterlist(ifs)'!A:A,'product_masterlist(ifs)'!C:C,"N/A",0)</f>
        <v>Surgical</v>
      </c>
      <c r="K1279">
        <f>VLOOKUP(C1279,'product_masterlist(ifs)'!A:I,7,FALSE)</f>
        <v>15</v>
      </c>
    </row>
    <row r="1280" spans="1:11" x14ac:dyDescent="0.35">
      <c r="A1280" t="s">
        <v>1564</v>
      </c>
      <c r="B1280" t="s">
        <v>823</v>
      </c>
      <c r="C1280" t="s">
        <v>26</v>
      </c>
      <c r="D1280">
        <v>13</v>
      </c>
      <c r="E1280" t="s">
        <v>20</v>
      </c>
      <c r="F1280" t="s">
        <v>18</v>
      </c>
      <c r="G1280" t="s">
        <v>437</v>
      </c>
      <c r="H1280">
        <v>14</v>
      </c>
      <c r="I1280" t="s">
        <v>28</v>
      </c>
      <c r="J1280" t="str">
        <f>_xlfn.XLOOKUP(C1280,'product_masterlist(ifs)'!A:A,'product_masterlist(ifs)'!C:C,"N/A",0)</f>
        <v>Contact Lenses</v>
      </c>
      <c r="K1280">
        <f>VLOOKUP(C1280,'product_masterlist(ifs)'!A:I,7,FALSE)</f>
        <v>450</v>
      </c>
    </row>
    <row r="1281" spans="1:11" x14ac:dyDescent="0.35">
      <c r="A1281" t="s">
        <v>1565</v>
      </c>
      <c r="B1281" s="1">
        <v>45814</v>
      </c>
      <c r="C1281" t="s">
        <v>53</v>
      </c>
      <c r="D1281">
        <v>3</v>
      </c>
      <c r="E1281" t="s">
        <v>22</v>
      </c>
      <c r="F1281" t="s">
        <v>13</v>
      </c>
      <c r="G1281" t="s">
        <v>278</v>
      </c>
      <c r="H1281">
        <v>7</v>
      </c>
      <c r="I1281" t="s">
        <v>28</v>
      </c>
      <c r="J1281" t="str">
        <f>_xlfn.XLOOKUP(C1281,'product_masterlist(ifs)'!A:A,'product_masterlist(ifs)'!C:C,"N/A",0)</f>
        <v>Solutions</v>
      </c>
      <c r="K1281">
        <f>VLOOKUP(C1281,'product_masterlist(ifs)'!A:I,7,FALSE)</f>
        <v>800</v>
      </c>
    </row>
    <row r="1282" spans="1:11" x14ac:dyDescent="0.35">
      <c r="A1282" t="s">
        <v>1566</v>
      </c>
      <c r="B1282" s="1">
        <v>45717</v>
      </c>
      <c r="C1282" t="s">
        <v>53</v>
      </c>
      <c r="D1282">
        <v>23</v>
      </c>
      <c r="E1282" t="s">
        <v>20</v>
      </c>
      <c r="F1282" t="s">
        <v>23</v>
      </c>
      <c r="G1282" t="s">
        <v>576</v>
      </c>
      <c r="H1282">
        <v>7</v>
      </c>
      <c r="I1282" t="s">
        <v>28</v>
      </c>
      <c r="J1282" t="str">
        <f>_xlfn.XLOOKUP(C1282,'product_masterlist(ifs)'!A:A,'product_masterlist(ifs)'!C:C,"N/A",0)</f>
        <v>Solutions</v>
      </c>
      <c r="K1282">
        <f>VLOOKUP(C1282,'product_masterlist(ifs)'!A:I,7,FALSE)</f>
        <v>800</v>
      </c>
    </row>
    <row r="1283" spans="1:11" x14ac:dyDescent="0.35">
      <c r="A1283" t="s">
        <v>1567</v>
      </c>
      <c r="B1283" t="s">
        <v>417</v>
      </c>
      <c r="C1283" t="s">
        <v>26</v>
      </c>
      <c r="D1283">
        <v>12</v>
      </c>
      <c r="E1283" t="s">
        <v>12</v>
      </c>
      <c r="F1283" t="s">
        <v>18</v>
      </c>
      <c r="G1283">
        <v>150</v>
      </c>
      <c r="H1283">
        <v>14</v>
      </c>
      <c r="I1283" t="s">
        <v>28</v>
      </c>
      <c r="J1283" t="str">
        <f>_xlfn.XLOOKUP(C1283,'product_masterlist(ifs)'!A:A,'product_masterlist(ifs)'!C:C,"N/A",0)</f>
        <v>Contact Lenses</v>
      </c>
      <c r="K1283">
        <f>VLOOKUP(C1283,'product_masterlist(ifs)'!A:I,7,FALSE)</f>
        <v>450</v>
      </c>
    </row>
    <row r="1284" spans="1:11" x14ac:dyDescent="0.35">
      <c r="A1284" t="s">
        <v>1568</v>
      </c>
      <c r="B1284" t="s">
        <v>975</v>
      </c>
      <c r="C1284" t="s">
        <v>11</v>
      </c>
      <c r="D1284">
        <v>20</v>
      </c>
      <c r="E1284" t="s">
        <v>37</v>
      </c>
      <c r="F1284" t="s">
        <v>23</v>
      </c>
      <c r="G1284">
        <v>1700</v>
      </c>
      <c r="H1284">
        <v>30</v>
      </c>
      <c r="I1284" t="s">
        <v>14</v>
      </c>
      <c r="J1284" t="str">
        <f>_xlfn.XLOOKUP(C1284,'product_masterlist(ifs)'!A:A,'product_masterlist(ifs)'!C:C,"N/A",0)</f>
        <v>Surgical</v>
      </c>
      <c r="K1284">
        <f>VLOOKUP(C1284,'product_masterlist(ifs)'!A:I,7,FALSE)</f>
        <v>40</v>
      </c>
    </row>
    <row r="1285" spans="1:11" x14ac:dyDescent="0.35">
      <c r="A1285" t="s">
        <v>1569</v>
      </c>
      <c r="B1285" s="1">
        <v>45700</v>
      </c>
      <c r="C1285" t="s">
        <v>90</v>
      </c>
      <c r="D1285">
        <v>7</v>
      </c>
      <c r="E1285" t="s">
        <v>22</v>
      </c>
      <c r="F1285" t="s">
        <v>13</v>
      </c>
      <c r="G1285" t="s">
        <v>181</v>
      </c>
      <c r="H1285">
        <v>30</v>
      </c>
      <c r="I1285" t="s">
        <v>14</v>
      </c>
      <c r="J1285" t="str">
        <f>_xlfn.XLOOKUP(C1285,'product_masterlist(ifs)'!A:A,'product_masterlist(ifs)'!C:C,"N/A",0)</f>
        <v>Frames</v>
      </c>
      <c r="K1285">
        <f>VLOOKUP(C1285,'product_masterlist(ifs)'!A:I,7,FALSE)</f>
        <v>180</v>
      </c>
    </row>
    <row r="1286" spans="1:11" x14ac:dyDescent="0.35">
      <c r="A1286" t="s">
        <v>1570</v>
      </c>
      <c r="B1286" s="1">
        <v>45693</v>
      </c>
      <c r="C1286" t="s">
        <v>17</v>
      </c>
      <c r="D1286">
        <v>11</v>
      </c>
      <c r="E1286" t="s">
        <v>37</v>
      </c>
      <c r="F1286" t="s">
        <v>31</v>
      </c>
      <c r="G1286">
        <v>495</v>
      </c>
      <c r="H1286">
        <v>30</v>
      </c>
      <c r="I1286" t="s">
        <v>14</v>
      </c>
      <c r="J1286" t="str">
        <f>_xlfn.XLOOKUP(C1286,'product_masterlist(ifs)'!A:A,'product_masterlist(ifs)'!C:C,"N/A",0)</f>
        <v>Frames</v>
      </c>
      <c r="K1286">
        <f>VLOOKUP(C1286,'product_masterlist(ifs)'!A:I,7,FALSE)</f>
        <v>45</v>
      </c>
    </row>
    <row r="1287" spans="1:11" x14ac:dyDescent="0.35">
      <c r="A1287" t="s">
        <v>1571</v>
      </c>
      <c r="B1287" s="1">
        <v>45699</v>
      </c>
      <c r="C1287" t="s">
        <v>42</v>
      </c>
      <c r="D1287">
        <v>22</v>
      </c>
      <c r="E1287" t="s">
        <v>20</v>
      </c>
      <c r="F1287" t="s">
        <v>31</v>
      </c>
      <c r="G1287">
        <v>550</v>
      </c>
      <c r="H1287">
        <v>21</v>
      </c>
      <c r="I1287" t="s">
        <v>14</v>
      </c>
      <c r="J1287" t="str">
        <f>_xlfn.XLOOKUP(C1287,'product_masterlist(ifs)'!A:A,'product_masterlist(ifs)'!C:C,"N/A",0)</f>
        <v>Contact Lenses</v>
      </c>
      <c r="K1287">
        <f>VLOOKUP(C1287,'product_masterlist(ifs)'!A:I,7,FALSE)</f>
        <v>120</v>
      </c>
    </row>
    <row r="1288" spans="1:11" x14ac:dyDescent="0.35">
      <c r="A1288" t="s">
        <v>1572</v>
      </c>
      <c r="B1288" t="s">
        <v>36</v>
      </c>
      <c r="C1288" t="s">
        <v>53</v>
      </c>
      <c r="D1288">
        <v>10</v>
      </c>
      <c r="E1288" t="s">
        <v>37</v>
      </c>
      <c r="F1288" t="s">
        <v>23</v>
      </c>
      <c r="G1288" t="s">
        <v>95</v>
      </c>
      <c r="H1288">
        <v>7</v>
      </c>
      <c r="I1288" t="s">
        <v>28</v>
      </c>
      <c r="J1288" t="str">
        <f>_xlfn.XLOOKUP(C1288,'product_masterlist(ifs)'!A:A,'product_masterlist(ifs)'!C:C,"N/A",0)</f>
        <v>Solutions</v>
      </c>
      <c r="K1288">
        <f>VLOOKUP(C1288,'product_masterlist(ifs)'!A:I,7,FALSE)</f>
        <v>800</v>
      </c>
    </row>
    <row r="1289" spans="1:11" x14ac:dyDescent="0.35">
      <c r="A1289" t="s">
        <v>1573</v>
      </c>
      <c r="B1289" t="s">
        <v>503</v>
      </c>
      <c r="C1289" t="s">
        <v>33</v>
      </c>
      <c r="D1289">
        <v>20</v>
      </c>
      <c r="E1289" t="s">
        <v>22</v>
      </c>
      <c r="F1289" t="s">
        <v>13</v>
      </c>
      <c r="G1289">
        <v>3000</v>
      </c>
      <c r="H1289">
        <v>45</v>
      </c>
      <c r="I1289" t="s">
        <v>34</v>
      </c>
      <c r="J1289" t="str">
        <f>_xlfn.XLOOKUP(C1289,'product_masterlist(ifs)'!A:A,'product_masterlist(ifs)'!C:C,"N/A",0)</f>
        <v>Surgical</v>
      </c>
      <c r="K1289">
        <f>VLOOKUP(C1289,'product_masterlist(ifs)'!A:I,7,FALSE)</f>
        <v>15</v>
      </c>
    </row>
    <row r="1290" spans="1:11" x14ac:dyDescent="0.35">
      <c r="A1290" t="s">
        <v>1574</v>
      </c>
      <c r="B1290" t="s">
        <v>901</v>
      </c>
      <c r="C1290" t="s">
        <v>33</v>
      </c>
      <c r="D1290">
        <v>6</v>
      </c>
      <c r="E1290" t="s">
        <v>12</v>
      </c>
      <c r="F1290" t="s">
        <v>23</v>
      </c>
      <c r="G1290">
        <v>900</v>
      </c>
      <c r="H1290">
        <v>45</v>
      </c>
      <c r="I1290" t="s">
        <v>34</v>
      </c>
      <c r="J1290" t="str">
        <f>_xlfn.XLOOKUP(C1290,'product_masterlist(ifs)'!A:A,'product_masterlist(ifs)'!C:C,"N/A",0)</f>
        <v>Surgical</v>
      </c>
      <c r="K1290">
        <f>VLOOKUP(C1290,'product_masterlist(ifs)'!A:I,7,FALSE)</f>
        <v>15</v>
      </c>
    </row>
    <row r="1291" spans="1:11" x14ac:dyDescent="0.35">
      <c r="A1291" t="s">
        <v>1575</v>
      </c>
      <c r="B1291" t="s">
        <v>489</v>
      </c>
      <c r="C1291" t="s">
        <v>17</v>
      </c>
      <c r="D1291">
        <v>3</v>
      </c>
      <c r="E1291" t="s">
        <v>37</v>
      </c>
      <c r="F1291" t="s">
        <v>31</v>
      </c>
      <c r="G1291">
        <v>135</v>
      </c>
      <c r="H1291">
        <v>30</v>
      </c>
      <c r="I1291" t="s">
        <v>14</v>
      </c>
      <c r="J1291" t="str">
        <f>_xlfn.XLOOKUP(C1291,'product_masterlist(ifs)'!A:A,'product_masterlist(ifs)'!C:C,"N/A",0)</f>
        <v>Frames</v>
      </c>
      <c r="K1291">
        <f>VLOOKUP(C1291,'product_masterlist(ifs)'!A:I,7,FALSE)</f>
        <v>45</v>
      </c>
    </row>
    <row r="1292" spans="1:11" x14ac:dyDescent="0.35">
      <c r="A1292" t="s">
        <v>1576</v>
      </c>
      <c r="B1292" t="s">
        <v>159</v>
      </c>
      <c r="C1292" t="s">
        <v>90</v>
      </c>
      <c r="D1292">
        <v>21</v>
      </c>
      <c r="E1292" t="s">
        <v>12</v>
      </c>
      <c r="F1292" t="s">
        <v>13</v>
      </c>
      <c r="G1292" t="s">
        <v>120</v>
      </c>
      <c r="H1292">
        <v>30</v>
      </c>
      <c r="I1292" t="s">
        <v>14</v>
      </c>
      <c r="J1292" t="str">
        <f>_xlfn.XLOOKUP(C1292,'product_masterlist(ifs)'!A:A,'product_masterlist(ifs)'!C:C,"N/A",0)</f>
        <v>Frames</v>
      </c>
      <c r="K1292">
        <f>VLOOKUP(C1292,'product_masterlist(ifs)'!A:I,7,FALSE)</f>
        <v>180</v>
      </c>
    </row>
    <row r="1293" spans="1:11" x14ac:dyDescent="0.35">
      <c r="A1293" t="s">
        <v>1577</v>
      </c>
      <c r="B1293" t="s">
        <v>1578</v>
      </c>
      <c r="C1293" t="s">
        <v>42</v>
      </c>
      <c r="D1293">
        <v>4</v>
      </c>
      <c r="E1293" t="s">
        <v>22</v>
      </c>
      <c r="F1293" t="s">
        <v>13</v>
      </c>
      <c r="G1293">
        <v>100</v>
      </c>
      <c r="H1293">
        <v>21</v>
      </c>
      <c r="I1293" t="s">
        <v>14</v>
      </c>
      <c r="J1293" t="str">
        <f>_xlfn.XLOOKUP(C1293,'product_masterlist(ifs)'!A:A,'product_masterlist(ifs)'!C:C,"N/A",0)</f>
        <v>Contact Lenses</v>
      </c>
      <c r="K1293">
        <f>VLOOKUP(C1293,'product_masterlist(ifs)'!A:I,7,FALSE)</f>
        <v>120</v>
      </c>
    </row>
    <row r="1294" spans="1:11" x14ac:dyDescent="0.35">
      <c r="A1294" t="s">
        <v>1579</v>
      </c>
      <c r="B1294" t="s">
        <v>192</v>
      </c>
      <c r="C1294" t="s">
        <v>90</v>
      </c>
      <c r="D1294">
        <v>18</v>
      </c>
      <c r="E1294" t="s">
        <v>22</v>
      </c>
      <c r="F1294" t="s">
        <v>18</v>
      </c>
      <c r="G1294">
        <v>873</v>
      </c>
      <c r="H1294">
        <v>30</v>
      </c>
      <c r="I1294" t="s">
        <v>14</v>
      </c>
      <c r="J1294" t="str">
        <f>_xlfn.XLOOKUP(C1294,'product_masterlist(ifs)'!A:A,'product_masterlist(ifs)'!C:C,"N/A",0)</f>
        <v>Frames</v>
      </c>
      <c r="K1294">
        <f>VLOOKUP(C1294,'product_masterlist(ifs)'!A:I,7,FALSE)</f>
        <v>180</v>
      </c>
    </row>
    <row r="1295" spans="1:11" x14ac:dyDescent="0.35">
      <c r="A1295" t="s">
        <v>1580</v>
      </c>
      <c r="B1295" t="s">
        <v>39</v>
      </c>
      <c r="C1295" t="s">
        <v>26</v>
      </c>
      <c r="D1295">
        <v>10</v>
      </c>
      <c r="E1295" t="s">
        <v>12</v>
      </c>
      <c r="F1295" t="s">
        <v>31</v>
      </c>
      <c r="G1295">
        <v>125</v>
      </c>
      <c r="H1295">
        <v>14</v>
      </c>
      <c r="I1295" t="s">
        <v>28</v>
      </c>
      <c r="J1295" t="str">
        <f>_xlfn.XLOOKUP(C1295,'product_masterlist(ifs)'!A:A,'product_masterlist(ifs)'!C:C,"N/A",0)</f>
        <v>Contact Lenses</v>
      </c>
      <c r="K1295">
        <f>VLOOKUP(C1295,'product_masterlist(ifs)'!A:I,7,FALSE)</f>
        <v>450</v>
      </c>
    </row>
    <row r="1296" spans="1:11" x14ac:dyDescent="0.35">
      <c r="A1296" t="s">
        <v>1581</v>
      </c>
      <c r="B1296" t="s">
        <v>553</v>
      </c>
      <c r="C1296" t="s">
        <v>26</v>
      </c>
      <c r="D1296">
        <v>18</v>
      </c>
      <c r="E1296" t="s">
        <v>37</v>
      </c>
      <c r="F1296" t="s">
        <v>31</v>
      </c>
      <c r="G1296">
        <v>225</v>
      </c>
      <c r="H1296">
        <v>14</v>
      </c>
      <c r="I1296" t="s">
        <v>28</v>
      </c>
      <c r="J1296" t="str">
        <f>_xlfn.XLOOKUP(C1296,'product_masterlist(ifs)'!A:A,'product_masterlist(ifs)'!C:C,"N/A",0)</f>
        <v>Contact Lenses</v>
      </c>
      <c r="K1296">
        <f>VLOOKUP(C1296,'product_masterlist(ifs)'!A:I,7,FALSE)</f>
        <v>450</v>
      </c>
    </row>
    <row r="1297" spans="1:11" x14ac:dyDescent="0.35">
      <c r="A1297" t="s">
        <v>1582</v>
      </c>
      <c r="B1297" t="s">
        <v>1016</v>
      </c>
      <c r="C1297" t="s">
        <v>33</v>
      </c>
      <c r="D1297">
        <v>17</v>
      </c>
      <c r="E1297" t="s">
        <v>22</v>
      </c>
      <c r="F1297" t="s">
        <v>31</v>
      </c>
      <c r="G1297">
        <v>2550</v>
      </c>
      <c r="H1297">
        <v>45</v>
      </c>
      <c r="I1297" t="s">
        <v>34</v>
      </c>
      <c r="J1297" t="str">
        <f>_xlfn.XLOOKUP(C1297,'product_masterlist(ifs)'!A:A,'product_masterlist(ifs)'!C:C,"N/A",0)</f>
        <v>Surgical</v>
      </c>
      <c r="K1297">
        <f>VLOOKUP(C1297,'product_masterlist(ifs)'!A:I,7,FALSE)</f>
        <v>15</v>
      </c>
    </row>
    <row r="1298" spans="1:11" x14ac:dyDescent="0.35">
      <c r="A1298" t="s">
        <v>1583</v>
      </c>
      <c r="B1298" t="s">
        <v>227</v>
      </c>
      <c r="C1298" t="s">
        <v>42</v>
      </c>
      <c r="D1298">
        <v>3</v>
      </c>
      <c r="E1298" t="s">
        <v>37</v>
      </c>
      <c r="F1298" t="s">
        <v>23</v>
      </c>
      <c r="G1298">
        <v>75</v>
      </c>
      <c r="H1298">
        <v>21</v>
      </c>
      <c r="I1298" t="s">
        <v>14</v>
      </c>
      <c r="J1298" t="str">
        <f>_xlfn.XLOOKUP(C1298,'product_masterlist(ifs)'!A:A,'product_masterlist(ifs)'!C:C,"N/A",0)</f>
        <v>Contact Lenses</v>
      </c>
      <c r="K1298">
        <f>VLOOKUP(C1298,'product_masterlist(ifs)'!A:I,7,FALSE)</f>
        <v>120</v>
      </c>
    </row>
    <row r="1299" spans="1:11" x14ac:dyDescent="0.35">
      <c r="A1299" t="s">
        <v>1584</v>
      </c>
      <c r="B1299" t="s">
        <v>80</v>
      </c>
      <c r="C1299" t="s">
        <v>42</v>
      </c>
      <c r="D1299">
        <v>18</v>
      </c>
      <c r="E1299" t="s">
        <v>20</v>
      </c>
      <c r="F1299" t="s">
        <v>31</v>
      </c>
      <c r="G1299">
        <v>450</v>
      </c>
      <c r="H1299">
        <v>21</v>
      </c>
      <c r="I1299" t="s">
        <v>14</v>
      </c>
      <c r="J1299" t="str">
        <f>_xlfn.XLOOKUP(C1299,'product_masterlist(ifs)'!A:A,'product_masterlist(ifs)'!C:C,"N/A",0)</f>
        <v>Contact Lenses</v>
      </c>
      <c r="K1299">
        <f>VLOOKUP(C1299,'product_masterlist(ifs)'!A:I,7,FALSE)</f>
        <v>120</v>
      </c>
    </row>
    <row r="1300" spans="1:11" x14ac:dyDescent="0.35">
      <c r="A1300" t="s">
        <v>1585</v>
      </c>
      <c r="B1300" t="s">
        <v>67</v>
      </c>
      <c r="C1300" t="s">
        <v>53</v>
      </c>
      <c r="D1300">
        <v>19</v>
      </c>
      <c r="E1300" t="s">
        <v>22</v>
      </c>
      <c r="F1300" t="s">
        <v>23</v>
      </c>
      <c r="G1300" t="s">
        <v>54</v>
      </c>
      <c r="H1300">
        <v>7</v>
      </c>
      <c r="I1300" t="s">
        <v>28</v>
      </c>
      <c r="J1300" t="str">
        <f>_xlfn.XLOOKUP(C1300,'product_masterlist(ifs)'!A:A,'product_masterlist(ifs)'!C:C,"N/A",0)</f>
        <v>Solutions</v>
      </c>
      <c r="K1300">
        <f>VLOOKUP(C1300,'product_masterlist(ifs)'!A:I,7,FALSE)</f>
        <v>800</v>
      </c>
    </row>
    <row r="1301" spans="1:11" x14ac:dyDescent="0.35">
      <c r="A1301" t="s">
        <v>1586</v>
      </c>
      <c r="B1301" t="s">
        <v>168</v>
      </c>
      <c r="C1301" t="s">
        <v>11</v>
      </c>
      <c r="D1301">
        <v>11</v>
      </c>
      <c r="E1301" t="s">
        <v>22</v>
      </c>
      <c r="F1301" t="s">
        <v>18</v>
      </c>
      <c r="G1301">
        <v>935</v>
      </c>
      <c r="H1301">
        <v>30</v>
      </c>
      <c r="I1301" t="s">
        <v>14</v>
      </c>
      <c r="J1301" t="str">
        <f>_xlfn.XLOOKUP(C1301,'product_masterlist(ifs)'!A:A,'product_masterlist(ifs)'!C:C,"N/A",0)</f>
        <v>Surgical</v>
      </c>
      <c r="K1301">
        <f>VLOOKUP(C1301,'product_masterlist(ifs)'!A:I,7,FALSE)</f>
        <v>40</v>
      </c>
    </row>
    <row r="1302" spans="1:11" x14ac:dyDescent="0.35">
      <c r="A1302" t="s">
        <v>1587</v>
      </c>
      <c r="B1302" s="1">
        <v>45848</v>
      </c>
      <c r="C1302" t="s">
        <v>17</v>
      </c>
      <c r="D1302">
        <v>18</v>
      </c>
      <c r="E1302" t="s">
        <v>20</v>
      </c>
      <c r="F1302" t="s">
        <v>13</v>
      </c>
      <c r="G1302">
        <v>810</v>
      </c>
      <c r="H1302">
        <v>30</v>
      </c>
      <c r="I1302" t="s">
        <v>14</v>
      </c>
      <c r="J1302" t="str">
        <f>_xlfn.XLOOKUP(C1302,'product_masterlist(ifs)'!A:A,'product_masterlist(ifs)'!C:C,"N/A",0)</f>
        <v>Frames</v>
      </c>
      <c r="K1302">
        <f>VLOOKUP(C1302,'product_masterlist(ifs)'!A:I,7,FALSE)</f>
        <v>45</v>
      </c>
    </row>
    <row r="1303" spans="1:11" x14ac:dyDescent="0.35">
      <c r="A1303" t="s">
        <v>1588</v>
      </c>
      <c r="B1303" s="1">
        <v>45910</v>
      </c>
      <c r="C1303" t="s">
        <v>33</v>
      </c>
      <c r="D1303">
        <v>11</v>
      </c>
      <c r="E1303" t="s">
        <v>20</v>
      </c>
      <c r="F1303" t="s">
        <v>18</v>
      </c>
      <c r="G1303">
        <v>1650</v>
      </c>
      <c r="H1303">
        <v>45</v>
      </c>
      <c r="I1303" t="s">
        <v>34</v>
      </c>
      <c r="J1303" t="str">
        <f>_xlfn.XLOOKUP(C1303,'product_masterlist(ifs)'!A:A,'product_masterlist(ifs)'!C:C,"N/A",0)</f>
        <v>Surgical</v>
      </c>
      <c r="K1303">
        <f>VLOOKUP(C1303,'product_masterlist(ifs)'!A:I,7,FALSE)</f>
        <v>15</v>
      </c>
    </row>
    <row r="1304" spans="1:11" x14ac:dyDescent="0.35">
      <c r="A1304" t="s">
        <v>1589</v>
      </c>
      <c r="B1304" t="s">
        <v>52</v>
      </c>
      <c r="C1304" t="s">
        <v>33</v>
      </c>
      <c r="D1304">
        <v>13</v>
      </c>
      <c r="E1304" t="s">
        <v>37</v>
      </c>
      <c r="F1304" t="s">
        <v>31</v>
      </c>
      <c r="G1304">
        <v>1950</v>
      </c>
      <c r="H1304">
        <v>45</v>
      </c>
      <c r="I1304" t="s">
        <v>34</v>
      </c>
      <c r="J1304" t="str">
        <f>_xlfn.XLOOKUP(C1304,'product_masterlist(ifs)'!A:A,'product_masterlist(ifs)'!C:C,"N/A",0)</f>
        <v>Surgical</v>
      </c>
      <c r="K1304">
        <f>VLOOKUP(C1304,'product_masterlist(ifs)'!A:I,7,FALSE)</f>
        <v>15</v>
      </c>
    </row>
    <row r="1305" spans="1:11" x14ac:dyDescent="0.35">
      <c r="A1305" t="s">
        <v>1590</v>
      </c>
      <c r="B1305" s="1">
        <v>45809</v>
      </c>
      <c r="C1305" t="s">
        <v>11</v>
      </c>
      <c r="D1305">
        <v>14</v>
      </c>
      <c r="E1305" t="s">
        <v>22</v>
      </c>
      <c r="F1305" t="s">
        <v>13</v>
      </c>
      <c r="G1305">
        <v>1190</v>
      </c>
      <c r="H1305">
        <v>30</v>
      </c>
      <c r="I1305" t="s">
        <v>14</v>
      </c>
      <c r="J1305" t="str">
        <f>_xlfn.XLOOKUP(C1305,'product_masterlist(ifs)'!A:A,'product_masterlist(ifs)'!C:C,"N/A",0)</f>
        <v>Surgical</v>
      </c>
      <c r="K1305">
        <f>VLOOKUP(C1305,'product_masterlist(ifs)'!A:I,7,FALSE)</f>
        <v>40</v>
      </c>
    </row>
    <row r="1306" spans="1:11" x14ac:dyDescent="0.35">
      <c r="A1306" t="s">
        <v>1591</v>
      </c>
      <c r="B1306" s="1">
        <v>45932</v>
      </c>
      <c r="C1306" t="s">
        <v>42</v>
      </c>
      <c r="D1306">
        <v>18</v>
      </c>
      <c r="E1306" t="s">
        <v>12</v>
      </c>
      <c r="F1306" t="s">
        <v>18</v>
      </c>
      <c r="G1306">
        <v>450</v>
      </c>
      <c r="H1306">
        <v>21</v>
      </c>
      <c r="I1306" t="s">
        <v>14</v>
      </c>
      <c r="J1306" t="str">
        <f>_xlfn.XLOOKUP(C1306,'product_masterlist(ifs)'!A:A,'product_masterlist(ifs)'!C:C,"N/A",0)</f>
        <v>Contact Lenses</v>
      </c>
      <c r="K1306">
        <f>VLOOKUP(C1306,'product_masterlist(ifs)'!A:I,7,FALSE)</f>
        <v>120</v>
      </c>
    </row>
    <row r="1307" spans="1:11" x14ac:dyDescent="0.35">
      <c r="A1307" t="s">
        <v>1592</v>
      </c>
      <c r="B1307" s="1">
        <v>45964</v>
      </c>
      <c r="C1307" t="s">
        <v>33</v>
      </c>
      <c r="D1307">
        <v>23</v>
      </c>
      <c r="E1307" t="s">
        <v>20</v>
      </c>
      <c r="F1307" t="s">
        <v>31</v>
      </c>
      <c r="G1307">
        <v>3450</v>
      </c>
      <c r="H1307">
        <v>45</v>
      </c>
      <c r="I1307" t="s">
        <v>34</v>
      </c>
      <c r="J1307" t="str">
        <f>_xlfn.XLOOKUP(C1307,'product_masterlist(ifs)'!A:A,'product_masterlist(ifs)'!C:C,"N/A",0)</f>
        <v>Surgical</v>
      </c>
      <c r="K1307">
        <f>VLOOKUP(C1307,'product_masterlist(ifs)'!A:I,7,FALSE)</f>
        <v>15</v>
      </c>
    </row>
    <row r="1308" spans="1:11" x14ac:dyDescent="0.35">
      <c r="A1308" t="s">
        <v>1593</v>
      </c>
      <c r="B1308" t="s">
        <v>119</v>
      </c>
      <c r="C1308" t="s">
        <v>42</v>
      </c>
      <c r="D1308">
        <v>7</v>
      </c>
      <c r="E1308" t="s">
        <v>22</v>
      </c>
      <c r="F1308" t="s">
        <v>23</v>
      </c>
      <c r="G1308">
        <v>175</v>
      </c>
      <c r="H1308">
        <v>21</v>
      </c>
      <c r="I1308" t="s">
        <v>14</v>
      </c>
      <c r="J1308" t="str">
        <f>_xlfn.XLOOKUP(C1308,'product_masterlist(ifs)'!A:A,'product_masterlist(ifs)'!C:C,"N/A",0)</f>
        <v>Contact Lenses</v>
      </c>
      <c r="K1308">
        <f>VLOOKUP(C1308,'product_masterlist(ifs)'!A:I,7,FALSE)</f>
        <v>120</v>
      </c>
    </row>
    <row r="1309" spans="1:11" x14ac:dyDescent="0.35">
      <c r="A1309" t="s">
        <v>1594</v>
      </c>
      <c r="B1309" s="1">
        <v>46000</v>
      </c>
      <c r="C1309" t="s">
        <v>42</v>
      </c>
      <c r="D1309">
        <v>24</v>
      </c>
      <c r="E1309" t="s">
        <v>22</v>
      </c>
      <c r="F1309" t="s">
        <v>13</v>
      </c>
      <c r="G1309">
        <v>600</v>
      </c>
      <c r="H1309">
        <v>21</v>
      </c>
      <c r="I1309" t="s">
        <v>14</v>
      </c>
      <c r="J1309" t="str">
        <f>_xlfn.XLOOKUP(C1309,'product_masterlist(ifs)'!A:A,'product_masterlist(ifs)'!C:C,"N/A",0)</f>
        <v>Contact Lenses</v>
      </c>
      <c r="K1309">
        <f>VLOOKUP(C1309,'product_masterlist(ifs)'!A:I,7,FALSE)</f>
        <v>120</v>
      </c>
    </row>
    <row r="1310" spans="1:11" x14ac:dyDescent="0.35">
      <c r="A1310" t="s">
        <v>1595</v>
      </c>
      <c r="B1310" t="s">
        <v>625</v>
      </c>
      <c r="C1310" t="s">
        <v>17</v>
      </c>
      <c r="D1310">
        <v>1</v>
      </c>
      <c r="E1310" t="s">
        <v>37</v>
      </c>
      <c r="F1310" t="s">
        <v>13</v>
      </c>
      <c r="G1310">
        <v>45</v>
      </c>
      <c r="H1310">
        <v>30</v>
      </c>
      <c r="I1310" t="s">
        <v>14</v>
      </c>
      <c r="J1310" t="str">
        <f>_xlfn.XLOOKUP(C1310,'product_masterlist(ifs)'!A:A,'product_masterlist(ifs)'!C:C,"N/A",0)</f>
        <v>Frames</v>
      </c>
      <c r="K1310">
        <f>VLOOKUP(C1310,'product_masterlist(ifs)'!A:I,7,FALSE)</f>
        <v>45</v>
      </c>
    </row>
    <row r="1311" spans="1:11" x14ac:dyDescent="0.35">
      <c r="A1311" t="s">
        <v>1596</v>
      </c>
      <c r="B1311" s="1">
        <v>45875</v>
      </c>
      <c r="C1311" t="s">
        <v>33</v>
      </c>
      <c r="D1311">
        <v>14</v>
      </c>
      <c r="E1311" t="s">
        <v>22</v>
      </c>
      <c r="F1311" t="s">
        <v>18</v>
      </c>
      <c r="G1311">
        <v>2100</v>
      </c>
      <c r="H1311">
        <v>45</v>
      </c>
      <c r="I1311" t="s">
        <v>34</v>
      </c>
      <c r="J1311" t="str">
        <f>_xlfn.XLOOKUP(C1311,'product_masterlist(ifs)'!A:A,'product_masterlist(ifs)'!C:C,"N/A",0)</f>
        <v>Surgical</v>
      </c>
      <c r="K1311">
        <f>VLOOKUP(C1311,'product_masterlist(ifs)'!A:I,7,FALSE)</f>
        <v>15</v>
      </c>
    </row>
    <row r="1312" spans="1:11" x14ac:dyDescent="0.35">
      <c r="A1312" t="s">
        <v>1597</v>
      </c>
      <c r="B1312" s="1">
        <v>45904</v>
      </c>
      <c r="C1312" t="s">
        <v>17</v>
      </c>
      <c r="D1312">
        <v>15</v>
      </c>
      <c r="E1312" t="s">
        <v>22</v>
      </c>
      <c r="F1312" t="s">
        <v>31</v>
      </c>
      <c r="G1312">
        <v>675</v>
      </c>
      <c r="H1312">
        <v>30</v>
      </c>
      <c r="I1312" t="s">
        <v>14</v>
      </c>
      <c r="J1312" t="str">
        <f>_xlfn.XLOOKUP(C1312,'product_masterlist(ifs)'!A:A,'product_masterlist(ifs)'!C:C,"N/A",0)</f>
        <v>Frames</v>
      </c>
      <c r="K1312">
        <f>VLOOKUP(C1312,'product_masterlist(ifs)'!A:I,7,FALSE)</f>
        <v>45</v>
      </c>
    </row>
    <row r="1313" spans="1:11" x14ac:dyDescent="0.35">
      <c r="A1313" t="s">
        <v>1598</v>
      </c>
      <c r="B1313" t="s">
        <v>838</v>
      </c>
      <c r="C1313" t="s">
        <v>11</v>
      </c>
      <c r="D1313">
        <v>9</v>
      </c>
      <c r="E1313" t="s">
        <v>37</v>
      </c>
      <c r="F1313" t="s">
        <v>13</v>
      </c>
      <c r="G1313">
        <v>765</v>
      </c>
      <c r="H1313">
        <v>30</v>
      </c>
      <c r="I1313" t="s">
        <v>14</v>
      </c>
      <c r="J1313" t="str">
        <f>_xlfn.XLOOKUP(C1313,'product_masterlist(ifs)'!A:A,'product_masterlist(ifs)'!C:C,"N/A",0)</f>
        <v>Surgical</v>
      </c>
      <c r="K1313">
        <f>VLOOKUP(C1313,'product_masterlist(ifs)'!A:I,7,FALSE)</f>
        <v>40</v>
      </c>
    </row>
    <row r="1314" spans="1:11" x14ac:dyDescent="0.35">
      <c r="A1314" t="s">
        <v>1599</v>
      </c>
      <c r="B1314" t="s">
        <v>588</v>
      </c>
      <c r="C1314" t="s">
        <v>90</v>
      </c>
      <c r="D1314">
        <v>11</v>
      </c>
      <c r="E1314" t="s">
        <v>37</v>
      </c>
      <c r="F1314" t="s">
        <v>13</v>
      </c>
      <c r="G1314" t="s">
        <v>238</v>
      </c>
      <c r="H1314">
        <v>30</v>
      </c>
      <c r="I1314" t="s">
        <v>14</v>
      </c>
      <c r="J1314" t="str">
        <f>_xlfn.XLOOKUP(C1314,'product_masterlist(ifs)'!A:A,'product_masterlist(ifs)'!C:C,"N/A",0)</f>
        <v>Frames</v>
      </c>
      <c r="K1314">
        <f>VLOOKUP(C1314,'product_masterlist(ifs)'!A:I,7,FALSE)</f>
        <v>180</v>
      </c>
    </row>
    <row r="1315" spans="1:11" x14ac:dyDescent="0.35">
      <c r="A1315" t="s">
        <v>1600</v>
      </c>
      <c r="B1315" t="s">
        <v>67</v>
      </c>
      <c r="C1315" t="s">
        <v>42</v>
      </c>
      <c r="D1315">
        <v>3</v>
      </c>
      <c r="E1315" t="s">
        <v>22</v>
      </c>
      <c r="F1315" t="s">
        <v>31</v>
      </c>
      <c r="G1315">
        <v>75</v>
      </c>
      <c r="H1315">
        <v>21</v>
      </c>
      <c r="I1315" t="s">
        <v>14</v>
      </c>
      <c r="J1315" t="str">
        <f>_xlfn.XLOOKUP(C1315,'product_masterlist(ifs)'!A:A,'product_masterlist(ifs)'!C:C,"N/A",0)</f>
        <v>Contact Lenses</v>
      </c>
      <c r="K1315">
        <f>VLOOKUP(C1315,'product_masterlist(ifs)'!A:I,7,FALSE)</f>
        <v>120</v>
      </c>
    </row>
    <row r="1316" spans="1:11" x14ac:dyDescent="0.35">
      <c r="A1316" t="s">
        <v>1601</v>
      </c>
      <c r="B1316" t="s">
        <v>168</v>
      </c>
      <c r="C1316" t="s">
        <v>33</v>
      </c>
      <c r="D1316">
        <v>9</v>
      </c>
      <c r="E1316" t="s">
        <v>37</v>
      </c>
      <c r="F1316" t="s">
        <v>23</v>
      </c>
      <c r="G1316">
        <v>1350</v>
      </c>
      <c r="H1316">
        <v>45</v>
      </c>
      <c r="I1316" t="s">
        <v>34</v>
      </c>
      <c r="J1316" t="str">
        <f>_xlfn.XLOOKUP(C1316,'product_masterlist(ifs)'!A:A,'product_masterlist(ifs)'!C:C,"N/A",0)</f>
        <v>Surgical</v>
      </c>
      <c r="K1316">
        <f>VLOOKUP(C1316,'product_masterlist(ifs)'!A:I,7,FALSE)</f>
        <v>15</v>
      </c>
    </row>
    <row r="1317" spans="1:11" x14ac:dyDescent="0.35">
      <c r="A1317" t="s">
        <v>1602</v>
      </c>
      <c r="B1317" s="1">
        <v>45786</v>
      </c>
      <c r="C1317" t="s">
        <v>26</v>
      </c>
      <c r="D1317">
        <v>22</v>
      </c>
      <c r="E1317" t="s">
        <v>22</v>
      </c>
      <c r="F1317" t="s">
        <v>31</v>
      </c>
      <c r="G1317">
        <v>275</v>
      </c>
      <c r="H1317">
        <v>14</v>
      </c>
      <c r="I1317" t="s">
        <v>28</v>
      </c>
      <c r="J1317" t="str">
        <f>_xlfn.XLOOKUP(C1317,'product_masterlist(ifs)'!A:A,'product_masterlist(ifs)'!C:C,"N/A",0)</f>
        <v>Contact Lenses</v>
      </c>
      <c r="K1317">
        <f>VLOOKUP(C1317,'product_masterlist(ifs)'!A:I,7,FALSE)</f>
        <v>450</v>
      </c>
    </row>
    <row r="1318" spans="1:11" x14ac:dyDescent="0.35">
      <c r="A1318" t="s">
        <v>1603</v>
      </c>
      <c r="B1318" s="1">
        <v>45874</v>
      </c>
      <c r="C1318" t="s">
        <v>26</v>
      </c>
      <c r="D1318">
        <v>21</v>
      </c>
      <c r="E1318" t="s">
        <v>12</v>
      </c>
      <c r="F1318" t="s">
        <v>31</v>
      </c>
      <c r="G1318" t="s">
        <v>366</v>
      </c>
      <c r="H1318">
        <v>14</v>
      </c>
      <c r="I1318" t="s">
        <v>28</v>
      </c>
      <c r="J1318" t="str">
        <f>_xlfn.XLOOKUP(C1318,'product_masterlist(ifs)'!A:A,'product_masterlist(ifs)'!C:C,"N/A",0)</f>
        <v>Contact Lenses</v>
      </c>
      <c r="K1318">
        <f>VLOOKUP(C1318,'product_masterlist(ifs)'!A:I,7,FALSE)</f>
        <v>450</v>
      </c>
    </row>
    <row r="1319" spans="1:11" x14ac:dyDescent="0.35">
      <c r="A1319" t="s">
        <v>1604</v>
      </c>
      <c r="B1319" s="1">
        <v>45665</v>
      </c>
      <c r="C1319" t="s">
        <v>33</v>
      </c>
      <c r="D1319">
        <v>20</v>
      </c>
      <c r="E1319" t="s">
        <v>12</v>
      </c>
      <c r="F1319" t="s">
        <v>31</v>
      </c>
      <c r="G1319">
        <v>3000</v>
      </c>
      <c r="H1319">
        <v>45</v>
      </c>
      <c r="I1319" t="s">
        <v>34</v>
      </c>
      <c r="J1319" t="str">
        <f>_xlfn.XLOOKUP(C1319,'product_masterlist(ifs)'!A:A,'product_masterlist(ifs)'!C:C,"N/A",0)</f>
        <v>Surgical</v>
      </c>
      <c r="K1319">
        <f>VLOOKUP(C1319,'product_masterlist(ifs)'!A:I,7,FALSE)</f>
        <v>15</v>
      </c>
    </row>
    <row r="1320" spans="1:11" x14ac:dyDescent="0.35">
      <c r="A1320" t="s">
        <v>1605</v>
      </c>
      <c r="B1320" s="1">
        <v>45779</v>
      </c>
      <c r="C1320" t="s">
        <v>17</v>
      </c>
      <c r="D1320">
        <v>22</v>
      </c>
      <c r="E1320" t="s">
        <v>20</v>
      </c>
      <c r="F1320" t="s">
        <v>18</v>
      </c>
      <c r="G1320">
        <v>990</v>
      </c>
      <c r="H1320">
        <v>30</v>
      </c>
      <c r="I1320" t="s">
        <v>14</v>
      </c>
      <c r="J1320" t="str">
        <f>_xlfn.XLOOKUP(C1320,'product_masterlist(ifs)'!A:A,'product_masterlist(ifs)'!C:C,"N/A",0)</f>
        <v>Frames</v>
      </c>
      <c r="K1320">
        <f>VLOOKUP(C1320,'product_masterlist(ifs)'!A:I,7,FALSE)</f>
        <v>45</v>
      </c>
    </row>
    <row r="1321" spans="1:11" x14ac:dyDescent="0.35">
      <c r="A1321" t="s">
        <v>1606</v>
      </c>
      <c r="B1321" t="s">
        <v>289</v>
      </c>
      <c r="C1321" t="s">
        <v>42</v>
      </c>
      <c r="D1321">
        <v>11</v>
      </c>
      <c r="E1321" t="s">
        <v>12</v>
      </c>
      <c r="F1321" t="s">
        <v>13</v>
      </c>
      <c r="G1321">
        <v>275</v>
      </c>
      <c r="H1321">
        <v>21</v>
      </c>
      <c r="I1321" t="s">
        <v>14</v>
      </c>
      <c r="J1321" t="str">
        <f>_xlfn.XLOOKUP(C1321,'product_masterlist(ifs)'!A:A,'product_masterlist(ifs)'!C:C,"N/A",0)</f>
        <v>Contact Lenses</v>
      </c>
      <c r="K1321">
        <f>VLOOKUP(C1321,'product_masterlist(ifs)'!A:I,7,FALSE)</f>
        <v>120</v>
      </c>
    </row>
    <row r="1322" spans="1:11" x14ac:dyDescent="0.35">
      <c r="A1322" t="s">
        <v>1607</v>
      </c>
      <c r="B1322" s="1">
        <v>45992</v>
      </c>
      <c r="C1322" t="s">
        <v>26</v>
      </c>
      <c r="D1322">
        <v>16</v>
      </c>
      <c r="E1322" t="s">
        <v>20</v>
      </c>
      <c r="F1322" t="s">
        <v>13</v>
      </c>
      <c r="G1322">
        <v>200</v>
      </c>
      <c r="H1322">
        <v>14</v>
      </c>
      <c r="I1322" t="s">
        <v>28</v>
      </c>
      <c r="J1322" t="str">
        <f>_xlfn.XLOOKUP(C1322,'product_masterlist(ifs)'!A:A,'product_masterlist(ifs)'!C:C,"N/A",0)</f>
        <v>Contact Lenses</v>
      </c>
      <c r="K1322">
        <f>VLOOKUP(C1322,'product_masterlist(ifs)'!A:I,7,FALSE)</f>
        <v>450</v>
      </c>
    </row>
    <row r="1323" spans="1:11" x14ac:dyDescent="0.35">
      <c r="A1323" t="s">
        <v>1608</v>
      </c>
      <c r="B1323" s="1">
        <v>45755</v>
      </c>
      <c r="C1323" t="s">
        <v>33</v>
      </c>
      <c r="D1323">
        <v>2</v>
      </c>
      <c r="E1323" t="s">
        <v>37</v>
      </c>
      <c r="F1323" t="s">
        <v>23</v>
      </c>
      <c r="G1323">
        <v>300</v>
      </c>
      <c r="H1323">
        <v>45</v>
      </c>
      <c r="I1323" t="s">
        <v>34</v>
      </c>
      <c r="J1323" t="str">
        <f>_xlfn.XLOOKUP(C1323,'product_masterlist(ifs)'!A:A,'product_masterlist(ifs)'!C:C,"N/A",0)</f>
        <v>Surgical</v>
      </c>
      <c r="K1323">
        <f>VLOOKUP(C1323,'product_masterlist(ifs)'!A:I,7,FALSE)</f>
        <v>15</v>
      </c>
    </row>
    <row r="1324" spans="1:11" x14ac:dyDescent="0.35">
      <c r="A1324" t="s">
        <v>1609</v>
      </c>
      <c r="B1324" t="s">
        <v>60</v>
      </c>
      <c r="C1324" t="s">
        <v>53</v>
      </c>
      <c r="D1324">
        <v>6</v>
      </c>
      <c r="E1324" t="s">
        <v>20</v>
      </c>
      <c r="F1324" t="s">
        <v>31</v>
      </c>
      <c r="G1324" t="s">
        <v>369</v>
      </c>
      <c r="H1324">
        <v>7</v>
      </c>
      <c r="I1324" t="s">
        <v>28</v>
      </c>
      <c r="J1324" t="str">
        <f>_xlfn.XLOOKUP(C1324,'product_masterlist(ifs)'!A:A,'product_masterlist(ifs)'!C:C,"N/A",0)</f>
        <v>Solutions</v>
      </c>
      <c r="K1324">
        <f>VLOOKUP(C1324,'product_masterlist(ifs)'!A:I,7,FALSE)</f>
        <v>800</v>
      </c>
    </row>
    <row r="1325" spans="1:11" x14ac:dyDescent="0.35">
      <c r="A1325" t="s">
        <v>1610</v>
      </c>
      <c r="B1325" t="s">
        <v>310</v>
      </c>
      <c r="C1325" t="s">
        <v>17</v>
      </c>
      <c r="D1325">
        <v>12</v>
      </c>
      <c r="E1325" t="s">
        <v>22</v>
      </c>
      <c r="F1325" t="s">
        <v>13</v>
      </c>
      <c r="G1325">
        <v>540</v>
      </c>
      <c r="H1325">
        <v>30</v>
      </c>
      <c r="I1325" t="s">
        <v>14</v>
      </c>
      <c r="J1325" t="str">
        <f>_xlfn.XLOOKUP(C1325,'product_masterlist(ifs)'!A:A,'product_masterlist(ifs)'!C:C,"N/A",0)</f>
        <v>Frames</v>
      </c>
      <c r="K1325">
        <f>VLOOKUP(C1325,'product_masterlist(ifs)'!A:I,7,FALSE)</f>
        <v>45</v>
      </c>
    </row>
    <row r="1326" spans="1:11" x14ac:dyDescent="0.35">
      <c r="A1326" t="s">
        <v>1611</v>
      </c>
      <c r="B1326" t="s">
        <v>708</v>
      </c>
      <c r="C1326" t="s">
        <v>33</v>
      </c>
      <c r="D1326">
        <v>2</v>
      </c>
      <c r="E1326" t="s">
        <v>22</v>
      </c>
      <c r="F1326" t="s">
        <v>31</v>
      </c>
      <c r="G1326">
        <v>300</v>
      </c>
      <c r="H1326">
        <v>45</v>
      </c>
      <c r="I1326" t="s">
        <v>34</v>
      </c>
      <c r="J1326" t="str">
        <f>_xlfn.XLOOKUP(C1326,'product_masterlist(ifs)'!A:A,'product_masterlist(ifs)'!C:C,"N/A",0)</f>
        <v>Surgical</v>
      </c>
      <c r="K1326">
        <f>VLOOKUP(C1326,'product_masterlist(ifs)'!A:I,7,FALSE)</f>
        <v>15</v>
      </c>
    </row>
    <row r="1327" spans="1:11" x14ac:dyDescent="0.35">
      <c r="A1327" t="s">
        <v>1612</v>
      </c>
      <c r="B1327" t="s">
        <v>515</v>
      </c>
      <c r="C1327" t="s">
        <v>90</v>
      </c>
      <c r="D1327">
        <v>9</v>
      </c>
      <c r="E1327" t="s">
        <v>37</v>
      </c>
      <c r="F1327" t="s">
        <v>18</v>
      </c>
      <c r="G1327" t="s">
        <v>91</v>
      </c>
      <c r="H1327">
        <v>30</v>
      </c>
      <c r="I1327" t="s">
        <v>14</v>
      </c>
      <c r="J1327" t="str">
        <f>_xlfn.XLOOKUP(C1327,'product_masterlist(ifs)'!A:A,'product_masterlist(ifs)'!C:C,"N/A",0)</f>
        <v>Frames</v>
      </c>
      <c r="K1327">
        <f>VLOOKUP(C1327,'product_masterlist(ifs)'!A:I,7,FALSE)</f>
        <v>180</v>
      </c>
    </row>
    <row r="1328" spans="1:11" x14ac:dyDescent="0.35">
      <c r="A1328" t="s">
        <v>1613</v>
      </c>
      <c r="B1328" s="1">
        <v>45901</v>
      </c>
      <c r="C1328" t="s">
        <v>17</v>
      </c>
      <c r="D1328">
        <v>8</v>
      </c>
      <c r="E1328" t="s">
        <v>22</v>
      </c>
      <c r="F1328" t="s">
        <v>13</v>
      </c>
      <c r="G1328">
        <v>360</v>
      </c>
      <c r="H1328">
        <v>30</v>
      </c>
      <c r="I1328" t="s">
        <v>14</v>
      </c>
      <c r="J1328" t="str">
        <f>_xlfn.XLOOKUP(C1328,'product_masterlist(ifs)'!A:A,'product_masterlist(ifs)'!C:C,"N/A",0)</f>
        <v>Frames</v>
      </c>
      <c r="K1328">
        <f>VLOOKUP(C1328,'product_masterlist(ifs)'!A:I,7,FALSE)</f>
        <v>45</v>
      </c>
    </row>
    <row r="1329" spans="1:11" x14ac:dyDescent="0.35">
      <c r="A1329" t="s">
        <v>1614</v>
      </c>
      <c r="B1329" t="s">
        <v>393</v>
      </c>
      <c r="C1329" t="s">
        <v>17</v>
      </c>
      <c r="D1329">
        <v>2</v>
      </c>
      <c r="E1329" t="s">
        <v>22</v>
      </c>
      <c r="F1329" t="s">
        <v>18</v>
      </c>
      <c r="G1329">
        <v>90</v>
      </c>
      <c r="H1329">
        <v>30</v>
      </c>
      <c r="I1329" t="s">
        <v>14</v>
      </c>
      <c r="J1329" t="str">
        <f>_xlfn.XLOOKUP(C1329,'product_masterlist(ifs)'!A:A,'product_masterlist(ifs)'!C:C,"N/A",0)</f>
        <v>Frames</v>
      </c>
      <c r="K1329">
        <f>VLOOKUP(C1329,'product_masterlist(ifs)'!A:I,7,FALSE)</f>
        <v>45</v>
      </c>
    </row>
    <row r="1330" spans="1:11" x14ac:dyDescent="0.35">
      <c r="A1330" t="s">
        <v>1615</v>
      </c>
      <c r="B1330" t="s">
        <v>1578</v>
      </c>
      <c r="C1330" t="s">
        <v>11</v>
      </c>
      <c r="D1330">
        <v>14</v>
      </c>
      <c r="E1330" t="s">
        <v>22</v>
      </c>
      <c r="F1330" t="s">
        <v>23</v>
      </c>
      <c r="G1330">
        <v>1190</v>
      </c>
      <c r="H1330">
        <v>30</v>
      </c>
      <c r="I1330" t="s">
        <v>14</v>
      </c>
      <c r="J1330" t="str">
        <f>_xlfn.XLOOKUP(C1330,'product_masterlist(ifs)'!A:A,'product_masterlist(ifs)'!C:C,"N/A",0)</f>
        <v>Surgical</v>
      </c>
      <c r="K1330">
        <f>VLOOKUP(C1330,'product_masterlist(ifs)'!A:I,7,FALSE)</f>
        <v>40</v>
      </c>
    </row>
    <row r="1331" spans="1:11" x14ac:dyDescent="0.35">
      <c r="A1331" t="s">
        <v>1616</v>
      </c>
      <c r="B1331" t="s">
        <v>60</v>
      </c>
      <c r="C1331" t="s">
        <v>53</v>
      </c>
      <c r="D1331">
        <v>9</v>
      </c>
      <c r="E1331" t="s">
        <v>22</v>
      </c>
      <c r="F1331" t="s">
        <v>13</v>
      </c>
      <c r="G1331" t="s">
        <v>75</v>
      </c>
      <c r="H1331">
        <v>7</v>
      </c>
      <c r="I1331" t="s">
        <v>28</v>
      </c>
      <c r="J1331" t="str">
        <f>_xlfn.XLOOKUP(C1331,'product_masterlist(ifs)'!A:A,'product_masterlist(ifs)'!C:C,"N/A",0)</f>
        <v>Solutions</v>
      </c>
      <c r="K1331">
        <f>VLOOKUP(C1331,'product_masterlist(ifs)'!A:I,7,FALSE)</f>
        <v>800</v>
      </c>
    </row>
    <row r="1332" spans="1:11" x14ac:dyDescent="0.35">
      <c r="A1332" t="s">
        <v>1617</v>
      </c>
      <c r="B1332" t="s">
        <v>952</v>
      </c>
      <c r="C1332" t="s">
        <v>42</v>
      </c>
      <c r="D1332">
        <v>17</v>
      </c>
      <c r="E1332" t="s">
        <v>12</v>
      </c>
      <c r="F1332" t="s">
        <v>18</v>
      </c>
      <c r="G1332">
        <v>425</v>
      </c>
      <c r="H1332">
        <v>21</v>
      </c>
      <c r="I1332" t="s">
        <v>14</v>
      </c>
      <c r="J1332" t="str">
        <f>_xlfn.XLOOKUP(C1332,'product_masterlist(ifs)'!A:A,'product_masterlist(ifs)'!C:C,"N/A",0)</f>
        <v>Contact Lenses</v>
      </c>
      <c r="K1332">
        <f>VLOOKUP(C1332,'product_masterlist(ifs)'!A:I,7,FALSE)</f>
        <v>120</v>
      </c>
    </row>
    <row r="1333" spans="1:11" x14ac:dyDescent="0.35">
      <c r="A1333" t="s">
        <v>1618</v>
      </c>
      <c r="B1333" t="s">
        <v>651</v>
      </c>
      <c r="C1333" t="s">
        <v>11</v>
      </c>
      <c r="D1333">
        <v>4</v>
      </c>
      <c r="E1333" t="s">
        <v>22</v>
      </c>
      <c r="F1333" t="s">
        <v>23</v>
      </c>
      <c r="G1333">
        <v>340</v>
      </c>
      <c r="H1333">
        <v>30</v>
      </c>
      <c r="I1333" t="s">
        <v>14</v>
      </c>
      <c r="J1333" t="str">
        <f>_xlfn.XLOOKUP(C1333,'product_masterlist(ifs)'!A:A,'product_masterlist(ifs)'!C:C,"N/A",0)</f>
        <v>Surgical</v>
      </c>
      <c r="K1333">
        <f>VLOOKUP(C1333,'product_masterlist(ifs)'!A:I,7,FALSE)</f>
        <v>40</v>
      </c>
    </row>
    <row r="1334" spans="1:11" x14ac:dyDescent="0.35">
      <c r="A1334" t="s">
        <v>1619</v>
      </c>
      <c r="B1334" t="s">
        <v>36</v>
      </c>
      <c r="C1334" t="s">
        <v>42</v>
      </c>
      <c r="D1334">
        <v>23</v>
      </c>
      <c r="E1334" t="s">
        <v>20</v>
      </c>
      <c r="F1334" t="s">
        <v>31</v>
      </c>
      <c r="G1334">
        <v>575</v>
      </c>
      <c r="H1334">
        <v>21</v>
      </c>
      <c r="I1334" t="s">
        <v>14</v>
      </c>
      <c r="J1334" t="str">
        <f>_xlfn.XLOOKUP(C1334,'product_masterlist(ifs)'!A:A,'product_masterlist(ifs)'!C:C,"N/A",0)</f>
        <v>Contact Lenses</v>
      </c>
      <c r="K1334">
        <f>VLOOKUP(C1334,'product_masterlist(ifs)'!A:I,7,FALSE)</f>
        <v>120</v>
      </c>
    </row>
    <row r="1335" spans="1:11" x14ac:dyDescent="0.35">
      <c r="A1335" t="s">
        <v>1620</v>
      </c>
      <c r="B1335" t="s">
        <v>87</v>
      </c>
      <c r="C1335" t="s">
        <v>90</v>
      </c>
      <c r="D1335">
        <v>6</v>
      </c>
      <c r="E1335" t="s">
        <v>20</v>
      </c>
      <c r="F1335" t="s">
        <v>31</v>
      </c>
      <c r="G1335">
        <v>291</v>
      </c>
      <c r="H1335">
        <v>30</v>
      </c>
      <c r="I1335" t="s">
        <v>14</v>
      </c>
      <c r="J1335" t="str">
        <f>_xlfn.XLOOKUP(C1335,'product_masterlist(ifs)'!A:A,'product_masterlist(ifs)'!C:C,"N/A",0)</f>
        <v>Frames</v>
      </c>
      <c r="K1335">
        <f>VLOOKUP(C1335,'product_masterlist(ifs)'!A:I,7,FALSE)</f>
        <v>180</v>
      </c>
    </row>
    <row r="1336" spans="1:11" x14ac:dyDescent="0.35">
      <c r="A1336" t="s">
        <v>1621</v>
      </c>
      <c r="B1336" s="1">
        <v>45727</v>
      </c>
      <c r="C1336" t="s">
        <v>33</v>
      </c>
      <c r="D1336">
        <v>6</v>
      </c>
      <c r="E1336" t="s">
        <v>37</v>
      </c>
      <c r="F1336" t="s">
        <v>31</v>
      </c>
      <c r="G1336">
        <v>900</v>
      </c>
      <c r="H1336">
        <v>45</v>
      </c>
      <c r="I1336" t="s">
        <v>34</v>
      </c>
      <c r="J1336" t="str">
        <f>_xlfn.XLOOKUP(C1336,'product_masterlist(ifs)'!A:A,'product_masterlist(ifs)'!C:C,"N/A",0)</f>
        <v>Surgical</v>
      </c>
      <c r="K1336">
        <f>VLOOKUP(C1336,'product_masterlist(ifs)'!A:I,7,FALSE)</f>
        <v>15</v>
      </c>
    </row>
    <row r="1337" spans="1:11" x14ac:dyDescent="0.35">
      <c r="A1337" t="s">
        <v>1622</v>
      </c>
      <c r="B1337" t="s">
        <v>436</v>
      </c>
      <c r="C1337" t="s">
        <v>90</v>
      </c>
      <c r="D1337">
        <v>14</v>
      </c>
      <c r="E1337" t="s">
        <v>20</v>
      </c>
      <c r="F1337" t="s">
        <v>18</v>
      </c>
      <c r="G1337">
        <v>679</v>
      </c>
      <c r="H1337">
        <v>30</v>
      </c>
      <c r="I1337" t="s">
        <v>14</v>
      </c>
      <c r="J1337" t="str">
        <f>_xlfn.XLOOKUP(C1337,'product_masterlist(ifs)'!A:A,'product_masterlist(ifs)'!C:C,"N/A",0)</f>
        <v>Frames</v>
      </c>
      <c r="K1337">
        <f>VLOOKUP(C1337,'product_masterlist(ifs)'!A:I,7,FALSE)</f>
        <v>180</v>
      </c>
    </row>
    <row r="1338" spans="1:11" x14ac:dyDescent="0.35">
      <c r="A1338" t="s">
        <v>1623</v>
      </c>
      <c r="B1338" s="1">
        <v>45938</v>
      </c>
      <c r="C1338" t="s">
        <v>11</v>
      </c>
      <c r="D1338">
        <v>9</v>
      </c>
      <c r="E1338" t="s">
        <v>37</v>
      </c>
      <c r="F1338" t="s">
        <v>13</v>
      </c>
      <c r="G1338">
        <v>765</v>
      </c>
      <c r="H1338">
        <v>30</v>
      </c>
      <c r="I1338" t="s">
        <v>14</v>
      </c>
      <c r="J1338" t="str">
        <f>_xlfn.XLOOKUP(C1338,'product_masterlist(ifs)'!A:A,'product_masterlist(ifs)'!C:C,"N/A",0)</f>
        <v>Surgical</v>
      </c>
      <c r="K1338">
        <f>VLOOKUP(C1338,'product_masterlist(ifs)'!A:I,7,FALSE)</f>
        <v>40</v>
      </c>
    </row>
    <row r="1339" spans="1:11" x14ac:dyDescent="0.35">
      <c r="A1339" t="s">
        <v>1624</v>
      </c>
      <c r="B1339" t="s">
        <v>1190</v>
      </c>
      <c r="C1339" t="s">
        <v>90</v>
      </c>
      <c r="D1339">
        <v>4</v>
      </c>
      <c r="E1339" t="s">
        <v>22</v>
      </c>
      <c r="F1339" t="s">
        <v>23</v>
      </c>
      <c r="G1339">
        <v>194</v>
      </c>
      <c r="H1339">
        <v>30</v>
      </c>
      <c r="I1339" t="s">
        <v>14</v>
      </c>
      <c r="J1339" t="str">
        <f>_xlfn.XLOOKUP(C1339,'product_masterlist(ifs)'!A:A,'product_masterlist(ifs)'!C:C,"N/A",0)</f>
        <v>Frames</v>
      </c>
      <c r="K1339">
        <f>VLOOKUP(C1339,'product_masterlist(ifs)'!A:I,7,FALSE)</f>
        <v>180</v>
      </c>
    </row>
    <row r="1340" spans="1:11" x14ac:dyDescent="0.35">
      <c r="A1340" t="s">
        <v>1625</v>
      </c>
      <c r="B1340" s="1">
        <v>45814</v>
      </c>
      <c r="C1340" t="s">
        <v>42</v>
      </c>
      <c r="D1340">
        <v>25</v>
      </c>
      <c r="E1340" t="s">
        <v>22</v>
      </c>
      <c r="F1340" t="s">
        <v>13</v>
      </c>
      <c r="G1340">
        <v>625</v>
      </c>
      <c r="H1340">
        <v>21</v>
      </c>
      <c r="I1340" t="s">
        <v>14</v>
      </c>
      <c r="J1340" t="str">
        <f>_xlfn.XLOOKUP(C1340,'product_masterlist(ifs)'!A:A,'product_masterlist(ifs)'!C:C,"N/A",0)</f>
        <v>Contact Lenses</v>
      </c>
      <c r="K1340">
        <f>VLOOKUP(C1340,'product_masterlist(ifs)'!A:I,7,FALSE)</f>
        <v>120</v>
      </c>
    </row>
    <row r="1341" spans="1:11" x14ac:dyDescent="0.35">
      <c r="A1341" t="s">
        <v>1626</v>
      </c>
      <c r="B1341" t="s">
        <v>161</v>
      </c>
      <c r="C1341" t="s">
        <v>26</v>
      </c>
      <c r="D1341">
        <v>8</v>
      </c>
      <c r="E1341" t="s">
        <v>20</v>
      </c>
      <c r="F1341" t="s">
        <v>31</v>
      </c>
      <c r="G1341">
        <v>100</v>
      </c>
      <c r="H1341">
        <v>14</v>
      </c>
      <c r="I1341" t="s">
        <v>28</v>
      </c>
      <c r="J1341" t="str">
        <f>_xlfn.XLOOKUP(C1341,'product_masterlist(ifs)'!A:A,'product_masterlist(ifs)'!C:C,"N/A",0)</f>
        <v>Contact Lenses</v>
      </c>
      <c r="K1341">
        <f>VLOOKUP(C1341,'product_masterlist(ifs)'!A:I,7,FALSE)</f>
        <v>450</v>
      </c>
    </row>
    <row r="1342" spans="1:11" x14ac:dyDescent="0.35">
      <c r="A1342" t="s">
        <v>1627</v>
      </c>
      <c r="B1342" t="s">
        <v>60</v>
      </c>
      <c r="C1342" t="s">
        <v>42</v>
      </c>
      <c r="D1342">
        <v>25</v>
      </c>
      <c r="E1342" t="s">
        <v>22</v>
      </c>
      <c r="F1342" t="s">
        <v>18</v>
      </c>
      <c r="G1342">
        <v>625</v>
      </c>
      <c r="H1342">
        <v>21</v>
      </c>
      <c r="I1342" t="s">
        <v>14</v>
      </c>
      <c r="J1342" t="str">
        <f>_xlfn.XLOOKUP(C1342,'product_masterlist(ifs)'!A:A,'product_masterlist(ifs)'!C:C,"N/A",0)</f>
        <v>Contact Lenses</v>
      </c>
      <c r="K1342">
        <f>VLOOKUP(C1342,'product_masterlist(ifs)'!A:I,7,FALSE)</f>
        <v>120</v>
      </c>
    </row>
    <row r="1343" spans="1:11" x14ac:dyDescent="0.35">
      <c r="A1343" t="s">
        <v>1628</v>
      </c>
      <c r="B1343" t="s">
        <v>802</v>
      </c>
      <c r="C1343" t="s">
        <v>90</v>
      </c>
      <c r="D1343">
        <v>10</v>
      </c>
      <c r="E1343" t="s">
        <v>20</v>
      </c>
      <c r="F1343" t="s">
        <v>31</v>
      </c>
      <c r="G1343">
        <v>485</v>
      </c>
      <c r="H1343">
        <v>30</v>
      </c>
      <c r="I1343" t="s">
        <v>14</v>
      </c>
      <c r="J1343" t="str">
        <f>_xlfn.XLOOKUP(C1343,'product_masterlist(ifs)'!A:A,'product_masterlist(ifs)'!C:C,"N/A",0)</f>
        <v>Frames</v>
      </c>
      <c r="K1343">
        <f>VLOOKUP(C1343,'product_masterlist(ifs)'!A:I,7,FALSE)</f>
        <v>180</v>
      </c>
    </row>
    <row r="1344" spans="1:11" x14ac:dyDescent="0.35">
      <c r="A1344" t="s">
        <v>1629</v>
      </c>
      <c r="B1344" t="s">
        <v>151</v>
      </c>
      <c r="C1344" t="s">
        <v>90</v>
      </c>
      <c r="D1344">
        <v>18</v>
      </c>
      <c r="E1344" t="s">
        <v>20</v>
      </c>
      <c r="F1344" t="s">
        <v>31</v>
      </c>
      <c r="G1344">
        <v>873</v>
      </c>
      <c r="H1344">
        <v>30</v>
      </c>
      <c r="I1344" t="s">
        <v>14</v>
      </c>
      <c r="J1344" t="str">
        <f>_xlfn.XLOOKUP(C1344,'product_masterlist(ifs)'!A:A,'product_masterlist(ifs)'!C:C,"N/A",0)</f>
        <v>Frames</v>
      </c>
      <c r="K1344">
        <f>VLOOKUP(C1344,'product_masterlist(ifs)'!A:I,7,FALSE)</f>
        <v>180</v>
      </c>
    </row>
    <row r="1345" spans="1:11" x14ac:dyDescent="0.35">
      <c r="A1345" t="s">
        <v>1630</v>
      </c>
      <c r="B1345" t="s">
        <v>315</v>
      </c>
      <c r="C1345" t="s">
        <v>42</v>
      </c>
      <c r="D1345">
        <v>17</v>
      </c>
      <c r="E1345" t="s">
        <v>22</v>
      </c>
      <c r="F1345" t="s">
        <v>23</v>
      </c>
      <c r="G1345">
        <v>425</v>
      </c>
      <c r="H1345">
        <v>21</v>
      </c>
      <c r="I1345" t="s">
        <v>14</v>
      </c>
      <c r="J1345" t="str">
        <f>_xlfn.XLOOKUP(C1345,'product_masterlist(ifs)'!A:A,'product_masterlist(ifs)'!C:C,"N/A",0)</f>
        <v>Contact Lenses</v>
      </c>
      <c r="K1345">
        <f>VLOOKUP(C1345,'product_masterlist(ifs)'!A:I,7,FALSE)</f>
        <v>120</v>
      </c>
    </row>
    <row r="1346" spans="1:11" x14ac:dyDescent="0.35">
      <c r="A1346" t="s">
        <v>1631</v>
      </c>
      <c r="B1346" s="1">
        <v>45908</v>
      </c>
      <c r="C1346" t="s">
        <v>33</v>
      </c>
      <c r="D1346">
        <v>6</v>
      </c>
      <c r="E1346" t="s">
        <v>22</v>
      </c>
      <c r="F1346" t="s">
        <v>13</v>
      </c>
      <c r="G1346">
        <v>900</v>
      </c>
      <c r="H1346">
        <v>45</v>
      </c>
      <c r="I1346" t="s">
        <v>34</v>
      </c>
      <c r="J1346" t="str">
        <f>_xlfn.XLOOKUP(C1346,'product_masterlist(ifs)'!A:A,'product_masterlist(ifs)'!C:C,"N/A",0)</f>
        <v>Surgical</v>
      </c>
      <c r="K1346">
        <f>VLOOKUP(C1346,'product_masterlist(ifs)'!A:I,7,FALSE)</f>
        <v>15</v>
      </c>
    </row>
    <row r="1347" spans="1:11" x14ac:dyDescent="0.35">
      <c r="A1347" t="s">
        <v>1632</v>
      </c>
      <c r="B1347" t="s">
        <v>224</v>
      </c>
      <c r="C1347" t="s">
        <v>42</v>
      </c>
      <c r="D1347">
        <v>8</v>
      </c>
      <c r="E1347" t="s">
        <v>12</v>
      </c>
      <c r="F1347" t="s">
        <v>23</v>
      </c>
      <c r="G1347">
        <v>200</v>
      </c>
      <c r="H1347">
        <v>21</v>
      </c>
      <c r="I1347" t="s">
        <v>14</v>
      </c>
      <c r="J1347" t="str">
        <f>_xlfn.XLOOKUP(C1347,'product_masterlist(ifs)'!A:A,'product_masterlist(ifs)'!C:C,"N/A",0)</f>
        <v>Contact Lenses</v>
      </c>
      <c r="K1347">
        <f>VLOOKUP(C1347,'product_masterlist(ifs)'!A:I,7,FALSE)</f>
        <v>120</v>
      </c>
    </row>
    <row r="1348" spans="1:11" x14ac:dyDescent="0.35">
      <c r="A1348" t="s">
        <v>1633</v>
      </c>
      <c r="B1348" t="s">
        <v>317</v>
      </c>
      <c r="C1348" t="s">
        <v>90</v>
      </c>
      <c r="D1348">
        <v>2</v>
      </c>
      <c r="E1348" t="s">
        <v>20</v>
      </c>
      <c r="F1348" t="s">
        <v>18</v>
      </c>
      <c r="G1348">
        <v>97</v>
      </c>
      <c r="H1348">
        <v>30</v>
      </c>
      <c r="I1348" t="s">
        <v>14</v>
      </c>
      <c r="J1348" t="str">
        <f>_xlfn.XLOOKUP(C1348,'product_masterlist(ifs)'!A:A,'product_masterlist(ifs)'!C:C,"N/A",0)</f>
        <v>Frames</v>
      </c>
      <c r="K1348">
        <f>VLOOKUP(C1348,'product_masterlist(ifs)'!A:I,7,FALSE)</f>
        <v>180</v>
      </c>
    </row>
    <row r="1349" spans="1:11" x14ac:dyDescent="0.35">
      <c r="A1349" t="s">
        <v>1634</v>
      </c>
      <c r="B1349" t="s">
        <v>146</v>
      </c>
      <c r="C1349" t="s">
        <v>53</v>
      </c>
      <c r="D1349">
        <v>7</v>
      </c>
      <c r="E1349" t="s">
        <v>12</v>
      </c>
      <c r="F1349" t="s">
        <v>13</v>
      </c>
      <c r="G1349" t="s">
        <v>320</v>
      </c>
      <c r="H1349">
        <v>7</v>
      </c>
      <c r="I1349" t="s">
        <v>28</v>
      </c>
      <c r="J1349" t="str">
        <f>_xlfn.XLOOKUP(C1349,'product_masterlist(ifs)'!A:A,'product_masterlist(ifs)'!C:C,"N/A",0)</f>
        <v>Solutions</v>
      </c>
      <c r="K1349">
        <f>VLOOKUP(C1349,'product_masterlist(ifs)'!A:I,7,FALSE)</f>
        <v>800</v>
      </c>
    </row>
    <row r="1350" spans="1:11" x14ac:dyDescent="0.35">
      <c r="A1350" t="s">
        <v>1635</v>
      </c>
      <c r="B1350" s="1">
        <v>45750</v>
      </c>
      <c r="C1350" t="s">
        <v>33</v>
      </c>
      <c r="D1350">
        <v>3</v>
      </c>
      <c r="E1350" t="s">
        <v>12</v>
      </c>
      <c r="F1350" t="s">
        <v>13</v>
      </c>
      <c r="G1350">
        <v>450</v>
      </c>
      <c r="H1350">
        <v>45</v>
      </c>
      <c r="I1350" t="s">
        <v>34</v>
      </c>
      <c r="J1350" t="str">
        <f>_xlfn.XLOOKUP(C1350,'product_masterlist(ifs)'!A:A,'product_masterlist(ifs)'!C:C,"N/A",0)</f>
        <v>Surgical</v>
      </c>
      <c r="K1350">
        <f>VLOOKUP(C1350,'product_masterlist(ifs)'!A:I,7,FALSE)</f>
        <v>15</v>
      </c>
    </row>
    <row r="1351" spans="1:11" x14ac:dyDescent="0.35">
      <c r="A1351" t="s">
        <v>1636</v>
      </c>
      <c r="B1351" t="s">
        <v>44</v>
      </c>
      <c r="C1351" t="s">
        <v>53</v>
      </c>
      <c r="D1351">
        <v>22</v>
      </c>
      <c r="E1351" t="s">
        <v>22</v>
      </c>
      <c r="F1351" t="s">
        <v>18</v>
      </c>
      <c r="G1351" t="s">
        <v>176</v>
      </c>
      <c r="H1351">
        <v>7</v>
      </c>
      <c r="I1351" t="s">
        <v>28</v>
      </c>
      <c r="J1351" t="str">
        <f>_xlfn.XLOOKUP(C1351,'product_masterlist(ifs)'!A:A,'product_masterlist(ifs)'!C:C,"N/A",0)</f>
        <v>Solutions</v>
      </c>
      <c r="K1351">
        <f>VLOOKUP(C1351,'product_masterlist(ifs)'!A:I,7,FALSE)</f>
        <v>800</v>
      </c>
    </row>
    <row r="1352" spans="1:11" x14ac:dyDescent="0.35">
      <c r="A1352" t="s">
        <v>1637</v>
      </c>
      <c r="B1352" s="1">
        <v>45695</v>
      </c>
      <c r="C1352" t="s">
        <v>11</v>
      </c>
      <c r="D1352">
        <v>16</v>
      </c>
      <c r="E1352" t="s">
        <v>37</v>
      </c>
      <c r="F1352" t="s">
        <v>23</v>
      </c>
      <c r="G1352">
        <v>1360</v>
      </c>
      <c r="H1352">
        <v>30</v>
      </c>
      <c r="I1352" t="s">
        <v>14</v>
      </c>
      <c r="J1352" t="str">
        <f>_xlfn.XLOOKUP(C1352,'product_masterlist(ifs)'!A:A,'product_masterlist(ifs)'!C:C,"N/A",0)</f>
        <v>Surgical</v>
      </c>
      <c r="K1352">
        <f>VLOOKUP(C1352,'product_masterlist(ifs)'!A:I,7,FALSE)</f>
        <v>40</v>
      </c>
    </row>
    <row r="1353" spans="1:11" x14ac:dyDescent="0.35">
      <c r="A1353" t="s">
        <v>1638</v>
      </c>
      <c r="B1353" s="1">
        <v>45870</v>
      </c>
      <c r="C1353" t="s">
        <v>53</v>
      </c>
      <c r="D1353">
        <v>12</v>
      </c>
      <c r="E1353" t="s">
        <v>22</v>
      </c>
      <c r="F1353" t="s">
        <v>18</v>
      </c>
      <c r="G1353">
        <v>51</v>
      </c>
      <c r="H1353">
        <v>7</v>
      </c>
      <c r="I1353" t="s">
        <v>28</v>
      </c>
      <c r="J1353" t="str">
        <f>_xlfn.XLOOKUP(C1353,'product_masterlist(ifs)'!A:A,'product_masterlist(ifs)'!C:C,"N/A",0)</f>
        <v>Solutions</v>
      </c>
      <c r="K1353">
        <f>VLOOKUP(C1353,'product_masterlist(ifs)'!A:I,7,FALSE)</f>
        <v>800</v>
      </c>
    </row>
    <row r="1354" spans="1:11" x14ac:dyDescent="0.35">
      <c r="A1354" t="s">
        <v>1639</v>
      </c>
      <c r="B1354" s="1">
        <v>45699</v>
      </c>
      <c r="C1354" t="s">
        <v>11</v>
      </c>
      <c r="D1354">
        <v>18</v>
      </c>
      <c r="E1354" t="s">
        <v>12</v>
      </c>
      <c r="F1354" t="s">
        <v>31</v>
      </c>
      <c r="G1354">
        <v>1530</v>
      </c>
      <c r="H1354">
        <v>30</v>
      </c>
      <c r="I1354" t="s">
        <v>14</v>
      </c>
      <c r="J1354" t="str">
        <f>_xlfn.XLOOKUP(C1354,'product_masterlist(ifs)'!A:A,'product_masterlist(ifs)'!C:C,"N/A",0)</f>
        <v>Surgical</v>
      </c>
      <c r="K1354">
        <f>VLOOKUP(C1354,'product_masterlist(ifs)'!A:I,7,FALSE)</f>
        <v>40</v>
      </c>
    </row>
    <row r="1355" spans="1:11" x14ac:dyDescent="0.35">
      <c r="A1355" t="s">
        <v>1640</v>
      </c>
      <c r="B1355" s="1">
        <v>45841</v>
      </c>
      <c r="C1355" t="s">
        <v>11</v>
      </c>
      <c r="D1355">
        <v>18</v>
      </c>
      <c r="E1355" t="s">
        <v>12</v>
      </c>
      <c r="F1355" t="s">
        <v>13</v>
      </c>
      <c r="G1355">
        <v>1530</v>
      </c>
      <c r="H1355">
        <v>30</v>
      </c>
      <c r="I1355" t="s">
        <v>14</v>
      </c>
      <c r="J1355" t="str">
        <f>_xlfn.XLOOKUP(C1355,'product_masterlist(ifs)'!A:A,'product_masterlist(ifs)'!C:C,"N/A",0)</f>
        <v>Surgical</v>
      </c>
      <c r="K1355">
        <f>VLOOKUP(C1355,'product_masterlist(ifs)'!A:I,7,FALSE)</f>
        <v>40</v>
      </c>
    </row>
    <row r="1356" spans="1:11" x14ac:dyDescent="0.35">
      <c r="A1356" t="s">
        <v>1641</v>
      </c>
      <c r="B1356" t="s">
        <v>1016</v>
      </c>
      <c r="C1356" t="s">
        <v>26</v>
      </c>
      <c r="D1356">
        <v>10</v>
      </c>
      <c r="E1356" t="s">
        <v>22</v>
      </c>
      <c r="F1356" t="s">
        <v>18</v>
      </c>
      <c r="G1356">
        <v>125</v>
      </c>
      <c r="H1356">
        <v>14</v>
      </c>
      <c r="I1356" t="s">
        <v>28</v>
      </c>
      <c r="J1356" t="str">
        <f>_xlfn.XLOOKUP(C1356,'product_masterlist(ifs)'!A:A,'product_masterlist(ifs)'!C:C,"N/A",0)</f>
        <v>Contact Lenses</v>
      </c>
      <c r="K1356">
        <f>VLOOKUP(C1356,'product_masterlist(ifs)'!A:I,7,FALSE)</f>
        <v>450</v>
      </c>
    </row>
    <row r="1357" spans="1:11" x14ac:dyDescent="0.35">
      <c r="A1357" t="s">
        <v>1642</v>
      </c>
      <c r="B1357" t="s">
        <v>532</v>
      </c>
      <c r="C1357" t="s">
        <v>11</v>
      </c>
      <c r="D1357">
        <v>16</v>
      </c>
      <c r="E1357" t="s">
        <v>37</v>
      </c>
      <c r="F1357" t="s">
        <v>23</v>
      </c>
      <c r="G1357">
        <v>1360</v>
      </c>
      <c r="H1357">
        <v>30</v>
      </c>
      <c r="I1357" t="s">
        <v>14</v>
      </c>
      <c r="J1357" t="str">
        <f>_xlfn.XLOOKUP(C1357,'product_masterlist(ifs)'!A:A,'product_masterlist(ifs)'!C:C,"N/A",0)</f>
        <v>Surgical</v>
      </c>
      <c r="K1357">
        <f>VLOOKUP(C1357,'product_masterlist(ifs)'!A:I,7,FALSE)</f>
        <v>40</v>
      </c>
    </row>
    <row r="1358" spans="1:11" x14ac:dyDescent="0.35">
      <c r="A1358" t="s">
        <v>1643</v>
      </c>
      <c r="B1358" t="s">
        <v>535</v>
      </c>
      <c r="C1358" t="s">
        <v>17</v>
      </c>
      <c r="D1358">
        <v>21</v>
      </c>
      <c r="E1358" t="s">
        <v>12</v>
      </c>
      <c r="F1358" t="s">
        <v>31</v>
      </c>
      <c r="G1358">
        <v>945</v>
      </c>
      <c r="H1358">
        <v>30</v>
      </c>
      <c r="I1358" t="s">
        <v>14</v>
      </c>
      <c r="J1358" t="str">
        <f>_xlfn.XLOOKUP(C1358,'product_masterlist(ifs)'!A:A,'product_masterlist(ifs)'!C:C,"N/A",0)</f>
        <v>Frames</v>
      </c>
      <c r="K1358">
        <f>VLOOKUP(C1358,'product_masterlist(ifs)'!A:I,7,FALSE)</f>
        <v>45</v>
      </c>
    </row>
    <row r="1359" spans="1:11" x14ac:dyDescent="0.35">
      <c r="A1359" t="s">
        <v>1644</v>
      </c>
      <c r="B1359" s="1">
        <v>45728</v>
      </c>
      <c r="C1359" t="s">
        <v>17</v>
      </c>
      <c r="D1359">
        <v>9</v>
      </c>
      <c r="E1359" t="s">
        <v>37</v>
      </c>
      <c r="F1359" t="s">
        <v>13</v>
      </c>
      <c r="G1359">
        <v>405</v>
      </c>
      <c r="H1359">
        <v>30</v>
      </c>
      <c r="I1359" t="s">
        <v>14</v>
      </c>
      <c r="J1359" t="str">
        <f>_xlfn.XLOOKUP(C1359,'product_masterlist(ifs)'!A:A,'product_masterlist(ifs)'!C:C,"N/A",0)</f>
        <v>Frames</v>
      </c>
      <c r="K1359">
        <f>VLOOKUP(C1359,'product_masterlist(ifs)'!A:I,7,FALSE)</f>
        <v>45</v>
      </c>
    </row>
    <row r="1360" spans="1:11" x14ac:dyDescent="0.35">
      <c r="A1360" t="s">
        <v>1645</v>
      </c>
      <c r="B1360" t="s">
        <v>584</v>
      </c>
      <c r="C1360" t="s">
        <v>17</v>
      </c>
      <c r="D1360">
        <v>25</v>
      </c>
      <c r="E1360" t="s">
        <v>37</v>
      </c>
      <c r="F1360" t="s">
        <v>13</v>
      </c>
      <c r="G1360">
        <v>1125</v>
      </c>
      <c r="H1360">
        <v>30</v>
      </c>
      <c r="I1360" t="s">
        <v>14</v>
      </c>
      <c r="J1360" t="str">
        <f>_xlfn.XLOOKUP(C1360,'product_masterlist(ifs)'!A:A,'product_masterlist(ifs)'!C:C,"N/A",0)</f>
        <v>Frames</v>
      </c>
      <c r="K1360">
        <f>VLOOKUP(C1360,'product_masterlist(ifs)'!A:I,7,FALSE)</f>
        <v>45</v>
      </c>
    </row>
    <row r="1361" spans="1:11" x14ac:dyDescent="0.35">
      <c r="A1361" t="s">
        <v>1646</v>
      </c>
      <c r="B1361" t="s">
        <v>183</v>
      </c>
      <c r="C1361" t="s">
        <v>90</v>
      </c>
      <c r="D1361">
        <v>21</v>
      </c>
      <c r="E1361" t="s">
        <v>37</v>
      </c>
      <c r="F1361" t="s">
        <v>23</v>
      </c>
      <c r="G1361" t="s">
        <v>120</v>
      </c>
      <c r="H1361">
        <v>30</v>
      </c>
      <c r="I1361" t="s">
        <v>14</v>
      </c>
      <c r="J1361" t="str">
        <f>_xlfn.XLOOKUP(C1361,'product_masterlist(ifs)'!A:A,'product_masterlist(ifs)'!C:C,"N/A",0)</f>
        <v>Frames</v>
      </c>
      <c r="K1361">
        <f>VLOOKUP(C1361,'product_masterlist(ifs)'!A:I,7,FALSE)</f>
        <v>180</v>
      </c>
    </row>
    <row r="1362" spans="1:11" x14ac:dyDescent="0.35">
      <c r="A1362" t="s">
        <v>1647</v>
      </c>
      <c r="B1362" s="1">
        <v>45839</v>
      </c>
      <c r="C1362" t="s">
        <v>42</v>
      </c>
      <c r="D1362">
        <v>20</v>
      </c>
      <c r="E1362" t="s">
        <v>22</v>
      </c>
      <c r="F1362" t="s">
        <v>23</v>
      </c>
      <c r="G1362">
        <v>500</v>
      </c>
      <c r="H1362">
        <v>21</v>
      </c>
      <c r="I1362" t="s">
        <v>14</v>
      </c>
      <c r="J1362" t="str">
        <f>_xlfn.XLOOKUP(C1362,'product_masterlist(ifs)'!A:A,'product_masterlist(ifs)'!C:C,"N/A",0)</f>
        <v>Contact Lenses</v>
      </c>
      <c r="K1362">
        <f>VLOOKUP(C1362,'product_masterlist(ifs)'!A:I,7,FALSE)</f>
        <v>120</v>
      </c>
    </row>
    <row r="1363" spans="1:11" x14ac:dyDescent="0.35">
      <c r="A1363" t="s">
        <v>1648</v>
      </c>
      <c r="B1363" t="s">
        <v>208</v>
      </c>
      <c r="C1363" t="s">
        <v>11</v>
      </c>
      <c r="D1363">
        <v>6</v>
      </c>
      <c r="E1363" t="s">
        <v>22</v>
      </c>
      <c r="F1363" t="s">
        <v>31</v>
      </c>
      <c r="G1363">
        <v>510</v>
      </c>
      <c r="H1363">
        <v>30</v>
      </c>
      <c r="I1363" t="s">
        <v>14</v>
      </c>
      <c r="J1363" t="str">
        <f>_xlfn.XLOOKUP(C1363,'product_masterlist(ifs)'!A:A,'product_masterlist(ifs)'!C:C,"N/A",0)</f>
        <v>Surgical</v>
      </c>
      <c r="K1363">
        <f>VLOOKUP(C1363,'product_masterlist(ifs)'!A:I,7,FALSE)</f>
        <v>40</v>
      </c>
    </row>
    <row r="1364" spans="1:11" x14ac:dyDescent="0.35">
      <c r="A1364" t="s">
        <v>1649</v>
      </c>
      <c r="B1364" s="1">
        <v>45850</v>
      </c>
      <c r="C1364" t="s">
        <v>90</v>
      </c>
      <c r="D1364">
        <v>22</v>
      </c>
      <c r="E1364" t="s">
        <v>37</v>
      </c>
      <c r="F1364" t="s">
        <v>23</v>
      </c>
      <c r="G1364">
        <v>1067</v>
      </c>
      <c r="H1364">
        <v>30</v>
      </c>
      <c r="I1364" t="s">
        <v>14</v>
      </c>
      <c r="J1364" t="str">
        <f>_xlfn.XLOOKUP(C1364,'product_masterlist(ifs)'!A:A,'product_masterlist(ifs)'!C:C,"N/A",0)</f>
        <v>Frames</v>
      </c>
      <c r="K1364">
        <f>VLOOKUP(C1364,'product_masterlist(ifs)'!A:I,7,FALSE)</f>
        <v>180</v>
      </c>
    </row>
    <row r="1365" spans="1:11" x14ac:dyDescent="0.35">
      <c r="A1365" t="s">
        <v>1650</v>
      </c>
      <c r="B1365" t="s">
        <v>144</v>
      </c>
      <c r="C1365" t="s">
        <v>90</v>
      </c>
      <c r="D1365">
        <v>13</v>
      </c>
      <c r="E1365" t="s">
        <v>12</v>
      </c>
      <c r="F1365" t="s">
        <v>18</v>
      </c>
      <c r="G1365" t="s">
        <v>262</v>
      </c>
      <c r="H1365">
        <v>30</v>
      </c>
      <c r="I1365" t="s">
        <v>14</v>
      </c>
      <c r="J1365" t="str">
        <f>_xlfn.XLOOKUP(C1365,'product_masterlist(ifs)'!A:A,'product_masterlist(ifs)'!C:C,"N/A",0)</f>
        <v>Frames</v>
      </c>
      <c r="K1365">
        <f>VLOOKUP(C1365,'product_masterlist(ifs)'!A:I,7,FALSE)</f>
        <v>180</v>
      </c>
    </row>
    <row r="1366" spans="1:11" x14ac:dyDescent="0.35">
      <c r="A1366" t="s">
        <v>1651</v>
      </c>
      <c r="B1366" s="1">
        <v>45665</v>
      </c>
      <c r="C1366" t="s">
        <v>53</v>
      </c>
      <c r="D1366">
        <v>24</v>
      </c>
      <c r="E1366" t="s">
        <v>22</v>
      </c>
      <c r="F1366" t="s">
        <v>23</v>
      </c>
      <c r="G1366">
        <v>102</v>
      </c>
      <c r="H1366">
        <v>7</v>
      </c>
      <c r="I1366" t="s">
        <v>28</v>
      </c>
      <c r="J1366" t="str">
        <f>_xlfn.XLOOKUP(C1366,'product_masterlist(ifs)'!A:A,'product_masterlist(ifs)'!C:C,"N/A",0)</f>
        <v>Solutions</v>
      </c>
      <c r="K1366">
        <f>VLOOKUP(C1366,'product_masterlist(ifs)'!A:I,7,FALSE)</f>
        <v>800</v>
      </c>
    </row>
    <row r="1367" spans="1:11" x14ac:dyDescent="0.35">
      <c r="A1367" t="s">
        <v>1652</v>
      </c>
      <c r="B1367" s="1">
        <v>45722</v>
      </c>
      <c r="C1367" t="s">
        <v>11</v>
      </c>
      <c r="D1367">
        <v>21</v>
      </c>
      <c r="E1367" t="s">
        <v>22</v>
      </c>
      <c r="F1367" t="s">
        <v>31</v>
      </c>
      <c r="G1367">
        <v>1785</v>
      </c>
      <c r="H1367">
        <v>30</v>
      </c>
      <c r="I1367" t="s">
        <v>14</v>
      </c>
      <c r="J1367" t="str">
        <f>_xlfn.XLOOKUP(C1367,'product_masterlist(ifs)'!A:A,'product_masterlist(ifs)'!C:C,"N/A",0)</f>
        <v>Surgical</v>
      </c>
      <c r="K1367">
        <f>VLOOKUP(C1367,'product_masterlist(ifs)'!A:I,7,FALSE)</f>
        <v>40</v>
      </c>
    </row>
    <row r="1368" spans="1:11" x14ac:dyDescent="0.35">
      <c r="A1368" t="s">
        <v>1653</v>
      </c>
      <c r="B1368" t="s">
        <v>36</v>
      </c>
      <c r="C1368" t="s">
        <v>17</v>
      </c>
      <c r="D1368">
        <v>23</v>
      </c>
      <c r="E1368" t="s">
        <v>20</v>
      </c>
      <c r="F1368" t="s">
        <v>23</v>
      </c>
      <c r="G1368">
        <v>1035</v>
      </c>
      <c r="H1368">
        <v>30</v>
      </c>
      <c r="I1368" t="s">
        <v>14</v>
      </c>
      <c r="J1368" t="str">
        <f>_xlfn.XLOOKUP(C1368,'product_masterlist(ifs)'!A:A,'product_masterlist(ifs)'!C:C,"N/A",0)</f>
        <v>Frames</v>
      </c>
      <c r="K1368">
        <f>VLOOKUP(C1368,'product_masterlist(ifs)'!A:I,7,FALSE)</f>
        <v>45</v>
      </c>
    </row>
    <row r="1369" spans="1:11" x14ac:dyDescent="0.35">
      <c r="A1369" t="s">
        <v>1654</v>
      </c>
      <c r="B1369" t="s">
        <v>1099</v>
      </c>
      <c r="C1369" t="s">
        <v>42</v>
      </c>
      <c r="D1369">
        <v>6</v>
      </c>
      <c r="E1369" t="s">
        <v>12</v>
      </c>
      <c r="F1369" t="s">
        <v>23</v>
      </c>
      <c r="G1369">
        <v>150</v>
      </c>
      <c r="H1369">
        <v>21</v>
      </c>
      <c r="I1369" t="s">
        <v>14</v>
      </c>
      <c r="J1369" t="str">
        <f>_xlfn.XLOOKUP(C1369,'product_masterlist(ifs)'!A:A,'product_masterlist(ifs)'!C:C,"N/A",0)</f>
        <v>Contact Lenses</v>
      </c>
      <c r="K1369">
        <f>VLOOKUP(C1369,'product_masterlist(ifs)'!A:I,7,FALSE)</f>
        <v>120</v>
      </c>
    </row>
    <row r="1370" spans="1:11" x14ac:dyDescent="0.35">
      <c r="A1370" t="s">
        <v>1655</v>
      </c>
      <c r="B1370" s="1">
        <v>45725</v>
      </c>
      <c r="C1370" t="s">
        <v>26</v>
      </c>
      <c r="D1370">
        <v>20</v>
      </c>
      <c r="E1370" t="s">
        <v>20</v>
      </c>
      <c r="F1370" t="s">
        <v>23</v>
      </c>
      <c r="G1370">
        <v>250</v>
      </c>
      <c r="H1370">
        <v>14</v>
      </c>
      <c r="I1370" t="s">
        <v>28</v>
      </c>
      <c r="J1370" t="str">
        <f>_xlfn.XLOOKUP(C1370,'product_masterlist(ifs)'!A:A,'product_masterlist(ifs)'!C:C,"N/A",0)</f>
        <v>Contact Lenses</v>
      </c>
      <c r="K1370">
        <f>VLOOKUP(C1370,'product_masterlist(ifs)'!A:I,7,FALSE)</f>
        <v>450</v>
      </c>
    </row>
    <row r="1371" spans="1:11" x14ac:dyDescent="0.35">
      <c r="A1371" t="s">
        <v>1656</v>
      </c>
      <c r="B1371" t="s">
        <v>708</v>
      </c>
      <c r="C1371" t="s">
        <v>33</v>
      </c>
      <c r="D1371">
        <v>16</v>
      </c>
      <c r="E1371" t="s">
        <v>20</v>
      </c>
      <c r="F1371" t="s">
        <v>18</v>
      </c>
      <c r="G1371">
        <v>2400</v>
      </c>
      <c r="H1371">
        <v>45</v>
      </c>
      <c r="I1371" t="s">
        <v>34</v>
      </c>
      <c r="J1371" t="str">
        <f>_xlfn.XLOOKUP(C1371,'product_masterlist(ifs)'!A:A,'product_masterlist(ifs)'!C:C,"N/A",0)</f>
        <v>Surgical</v>
      </c>
      <c r="K1371">
        <f>VLOOKUP(C1371,'product_masterlist(ifs)'!A:I,7,FALSE)</f>
        <v>15</v>
      </c>
    </row>
    <row r="1372" spans="1:11" x14ac:dyDescent="0.35">
      <c r="A1372" t="s">
        <v>1657</v>
      </c>
      <c r="B1372" t="s">
        <v>255</v>
      </c>
      <c r="C1372" t="s">
        <v>26</v>
      </c>
      <c r="D1372">
        <v>21</v>
      </c>
      <c r="E1372" t="s">
        <v>22</v>
      </c>
      <c r="F1372" t="s">
        <v>13</v>
      </c>
      <c r="G1372" t="s">
        <v>366</v>
      </c>
      <c r="H1372">
        <v>14</v>
      </c>
      <c r="I1372" t="s">
        <v>28</v>
      </c>
      <c r="J1372" t="str">
        <f>_xlfn.XLOOKUP(C1372,'product_masterlist(ifs)'!A:A,'product_masterlist(ifs)'!C:C,"N/A",0)</f>
        <v>Contact Lenses</v>
      </c>
      <c r="K1372">
        <f>VLOOKUP(C1372,'product_masterlist(ifs)'!A:I,7,FALSE)</f>
        <v>450</v>
      </c>
    </row>
    <row r="1373" spans="1:11" x14ac:dyDescent="0.35">
      <c r="A1373" t="s">
        <v>1658</v>
      </c>
      <c r="B1373" t="s">
        <v>115</v>
      </c>
      <c r="C1373" t="s">
        <v>11</v>
      </c>
      <c r="D1373">
        <v>16</v>
      </c>
      <c r="E1373" t="s">
        <v>12</v>
      </c>
      <c r="F1373" t="s">
        <v>13</v>
      </c>
      <c r="G1373">
        <v>1360</v>
      </c>
      <c r="H1373">
        <v>30</v>
      </c>
      <c r="I1373" t="s">
        <v>14</v>
      </c>
      <c r="J1373" t="str">
        <f>_xlfn.XLOOKUP(C1373,'product_masterlist(ifs)'!A:A,'product_masterlist(ifs)'!C:C,"N/A",0)</f>
        <v>Surgical</v>
      </c>
      <c r="K1373">
        <f>VLOOKUP(C1373,'product_masterlist(ifs)'!A:I,7,FALSE)</f>
        <v>40</v>
      </c>
    </row>
    <row r="1374" spans="1:11" x14ac:dyDescent="0.35">
      <c r="A1374" t="s">
        <v>1659</v>
      </c>
      <c r="B1374" t="s">
        <v>565</v>
      </c>
      <c r="C1374" t="s">
        <v>42</v>
      </c>
      <c r="D1374">
        <v>12</v>
      </c>
      <c r="E1374" t="s">
        <v>37</v>
      </c>
      <c r="F1374" t="s">
        <v>13</v>
      </c>
      <c r="G1374">
        <v>300</v>
      </c>
      <c r="H1374">
        <v>21</v>
      </c>
      <c r="I1374" t="s">
        <v>14</v>
      </c>
      <c r="J1374" t="str">
        <f>_xlfn.XLOOKUP(C1374,'product_masterlist(ifs)'!A:A,'product_masterlist(ifs)'!C:C,"N/A",0)</f>
        <v>Contact Lenses</v>
      </c>
      <c r="K1374">
        <f>VLOOKUP(C1374,'product_masterlist(ifs)'!A:I,7,FALSE)</f>
        <v>120</v>
      </c>
    </row>
    <row r="1375" spans="1:11" x14ac:dyDescent="0.35">
      <c r="A1375" t="s">
        <v>1660</v>
      </c>
      <c r="B1375" t="s">
        <v>808</v>
      </c>
      <c r="C1375" t="s">
        <v>90</v>
      </c>
      <c r="D1375">
        <v>23</v>
      </c>
      <c r="E1375" t="s">
        <v>22</v>
      </c>
      <c r="F1375" t="s">
        <v>18</v>
      </c>
      <c r="G1375" t="s">
        <v>123</v>
      </c>
      <c r="H1375">
        <v>30</v>
      </c>
      <c r="I1375" t="s">
        <v>14</v>
      </c>
      <c r="J1375" t="str">
        <f>_xlfn.XLOOKUP(C1375,'product_masterlist(ifs)'!A:A,'product_masterlist(ifs)'!C:C,"N/A",0)</f>
        <v>Frames</v>
      </c>
      <c r="K1375">
        <f>VLOOKUP(C1375,'product_masterlist(ifs)'!A:I,7,FALSE)</f>
        <v>180</v>
      </c>
    </row>
    <row r="1376" spans="1:11" x14ac:dyDescent="0.35">
      <c r="A1376" t="s">
        <v>1661</v>
      </c>
      <c r="B1376" t="s">
        <v>119</v>
      </c>
      <c r="C1376" t="s">
        <v>11</v>
      </c>
      <c r="D1376">
        <v>7</v>
      </c>
      <c r="E1376" t="s">
        <v>22</v>
      </c>
      <c r="F1376" t="s">
        <v>23</v>
      </c>
      <c r="G1376">
        <v>595</v>
      </c>
      <c r="H1376">
        <v>30</v>
      </c>
      <c r="I1376" t="s">
        <v>14</v>
      </c>
      <c r="J1376" t="str">
        <f>_xlfn.XLOOKUP(C1376,'product_masterlist(ifs)'!A:A,'product_masterlist(ifs)'!C:C,"N/A",0)</f>
        <v>Surgical</v>
      </c>
      <c r="K1376">
        <f>VLOOKUP(C1376,'product_masterlist(ifs)'!A:I,7,FALSE)</f>
        <v>40</v>
      </c>
    </row>
    <row r="1377" spans="1:11" x14ac:dyDescent="0.35">
      <c r="A1377" t="s">
        <v>1662</v>
      </c>
      <c r="B1377" t="s">
        <v>1663</v>
      </c>
      <c r="C1377" t="s">
        <v>17</v>
      </c>
      <c r="D1377">
        <v>25</v>
      </c>
      <c r="E1377" t="s">
        <v>20</v>
      </c>
      <c r="F1377" t="s">
        <v>18</v>
      </c>
      <c r="G1377">
        <v>1125</v>
      </c>
      <c r="H1377">
        <v>30</v>
      </c>
      <c r="I1377" t="s">
        <v>14</v>
      </c>
      <c r="J1377" t="str">
        <f>_xlfn.XLOOKUP(C1377,'product_masterlist(ifs)'!A:A,'product_masterlist(ifs)'!C:C,"N/A",0)</f>
        <v>Frames</v>
      </c>
      <c r="K1377">
        <f>VLOOKUP(C1377,'product_masterlist(ifs)'!A:I,7,FALSE)</f>
        <v>45</v>
      </c>
    </row>
    <row r="1378" spans="1:11" x14ac:dyDescent="0.35">
      <c r="A1378" t="s">
        <v>1664</v>
      </c>
      <c r="B1378" t="s">
        <v>475</v>
      </c>
      <c r="C1378" t="s">
        <v>11</v>
      </c>
      <c r="D1378">
        <v>9</v>
      </c>
      <c r="E1378" t="s">
        <v>37</v>
      </c>
      <c r="F1378" t="s">
        <v>23</v>
      </c>
      <c r="G1378">
        <v>765</v>
      </c>
      <c r="H1378">
        <v>30</v>
      </c>
      <c r="I1378" t="s">
        <v>14</v>
      </c>
      <c r="J1378" t="str">
        <f>_xlfn.XLOOKUP(C1378,'product_masterlist(ifs)'!A:A,'product_masterlist(ifs)'!C:C,"N/A",0)</f>
        <v>Surgical</v>
      </c>
      <c r="K1378">
        <f>VLOOKUP(C1378,'product_masterlist(ifs)'!A:I,7,FALSE)</f>
        <v>40</v>
      </c>
    </row>
    <row r="1379" spans="1:11" x14ac:dyDescent="0.35">
      <c r="A1379" t="s">
        <v>1665</v>
      </c>
      <c r="B1379" t="s">
        <v>763</v>
      </c>
      <c r="C1379" t="s">
        <v>26</v>
      </c>
      <c r="D1379">
        <v>16</v>
      </c>
      <c r="E1379" t="s">
        <v>22</v>
      </c>
      <c r="F1379" t="s">
        <v>13</v>
      </c>
      <c r="G1379">
        <v>200</v>
      </c>
      <c r="H1379">
        <v>14</v>
      </c>
      <c r="I1379" t="s">
        <v>28</v>
      </c>
      <c r="J1379" t="str">
        <f>_xlfn.XLOOKUP(C1379,'product_masterlist(ifs)'!A:A,'product_masterlist(ifs)'!C:C,"N/A",0)</f>
        <v>Contact Lenses</v>
      </c>
      <c r="K1379">
        <f>VLOOKUP(C1379,'product_masterlist(ifs)'!A:I,7,FALSE)</f>
        <v>450</v>
      </c>
    </row>
    <row r="1380" spans="1:11" x14ac:dyDescent="0.35">
      <c r="A1380" t="s">
        <v>1666</v>
      </c>
      <c r="B1380" t="s">
        <v>1006</v>
      </c>
      <c r="C1380" t="s">
        <v>26</v>
      </c>
      <c r="D1380">
        <v>24</v>
      </c>
      <c r="E1380" t="s">
        <v>20</v>
      </c>
      <c r="F1380" t="s">
        <v>23</v>
      </c>
      <c r="G1380">
        <v>300</v>
      </c>
      <c r="H1380">
        <v>14</v>
      </c>
      <c r="I1380" t="s">
        <v>28</v>
      </c>
      <c r="J1380" t="str">
        <f>_xlfn.XLOOKUP(C1380,'product_masterlist(ifs)'!A:A,'product_masterlist(ifs)'!C:C,"N/A",0)</f>
        <v>Contact Lenses</v>
      </c>
      <c r="K1380">
        <f>VLOOKUP(C1380,'product_masterlist(ifs)'!A:I,7,FALSE)</f>
        <v>450</v>
      </c>
    </row>
    <row r="1381" spans="1:11" x14ac:dyDescent="0.35">
      <c r="A1381" t="s">
        <v>1667</v>
      </c>
      <c r="B1381" t="s">
        <v>660</v>
      </c>
      <c r="C1381" t="s">
        <v>26</v>
      </c>
      <c r="D1381">
        <v>1</v>
      </c>
      <c r="E1381" t="s">
        <v>22</v>
      </c>
      <c r="F1381" t="s">
        <v>18</v>
      </c>
      <c r="G1381" t="s">
        <v>101</v>
      </c>
      <c r="H1381">
        <v>14</v>
      </c>
      <c r="I1381" t="s">
        <v>28</v>
      </c>
      <c r="J1381" t="str">
        <f>_xlfn.XLOOKUP(C1381,'product_masterlist(ifs)'!A:A,'product_masterlist(ifs)'!C:C,"N/A",0)</f>
        <v>Contact Lenses</v>
      </c>
      <c r="K1381">
        <f>VLOOKUP(C1381,'product_masterlist(ifs)'!A:I,7,FALSE)</f>
        <v>450</v>
      </c>
    </row>
    <row r="1382" spans="1:11" x14ac:dyDescent="0.35">
      <c r="A1382" t="s">
        <v>1668</v>
      </c>
      <c r="B1382" t="s">
        <v>1229</v>
      </c>
      <c r="C1382" t="s">
        <v>42</v>
      </c>
      <c r="D1382">
        <v>20</v>
      </c>
      <c r="E1382" t="s">
        <v>20</v>
      </c>
      <c r="F1382" t="s">
        <v>23</v>
      </c>
      <c r="G1382">
        <v>500</v>
      </c>
      <c r="H1382">
        <v>21</v>
      </c>
      <c r="I1382" t="s">
        <v>14</v>
      </c>
      <c r="J1382" t="str">
        <f>_xlfn.XLOOKUP(C1382,'product_masterlist(ifs)'!A:A,'product_masterlist(ifs)'!C:C,"N/A",0)</f>
        <v>Contact Lenses</v>
      </c>
      <c r="K1382">
        <f>VLOOKUP(C1382,'product_masterlist(ifs)'!A:I,7,FALSE)</f>
        <v>120</v>
      </c>
    </row>
    <row r="1383" spans="1:11" x14ac:dyDescent="0.35">
      <c r="A1383" t="s">
        <v>1669</v>
      </c>
      <c r="B1383" t="s">
        <v>1103</v>
      </c>
      <c r="C1383" t="s">
        <v>11</v>
      </c>
      <c r="D1383">
        <v>15</v>
      </c>
      <c r="E1383" t="s">
        <v>22</v>
      </c>
      <c r="F1383" t="s">
        <v>23</v>
      </c>
      <c r="G1383">
        <v>1275</v>
      </c>
      <c r="H1383">
        <v>30</v>
      </c>
      <c r="I1383" t="s">
        <v>14</v>
      </c>
      <c r="J1383" t="str">
        <f>_xlfn.XLOOKUP(C1383,'product_masterlist(ifs)'!A:A,'product_masterlist(ifs)'!C:C,"N/A",0)</f>
        <v>Surgical</v>
      </c>
      <c r="K1383">
        <f>VLOOKUP(C1383,'product_masterlist(ifs)'!A:I,7,FALSE)</f>
        <v>40</v>
      </c>
    </row>
    <row r="1384" spans="1:11" x14ac:dyDescent="0.35">
      <c r="A1384" t="s">
        <v>1670</v>
      </c>
      <c r="B1384" s="1">
        <v>45753</v>
      </c>
      <c r="C1384" t="s">
        <v>53</v>
      </c>
      <c r="D1384">
        <v>15</v>
      </c>
      <c r="E1384" t="s">
        <v>12</v>
      </c>
      <c r="F1384" t="s">
        <v>31</v>
      </c>
      <c r="G1384" t="s">
        <v>93</v>
      </c>
      <c r="H1384">
        <v>7</v>
      </c>
      <c r="I1384" t="s">
        <v>28</v>
      </c>
      <c r="J1384" t="str">
        <f>_xlfn.XLOOKUP(C1384,'product_masterlist(ifs)'!A:A,'product_masterlist(ifs)'!C:C,"N/A",0)</f>
        <v>Solutions</v>
      </c>
      <c r="K1384">
        <f>VLOOKUP(C1384,'product_masterlist(ifs)'!A:I,7,FALSE)</f>
        <v>800</v>
      </c>
    </row>
    <row r="1385" spans="1:11" x14ac:dyDescent="0.35">
      <c r="A1385" t="s">
        <v>1671</v>
      </c>
      <c r="B1385" t="s">
        <v>506</v>
      </c>
      <c r="C1385" t="s">
        <v>53</v>
      </c>
      <c r="D1385">
        <v>13</v>
      </c>
      <c r="E1385" t="s">
        <v>20</v>
      </c>
      <c r="F1385" t="s">
        <v>13</v>
      </c>
      <c r="G1385" t="s">
        <v>188</v>
      </c>
      <c r="H1385">
        <v>7</v>
      </c>
      <c r="I1385" t="s">
        <v>28</v>
      </c>
      <c r="J1385" t="str">
        <f>_xlfn.XLOOKUP(C1385,'product_masterlist(ifs)'!A:A,'product_masterlist(ifs)'!C:C,"N/A",0)</f>
        <v>Solutions</v>
      </c>
      <c r="K1385">
        <f>VLOOKUP(C1385,'product_masterlist(ifs)'!A:I,7,FALSE)</f>
        <v>800</v>
      </c>
    </row>
    <row r="1386" spans="1:11" x14ac:dyDescent="0.35">
      <c r="A1386" t="s">
        <v>1672</v>
      </c>
      <c r="B1386" s="1">
        <v>45842</v>
      </c>
      <c r="C1386" t="s">
        <v>11</v>
      </c>
      <c r="D1386">
        <v>25</v>
      </c>
      <c r="E1386" t="s">
        <v>37</v>
      </c>
      <c r="F1386" t="s">
        <v>23</v>
      </c>
      <c r="G1386">
        <v>2125</v>
      </c>
      <c r="H1386">
        <v>30</v>
      </c>
      <c r="I1386" t="s">
        <v>14</v>
      </c>
      <c r="J1386" t="str">
        <f>_xlfn.XLOOKUP(C1386,'product_masterlist(ifs)'!A:A,'product_masterlist(ifs)'!C:C,"N/A",0)</f>
        <v>Surgical</v>
      </c>
      <c r="K1386">
        <f>VLOOKUP(C1386,'product_masterlist(ifs)'!A:I,7,FALSE)</f>
        <v>40</v>
      </c>
    </row>
    <row r="1387" spans="1:11" x14ac:dyDescent="0.35">
      <c r="A1387" t="s">
        <v>1673</v>
      </c>
      <c r="B1387" t="s">
        <v>952</v>
      </c>
      <c r="C1387" t="s">
        <v>33</v>
      </c>
      <c r="D1387">
        <v>19</v>
      </c>
      <c r="E1387" t="s">
        <v>20</v>
      </c>
      <c r="F1387" t="s">
        <v>31</v>
      </c>
      <c r="G1387">
        <v>2850</v>
      </c>
      <c r="H1387">
        <v>45</v>
      </c>
      <c r="I1387" t="s">
        <v>34</v>
      </c>
      <c r="J1387" t="str">
        <f>_xlfn.XLOOKUP(C1387,'product_masterlist(ifs)'!A:A,'product_masterlist(ifs)'!C:C,"N/A",0)</f>
        <v>Surgical</v>
      </c>
      <c r="K1387">
        <f>VLOOKUP(C1387,'product_masterlist(ifs)'!A:I,7,FALSE)</f>
        <v>15</v>
      </c>
    </row>
    <row r="1388" spans="1:11" x14ac:dyDescent="0.35">
      <c r="A1388" t="s">
        <v>1674</v>
      </c>
      <c r="B1388" t="s">
        <v>271</v>
      </c>
      <c r="C1388" t="s">
        <v>42</v>
      </c>
      <c r="D1388">
        <v>8</v>
      </c>
      <c r="E1388" t="s">
        <v>37</v>
      </c>
      <c r="F1388" t="s">
        <v>18</v>
      </c>
      <c r="G1388">
        <v>200</v>
      </c>
      <c r="H1388">
        <v>21</v>
      </c>
      <c r="I1388" t="s">
        <v>14</v>
      </c>
      <c r="J1388" t="str">
        <f>_xlfn.XLOOKUP(C1388,'product_masterlist(ifs)'!A:A,'product_masterlist(ifs)'!C:C,"N/A",0)</f>
        <v>Contact Lenses</v>
      </c>
      <c r="K1388">
        <f>VLOOKUP(C1388,'product_masterlist(ifs)'!A:I,7,FALSE)</f>
        <v>120</v>
      </c>
    </row>
    <row r="1389" spans="1:11" x14ac:dyDescent="0.35">
      <c r="A1389" t="s">
        <v>1675</v>
      </c>
      <c r="B1389" s="1">
        <v>45819</v>
      </c>
      <c r="C1389" t="s">
        <v>11</v>
      </c>
      <c r="D1389">
        <v>9</v>
      </c>
      <c r="E1389" t="s">
        <v>12</v>
      </c>
      <c r="F1389" t="s">
        <v>13</v>
      </c>
      <c r="G1389">
        <v>765</v>
      </c>
      <c r="H1389">
        <v>30</v>
      </c>
      <c r="I1389" t="s">
        <v>14</v>
      </c>
      <c r="J1389" t="str">
        <f>_xlfn.XLOOKUP(C1389,'product_masterlist(ifs)'!A:A,'product_masterlist(ifs)'!C:C,"N/A",0)</f>
        <v>Surgical</v>
      </c>
      <c r="K1389">
        <f>VLOOKUP(C1389,'product_masterlist(ifs)'!A:I,7,FALSE)</f>
        <v>40</v>
      </c>
    </row>
    <row r="1390" spans="1:11" x14ac:dyDescent="0.35">
      <c r="A1390" t="s">
        <v>1676</v>
      </c>
      <c r="B1390" s="1">
        <v>45966</v>
      </c>
      <c r="C1390" t="s">
        <v>11</v>
      </c>
      <c r="D1390">
        <v>9</v>
      </c>
      <c r="E1390" t="s">
        <v>20</v>
      </c>
      <c r="F1390" t="s">
        <v>18</v>
      </c>
      <c r="G1390">
        <v>765</v>
      </c>
      <c r="H1390">
        <v>30</v>
      </c>
      <c r="I1390" t="s">
        <v>14</v>
      </c>
      <c r="J1390" t="str">
        <f>_xlfn.XLOOKUP(C1390,'product_masterlist(ifs)'!A:A,'product_masterlist(ifs)'!C:C,"N/A",0)</f>
        <v>Surgical</v>
      </c>
      <c r="K1390">
        <f>VLOOKUP(C1390,'product_masterlist(ifs)'!A:I,7,FALSE)</f>
        <v>40</v>
      </c>
    </row>
    <row r="1391" spans="1:11" x14ac:dyDescent="0.35">
      <c r="A1391" t="s">
        <v>1677</v>
      </c>
      <c r="B1391" s="1">
        <v>45787</v>
      </c>
      <c r="C1391" t="s">
        <v>26</v>
      </c>
      <c r="D1391">
        <v>2</v>
      </c>
      <c r="E1391" t="s">
        <v>22</v>
      </c>
      <c r="F1391" t="s">
        <v>13</v>
      </c>
      <c r="G1391">
        <v>25</v>
      </c>
      <c r="H1391">
        <v>14</v>
      </c>
      <c r="I1391" t="s">
        <v>28</v>
      </c>
      <c r="J1391" t="str">
        <f>_xlfn.XLOOKUP(C1391,'product_masterlist(ifs)'!A:A,'product_masterlist(ifs)'!C:C,"N/A",0)</f>
        <v>Contact Lenses</v>
      </c>
      <c r="K1391">
        <f>VLOOKUP(C1391,'product_masterlist(ifs)'!A:I,7,FALSE)</f>
        <v>450</v>
      </c>
    </row>
    <row r="1392" spans="1:11" x14ac:dyDescent="0.35">
      <c r="A1392" t="s">
        <v>1678</v>
      </c>
      <c r="B1392" s="1">
        <v>45812</v>
      </c>
      <c r="C1392" t="s">
        <v>26</v>
      </c>
      <c r="D1392">
        <v>1</v>
      </c>
      <c r="E1392" t="s">
        <v>12</v>
      </c>
      <c r="F1392" t="s">
        <v>13</v>
      </c>
      <c r="G1392" t="s">
        <v>101</v>
      </c>
      <c r="H1392">
        <v>14</v>
      </c>
      <c r="I1392" t="s">
        <v>28</v>
      </c>
      <c r="J1392" t="str">
        <f>_xlfn.XLOOKUP(C1392,'product_masterlist(ifs)'!A:A,'product_masterlist(ifs)'!C:C,"N/A",0)</f>
        <v>Contact Lenses</v>
      </c>
      <c r="K1392">
        <f>VLOOKUP(C1392,'product_masterlist(ifs)'!A:I,7,FALSE)</f>
        <v>450</v>
      </c>
    </row>
    <row r="1393" spans="1:11" x14ac:dyDescent="0.35">
      <c r="A1393" t="s">
        <v>1679</v>
      </c>
      <c r="B1393" s="1">
        <v>45783</v>
      </c>
      <c r="C1393" t="s">
        <v>90</v>
      </c>
      <c r="D1393">
        <v>18</v>
      </c>
      <c r="E1393" t="s">
        <v>22</v>
      </c>
      <c r="F1393" t="s">
        <v>23</v>
      </c>
      <c r="G1393">
        <v>873</v>
      </c>
      <c r="H1393">
        <v>30</v>
      </c>
      <c r="I1393" t="s">
        <v>14</v>
      </c>
      <c r="J1393" t="str">
        <f>_xlfn.XLOOKUP(C1393,'product_masterlist(ifs)'!A:A,'product_masterlist(ifs)'!C:C,"N/A",0)</f>
        <v>Frames</v>
      </c>
      <c r="K1393">
        <f>VLOOKUP(C1393,'product_masterlist(ifs)'!A:I,7,FALSE)</f>
        <v>180</v>
      </c>
    </row>
    <row r="1394" spans="1:11" x14ac:dyDescent="0.35">
      <c r="A1394" t="s">
        <v>1680</v>
      </c>
      <c r="B1394" t="s">
        <v>1367</v>
      </c>
      <c r="C1394" t="s">
        <v>26</v>
      </c>
      <c r="D1394">
        <v>4</v>
      </c>
      <c r="E1394" t="s">
        <v>20</v>
      </c>
      <c r="F1394" t="s">
        <v>31</v>
      </c>
      <c r="G1394">
        <v>50</v>
      </c>
      <c r="H1394">
        <v>14</v>
      </c>
      <c r="I1394" t="s">
        <v>28</v>
      </c>
      <c r="J1394" t="str">
        <f>_xlfn.XLOOKUP(C1394,'product_masterlist(ifs)'!A:A,'product_masterlist(ifs)'!C:C,"N/A",0)</f>
        <v>Contact Lenses</v>
      </c>
      <c r="K1394">
        <f>VLOOKUP(C1394,'product_masterlist(ifs)'!A:I,7,FALSE)</f>
        <v>450</v>
      </c>
    </row>
    <row r="1395" spans="1:11" x14ac:dyDescent="0.35">
      <c r="A1395" t="s">
        <v>1681</v>
      </c>
      <c r="B1395" s="1">
        <v>45964</v>
      </c>
      <c r="C1395" t="s">
        <v>11</v>
      </c>
      <c r="D1395">
        <v>20</v>
      </c>
      <c r="E1395" t="s">
        <v>37</v>
      </c>
      <c r="F1395" t="s">
        <v>18</v>
      </c>
      <c r="G1395">
        <v>1700</v>
      </c>
      <c r="H1395">
        <v>30</v>
      </c>
      <c r="I1395" t="s">
        <v>14</v>
      </c>
      <c r="J1395" t="str">
        <f>_xlfn.XLOOKUP(C1395,'product_masterlist(ifs)'!A:A,'product_masterlist(ifs)'!C:C,"N/A",0)</f>
        <v>Surgical</v>
      </c>
      <c r="K1395">
        <f>VLOOKUP(C1395,'product_masterlist(ifs)'!A:I,7,FALSE)</f>
        <v>40</v>
      </c>
    </row>
    <row r="1396" spans="1:11" x14ac:dyDescent="0.35">
      <c r="A1396" t="s">
        <v>1682</v>
      </c>
      <c r="B1396" t="s">
        <v>550</v>
      </c>
      <c r="C1396" t="s">
        <v>11</v>
      </c>
      <c r="D1396">
        <v>8</v>
      </c>
      <c r="E1396" t="s">
        <v>22</v>
      </c>
      <c r="F1396" t="s">
        <v>18</v>
      </c>
      <c r="G1396">
        <v>680</v>
      </c>
      <c r="H1396">
        <v>30</v>
      </c>
      <c r="I1396" t="s">
        <v>14</v>
      </c>
      <c r="J1396" t="str">
        <f>_xlfn.XLOOKUP(C1396,'product_masterlist(ifs)'!A:A,'product_masterlist(ifs)'!C:C,"N/A",0)</f>
        <v>Surgical</v>
      </c>
      <c r="K1396">
        <f>VLOOKUP(C1396,'product_masterlist(ifs)'!A:I,7,FALSE)</f>
        <v>40</v>
      </c>
    </row>
    <row r="1397" spans="1:11" x14ac:dyDescent="0.35">
      <c r="A1397" t="s">
        <v>1683</v>
      </c>
      <c r="B1397" t="s">
        <v>199</v>
      </c>
      <c r="C1397" t="s">
        <v>53</v>
      </c>
      <c r="D1397">
        <v>17</v>
      </c>
      <c r="E1397" t="s">
        <v>22</v>
      </c>
      <c r="F1397" t="s">
        <v>23</v>
      </c>
      <c r="G1397" t="s">
        <v>698</v>
      </c>
      <c r="H1397">
        <v>7</v>
      </c>
      <c r="I1397" t="s">
        <v>28</v>
      </c>
      <c r="J1397" t="str">
        <f>_xlfn.XLOOKUP(C1397,'product_masterlist(ifs)'!A:A,'product_masterlist(ifs)'!C:C,"N/A",0)</f>
        <v>Solutions</v>
      </c>
      <c r="K1397">
        <f>VLOOKUP(C1397,'product_masterlist(ifs)'!A:I,7,FALSE)</f>
        <v>800</v>
      </c>
    </row>
    <row r="1398" spans="1:11" x14ac:dyDescent="0.35">
      <c r="A1398" t="s">
        <v>1684</v>
      </c>
      <c r="B1398" s="1">
        <v>45969</v>
      </c>
      <c r="C1398" t="s">
        <v>42</v>
      </c>
      <c r="D1398">
        <v>17</v>
      </c>
      <c r="E1398" t="s">
        <v>20</v>
      </c>
      <c r="F1398" t="s">
        <v>31</v>
      </c>
      <c r="G1398">
        <v>425</v>
      </c>
      <c r="H1398">
        <v>21</v>
      </c>
      <c r="I1398" t="s">
        <v>14</v>
      </c>
      <c r="J1398" t="str">
        <f>_xlfn.XLOOKUP(C1398,'product_masterlist(ifs)'!A:A,'product_masterlist(ifs)'!C:C,"N/A",0)</f>
        <v>Contact Lenses</v>
      </c>
      <c r="K1398">
        <f>VLOOKUP(C1398,'product_masterlist(ifs)'!A:I,7,FALSE)</f>
        <v>120</v>
      </c>
    </row>
    <row r="1399" spans="1:11" x14ac:dyDescent="0.35">
      <c r="A1399" t="s">
        <v>1685</v>
      </c>
      <c r="B1399" s="1">
        <v>45937</v>
      </c>
      <c r="C1399" t="s">
        <v>53</v>
      </c>
      <c r="D1399">
        <v>10</v>
      </c>
      <c r="E1399" t="s">
        <v>12</v>
      </c>
      <c r="F1399" t="s">
        <v>31</v>
      </c>
      <c r="G1399" t="s">
        <v>95</v>
      </c>
      <c r="H1399">
        <v>7</v>
      </c>
      <c r="I1399" t="s">
        <v>28</v>
      </c>
      <c r="J1399" t="str">
        <f>_xlfn.XLOOKUP(C1399,'product_masterlist(ifs)'!A:A,'product_masterlist(ifs)'!C:C,"N/A",0)</f>
        <v>Solutions</v>
      </c>
      <c r="K1399">
        <f>VLOOKUP(C1399,'product_masterlist(ifs)'!A:I,7,FALSE)</f>
        <v>800</v>
      </c>
    </row>
    <row r="1400" spans="1:11" x14ac:dyDescent="0.35">
      <c r="A1400" t="s">
        <v>1686</v>
      </c>
      <c r="B1400" s="1">
        <v>45815</v>
      </c>
      <c r="C1400" t="s">
        <v>26</v>
      </c>
      <c r="D1400">
        <v>7</v>
      </c>
      <c r="E1400" t="s">
        <v>22</v>
      </c>
      <c r="F1400" t="s">
        <v>31</v>
      </c>
      <c r="G1400" t="s">
        <v>27</v>
      </c>
      <c r="H1400">
        <v>14</v>
      </c>
      <c r="I1400" t="s">
        <v>28</v>
      </c>
      <c r="J1400" t="str">
        <f>_xlfn.XLOOKUP(C1400,'product_masterlist(ifs)'!A:A,'product_masterlist(ifs)'!C:C,"N/A",0)</f>
        <v>Contact Lenses</v>
      </c>
      <c r="K1400">
        <f>VLOOKUP(C1400,'product_masterlist(ifs)'!A:I,7,FALSE)</f>
        <v>450</v>
      </c>
    </row>
    <row r="1401" spans="1:11" x14ac:dyDescent="0.35">
      <c r="A1401" t="s">
        <v>1687</v>
      </c>
      <c r="B1401" t="s">
        <v>446</v>
      </c>
      <c r="C1401" t="s">
        <v>42</v>
      </c>
      <c r="D1401">
        <v>6</v>
      </c>
      <c r="E1401" t="s">
        <v>37</v>
      </c>
      <c r="F1401" t="s">
        <v>13</v>
      </c>
      <c r="G1401">
        <v>150</v>
      </c>
      <c r="H1401">
        <v>21</v>
      </c>
      <c r="I1401" t="s">
        <v>14</v>
      </c>
      <c r="J1401" t="str">
        <f>_xlfn.XLOOKUP(C1401,'product_masterlist(ifs)'!A:A,'product_masterlist(ifs)'!C:C,"N/A",0)</f>
        <v>Contact Lenses</v>
      </c>
      <c r="K1401">
        <f>VLOOKUP(C1401,'product_masterlist(ifs)'!A:I,7,FALSE)</f>
        <v>120</v>
      </c>
    </row>
    <row r="1402" spans="1:11" x14ac:dyDescent="0.35">
      <c r="A1402" t="s">
        <v>1688</v>
      </c>
      <c r="B1402" t="s">
        <v>808</v>
      </c>
      <c r="C1402" t="s">
        <v>26</v>
      </c>
      <c r="D1402">
        <v>23</v>
      </c>
      <c r="E1402" t="s">
        <v>22</v>
      </c>
      <c r="F1402" t="s">
        <v>13</v>
      </c>
      <c r="G1402" t="s">
        <v>162</v>
      </c>
      <c r="H1402">
        <v>14</v>
      </c>
      <c r="I1402" t="s">
        <v>28</v>
      </c>
      <c r="J1402" t="str">
        <f>_xlfn.XLOOKUP(C1402,'product_masterlist(ifs)'!A:A,'product_masterlist(ifs)'!C:C,"N/A",0)</f>
        <v>Contact Lenses</v>
      </c>
      <c r="K1402">
        <f>VLOOKUP(C1402,'product_masterlist(ifs)'!A:I,7,FALSE)</f>
        <v>450</v>
      </c>
    </row>
    <row r="1403" spans="1:11" x14ac:dyDescent="0.35">
      <c r="A1403" t="s">
        <v>1689</v>
      </c>
      <c r="B1403" t="s">
        <v>89</v>
      </c>
      <c r="C1403" t="s">
        <v>26</v>
      </c>
      <c r="D1403">
        <v>22</v>
      </c>
      <c r="E1403" t="s">
        <v>37</v>
      </c>
      <c r="F1403" t="s">
        <v>13</v>
      </c>
      <c r="G1403">
        <v>275</v>
      </c>
      <c r="H1403">
        <v>14</v>
      </c>
      <c r="I1403" t="s">
        <v>28</v>
      </c>
      <c r="J1403" t="str">
        <f>_xlfn.XLOOKUP(C1403,'product_masterlist(ifs)'!A:A,'product_masterlist(ifs)'!C:C,"N/A",0)</f>
        <v>Contact Lenses</v>
      </c>
      <c r="K1403">
        <f>VLOOKUP(C1403,'product_masterlist(ifs)'!A:I,7,FALSE)</f>
        <v>450</v>
      </c>
    </row>
    <row r="1404" spans="1:11" x14ac:dyDescent="0.35">
      <c r="A1404" t="s">
        <v>1690</v>
      </c>
      <c r="B1404" t="s">
        <v>196</v>
      </c>
      <c r="C1404" t="s">
        <v>33</v>
      </c>
      <c r="D1404">
        <v>24</v>
      </c>
      <c r="E1404" t="s">
        <v>37</v>
      </c>
      <c r="F1404" t="s">
        <v>31</v>
      </c>
      <c r="G1404">
        <v>3600</v>
      </c>
      <c r="H1404">
        <v>45</v>
      </c>
      <c r="I1404" t="s">
        <v>34</v>
      </c>
      <c r="J1404" t="str">
        <f>_xlfn.XLOOKUP(C1404,'product_masterlist(ifs)'!A:A,'product_masterlist(ifs)'!C:C,"N/A",0)</f>
        <v>Surgical</v>
      </c>
      <c r="K1404">
        <f>VLOOKUP(C1404,'product_masterlist(ifs)'!A:I,7,FALSE)</f>
        <v>15</v>
      </c>
    </row>
    <row r="1405" spans="1:11" x14ac:dyDescent="0.35">
      <c r="A1405" t="s">
        <v>1691</v>
      </c>
      <c r="B1405" s="1">
        <v>45993</v>
      </c>
      <c r="C1405" t="s">
        <v>33</v>
      </c>
      <c r="D1405">
        <v>18</v>
      </c>
      <c r="E1405" t="s">
        <v>37</v>
      </c>
      <c r="F1405" t="s">
        <v>18</v>
      </c>
      <c r="G1405">
        <v>2700</v>
      </c>
      <c r="H1405">
        <v>45</v>
      </c>
      <c r="I1405" t="s">
        <v>34</v>
      </c>
      <c r="J1405" t="str">
        <f>_xlfn.XLOOKUP(C1405,'product_masterlist(ifs)'!A:A,'product_masterlist(ifs)'!C:C,"N/A",0)</f>
        <v>Surgical</v>
      </c>
      <c r="K1405">
        <f>VLOOKUP(C1405,'product_masterlist(ifs)'!A:I,7,FALSE)</f>
        <v>15</v>
      </c>
    </row>
    <row r="1406" spans="1:11" x14ac:dyDescent="0.35">
      <c r="A1406" t="s">
        <v>1692</v>
      </c>
      <c r="B1406" t="s">
        <v>575</v>
      </c>
      <c r="C1406" t="s">
        <v>26</v>
      </c>
      <c r="D1406">
        <v>10</v>
      </c>
      <c r="E1406" t="s">
        <v>37</v>
      </c>
      <c r="F1406" t="s">
        <v>18</v>
      </c>
      <c r="G1406">
        <v>125</v>
      </c>
      <c r="H1406">
        <v>14</v>
      </c>
      <c r="I1406" t="s">
        <v>28</v>
      </c>
      <c r="J1406" t="str">
        <f>_xlfn.XLOOKUP(C1406,'product_masterlist(ifs)'!A:A,'product_masterlist(ifs)'!C:C,"N/A",0)</f>
        <v>Contact Lenses</v>
      </c>
      <c r="K1406">
        <f>VLOOKUP(C1406,'product_masterlist(ifs)'!A:I,7,FALSE)</f>
        <v>450</v>
      </c>
    </row>
    <row r="1407" spans="1:11" x14ac:dyDescent="0.35">
      <c r="A1407" t="s">
        <v>1693</v>
      </c>
      <c r="B1407" s="1">
        <v>45781</v>
      </c>
      <c r="C1407" t="s">
        <v>17</v>
      </c>
      <c r="D1407">
        <v>11</v>
      </c>
      <c r="E1407" t="s">
        <v>37</v>
      </c>
      <c r="F1407" t="s">
        <v>23</v>
      </c>
      <c r="G1407">
        <v>495</v>
      </c>
      <c r="H1407">
        <v>30</v>
      </c>
      <c r="I1407" t="s">
        <v>14</v>
      </c>
      <c r="J1407" t="str">
        <f>_xlfn.XLOOKUP(C1407,'product_masterlist(ifs)'!A:A,'product_masterlist(ifs)'!C:C,"N/A",0)</f>
        <v>Frames</v>
      </c>
      <c r="K1407">
        <f>VLOOKUP(C1407,'product_masterlist(ifs)'!A:I,7,FALSE)</f>
        <v>45</v>
      </c>
    </row>
    <row r="1408" spans="1:11" x14ac:dyDescent="0.35">
      <c r="A1408" t="s">
        <v>1694</v>
      </c>
      <c r="B1408" t="s">
        <v>379</v>
      </c>
      <c r="C1408" t="s">
        <v>17</v>
      </c>
      <c r="D1408">
        <v>23</v>
      </c>
      <c r="E1408" t="s">
        <v>12</v>
      </c>
      <c r="F1408" t="s">
        <v>23</v>
      </c>
      <c r="G1408">
        <v>1035</v>
      </c>
      <c r="H1408">
        <v>30</v>
      </c>
      <c r="I1408" t="s">
        <v>14</v>
      </c>
      <c r="J1408" t="str">
        <f>_xlfn.XLOOKUP(C1408,'product_masterlist(ifs)'!A:A,'product_masterlist(ifs)'!C:C,"N/A",0)</f>
        <v>Frames</v>
      </c>
      <c r="K1408">
        <f>VLOOKUP(C1408,'product_masterlist(ifs)'!A:I,7,FALSE)</f>
        <v>45</v>
      </c>
    </row>
    <row r="1409" spans="1:11" x14ac:dyDescent="0.35">
      <c r="A1409" t="s">
        <v>1695</v>
      </c>
      <c r="B1409" s="1">
        <v>45969</v>
      </c>
      <c r="C1409" t="s">
        <v>42</v>
      </c>
      <c r="D1409">
        <v>8</v>
      </c>
      <c r="E1409" t="s">
        <v>37</v>
      </c>
      <c r="F1409" t="s">
        <v>18</v>
      </c>
      <c r="G1409">
        <v>200</v>
      </c>
      <c r="H1409">
        <v>21</v>
      </c>
      <c r="I1409" t="s">
        <v>14</v>
      </c>
      <c r="J1409" t="str">
        <f>_xlfn.XLOOKUP(C1409,'product_masterlist(ifs)'!A:A,'product_masterlist(ifs)'!C:C,"N/A",0)</f>
        <v>Contact Lenses</v>
      </c>
      <c r="K1409">
        <f>VLOOKUP(C1409,'product_masterlist(ifs)'!A:I,7,FALSE)</f>
        <v>120</v>
      </c>
    </row>
    <row r="1410" spans="1:11" x14ac:dyDescent="0.35">
      <c r="A1410" t="s">
        <v>1696</v>
      </c>
      <c r="B1410" t="s">
        <v>1697</v>
      </c>
      <c r="C1410" t="s">
        <v>33</v>
      </c>
      <c r="D1410">
        <v>17</v>
      </c>
      <c r="E1410" t="s">
        <v>37</v>
      </c>
      <c r="F1410" t="s">
        <v>31</v>
      </c>
      <c r="G1410">
        <v>2550</v>
      </c>
      <c r="H1410">
        <v>45</v>
      </c>
      <c r="I1410" t="s">
        <v>34</v>
      </c>
      <c r="J1410" t="str">
        <f>_xlfn.XLOOKUP(C1410,'product_masterlist(ifs)'!A:A,'product_masterlist(ifs)'!C:C,"N/A",0)</f>
        <v>Surgical</v>
      </c>
      <c r="K1410">
        <f>VLOOKUP(C1410,'product_masterlist(ifs)'!A:I,7,FALSE)</f>
        <v>15</v>
      </c>
    </row>
    <row r="1411" spans="1:11" x14ac:dyDescent="0.35">
      <c r="A1411" t="s">
        <v>1698</v>
      </c>
      <c r="B1411" t="s">
        <v>210</v>
      </c>
      <c r="C1411" t="s">
        <v>90</v>
      </c>
      <c r="D1411">
        <v>7</v>
      </c>
      <c r="E1411" t="s">
        <v>37</v>
      </c>
      <c r="F1411" t="s">
        <v>31</v>
      </c>
      <c r="G1411" t="s">
        <v>181</v>
      </c>
      <c r="H1411">
        <v>30</v>
      </c>
      <c r="I1411" t="s">
        <v>14</v>
      </c>
      <c r="J1411" t="str">
        <f>_xlfn.XLOOKUP(C1411,'product_masterlist(ifs)'!A:A,'product_masterlist(ifs)'!C:C,"N/A",0)</f>
        <v>Frames</v>
      </c>
      <c r="K1411">
        <f>VLOOKUP(C1411,'product_masterlist(ifs)'!A:I,7,FALSE)</f>
        <v>180</v>
      </c>
    </row>
    <row r="1412" spans="1:11" x14ac:dyDescent="0.35">
      <c r="A1412" t="s">
        <v>1699</v>
      </c>
      <c r="B1412" t="s">
        <v>763</v>
      </c>
      <c r="C1412" t="s">
        <v>42</v>
      </c>
      <c r="D1412">
        <v>2</v>
      </c>
      <c r="E1412" t="s">
        <v>37</v>
      </c>
      <c r="F1412" t="s">
        <v>23</v>
      </c>
      <c r="G1412">
        <v>50</v>
      </c>
      <c r="H1412">
        <v>21</v>
      </c>
      <c r="I1412" t="s">
        <v>14</v>
      </c>
      <c r="J1412" t="str">
        <f>_xlfn.XLOOKUP(C1412,'product_masterlist(ifs)'!A:A,'product_masterlist(ifs)'!C:C,"N/A",0)</f>
        <v>Contact Lenses</v>
      </c>
      <c r="K1412">
        <f>VLOOKUP(C1412,'product_masterlist(ifs)'!A:I,7,FALSE)</f>
        <v>120</v>
      </c>
    </row>
    <row r="1413" spans="1:11" x14ac:dyDescent="0.35">
      <c r="A1413" t="s">
        <v>1700</v>
      </c>
      <c r="B1413" t="s">
        <v>36</v>
      </c>
      <c r="C1413" t="s">
        <v>33</v>
      </c>
      <c r="D1413">
        <v>25</v>
      </c>
      <c r="E1413" t="s">
        <v>20</v>
      </c>
      <c r="F1413" t="s">
        <v>31</v>
      </c>
      <c r="G1413">
        <v>3750</v>
      </c>
      <c r="H1413">
        <v>45</v>
      </c>
      <c r="I1413" t="s">
        <v>34</v>
      </c>
      <c r="J1413" t="str">
        <f>_xlfn.XLOOKUP(C1413,'product_masterlist(ifs)'!A:A,'product_masterlist(ifs)'!C:C,"N/A",0)</f>
        <v>Surgical</v>
      </c>
      <c r="K1413">
        <f>VLOOKUP(C1413,'product_masterlist(ifs)'!A:I,7,FALSE)</f>
        <v>15</v>
      </c>
    </row>
    <row r="1414" spans="1:11" x14ac:dyDescent="0.35">
      <c r="A1414" t="s">
        <v>1701</v>
      </c>
      <c r="B1414" s="1">
        <v>45839</v>
      </c>
      <c r="C1414" t="s">
        <v>11</v>
      </c>
      <c r="D1414">
        <v>7</v>
      </c>
      <c r="E1414" t="s">
        <v>37</v>
      </c>
      <c r="F1414" t="s">
        <v>13</v>
      </c>
      <c r="G1414">
        <v>595</v>
      </c>
      <c r="H1414">
        <v>30</v>
      </c>
      <c r="I1414" t="s">
        <v>14</v>
      </c>
      <c r="J1414" t="str">
        <f>_xlfn.XLOOKUP(C1414,'product_masterlist(ifs)'!A:A,'product_masterlist(ifs)'!C:C,"N/A",0)</f>
        <v>Surgical</v>
      </c>
      <c r="K1414">
        <f>VLOOKUP(C1414,'product_masterlist(ifs)'!A:I,7,FALSE)</f>
        <v>40</v>
      </c>
    </row>
    <row r="1415" spans="1:11" x14ac:dyDescent="0.35">
      <c r="A1415" t="s">
        <v>1702</v>
      </c>
      <c r="B1415" t="s">
        <v>690</v>
      </c>
      <c r="C1415" t="s">
        <v>17</v>
      </c>
      <c r="D1415">
        <v>19</v>
      </c>
      <c r="E1415" t="s">
        <v>22</v>
      </c>
      <c r="F1415" t="s">
        <v>18</v>
      </c>
      <c r="G1415">
        <v>855</v>
      </c>
      <c r="H1415">
        <v>30</v>
      </c>
      <c r="I1415" t="s">
        <v>14</v>
      </c>
      <c r="J1415" t="str">
        <f>_xlfn.XLOOKUP(C1415,'product_masterlist(ifs)'!A:A,'product_masterlist(ifs)'!C:C,"N/A",0)</f>
        <v>Frames</v>
      </c>
      <c r="K1415">
        <f>VLOOKUP(C1415,'product_masterlist(ifs)'!A:I,7,FALSE)</f>
        <v>45</v>
      </c>
    </row>
    <row r="1416" spans="1:11" x14ac:dyDescent="0.35">
      <c r="A1416" t="s">
        <v>1703</v>
      </c>
      <c r="B1416" t="s">
        <v>553</v>
      </c>
      <c r="C1416" t="s">
        <v>26</v>
      </c>
      <c r="D1416">
        <v>11</v>
      </c>
      <c r="E1416" t="s">
        <v>22</v>
      </c>
      <c r="F1416" t="s">
        <v>31</v>
      </c>
      <c r="G1416" t="s">
        <v>47</v>
      </c>
      <c r="H1416">
        <v>14</v>
      </c>
      <c r="I1416" t="s">
        <v>28</v>
      </c>
      <c r="J1416" t="str">
        <f>_xlfn.XLOOKUP(C1416,'product_masterlist(ifs)'!A:A,'product_masterlist(ifs)'!C:C,"N/A",0)</f>
        <v>Contact Lenses</v>
      </c>
      <c r="K1416">
        <f>VLOOKUP(C1416,'product_masterlist(ifs)'!A:I,7,FALSE)</f>
        <v>450</v>
      </c>
    </row>
  </sheetData>
  <autoFilter ref="A1:K1416" xr:uid="{8BEF5A5D-BB02-43AF-B59C-6A32F515F4FF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inventory_transactions(lookups)</vt:lpstr>
      <vt:lpstr>product_masterlist(ifs)</vt:lpstr>
      <vt:lpstr>product_summary (Hlookup)</vt:lpstr>
      <vt:lpstr>inventory_transactions(countif)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lenovoindonesia31122024@outlook.com</cp:lastModifiedBy>
  <dcterms:created xsi:type="dcterms:W3CDTF">2026-10-22T09:39:51Z</dcterms:created>
  <dcterms:modified xsi:type="dcterms:W3CDTF">2026-10-23T10:34:41Z</dcterms:modified>
</cp:coreProperties>
</file>