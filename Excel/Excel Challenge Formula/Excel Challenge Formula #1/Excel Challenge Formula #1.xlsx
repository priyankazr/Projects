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\Excel Challenge Formula\"/>
    </mc:Choice>
  </mc:AlternateContent>
  <xr:revisionPtr revIDLastSave="0" documentId="13_ncr:1_{E5BCC80C-D590-45DA-AB19-71BF14F5B470}" xr6:coauthVersionLast="47" xr6:coauthVersionMax="47" xr10:uidLastSave="{00000000-0000-0000-0000-000000000000}"/>
  <bookViews>
    <workbookView xWindow="9510" yWindow="0" windowWidth="9780" windowHeight="10170" firstSheet="2" activeTab="2" xr2:uid="{9EF691BF-6EB7-4835-85A2-9D7E42D09148}"/>
  </bookViews>
  <sheets>
    <sheet name="sales new" sheetId="2" r:id="rId1"/>
    <sheet name="employees" sheetId="4" r:id="rId2"/>
    <sheet name="monthly targe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C8" i="6"/>
  <c r="A24" i="2"/>
  <c r="G3" i="2"/>
  <c r="F18" i="2"/>
  <c r="F3" i="2"/>
  <c r="F10" i="4"/>
  <c r="F4" i="4"/>
  <c r="F5" i="4"/>
  <c r="F6" i="4"/>
  <c r="F7" i="4"/>
  <c r="F8" i="4"/>
  <c r="F9" i="4"/>
  <c r="F11" i="4"/>
  <c r="F12" i="4"/>
  <c r="F3" i="4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</calcChain>
</file>

<file path=xl/sharedStrings.xml><?xml version="1.0" encoding="utf-8"?>
<sst xmlns="http://schemas.openxmlformats.org/spreadsheetml/2006/main" count="128" uniqueCount="81">
  <si>
    <t>Transaction_ID</t>
  </si>
  <si>
    <t>Region</t>
  </si>
  <si>
    <t>North</t>
  </si>
  <si>
    <t>Ben</t>
  </si>
  <si>
    <t>South</t>
  </si>
  <si>
    <t>Clara</t>
  </si>
  <si>
    <t>East</t>
  </si>
  <si>
    <t>David</t>
  </si>
  <si>
    <t>Emma</t>
  </si>
  <si>
    <t>West</t>
  </si>
  <si>
    <t>Frank</t>
  </si>
  <si>
    <t>Grace</t>
  </si>
  <si>
    <t>Henry</t>
  </si>
  <si>
    <t>Isabel</t>
  </si>
  <si>
    <t>Jack</t>
  </si>
  <si>
    <t>Unit_Price</t>
  </si>
  <si>
    <t>Laptop</t>
  </si>
  <si>
    <t>Keyboard</t>
  </si>
  <si>
    <t>Monitor</t>
  </si>
  <si>
    <t>Desk</t>
  </si>
  <si>
    <t>Mouse</t>
  </si>
  <si>
    <t>Employee_ID</t>
  </si>
  <si>
    <t>Employee_Name</t>
  </si>
  <si>
    <t>Department</t>
  </si>
  <si>
    <t>Anna</t>
  </si>
  <si>
    <t>Marketing</t>
  </si>
  <si>
    <t>Sales</t>
  </si>
  <si>
    <t>Finance</t>
  </si>
  <si>
    <t>Operations</t>
  </si>
  <si>
    <t>Metric</t>
  </si>
  <si>
    <t>January</t>
  </si>
  <si>
    <t>February</t>
  </si>
  <si>
    <t>March</t>
  </si>
  <si>
    <t>April</t>
  </si>
  <si>
    <t>May</t>
  </si>
  <si>
    <t>June</t>
  </si>
  <si>
    <t>Level</t>
  </si>
  <si>
    <t>E101</t>
  </si>
  <si>
    <t>Junior</t>
  </si>
  <si>
    <t>E102</t>
  </si>
  <si>
    <t>Senior</t>
  </si>
  <si>
    <t>E103</t>
  </si>
  <si>
    <t>Mid</t>
  </si>
  <si>
    <t>E104</t>
  </si>
  <si>
    <t>E105</t>
  </si>
  <si>
    <t>E106</t>
  </si>
  <si>
    <t>E107</t>
  </si>
  <si>
    <t>E108</t>
  </si>
  <si>
    <t>E109</t>
  </si>
  <si>
    <t>E110</t>
  </si>
  <si>
    <t>Product</t>
  </si>
  <si>
    <t>Units_Sold</t>
  </si>
  <si>
    <t>T001</t>
  </si>
  <si>
    <t>T002</t>
  </si>
  <si>
    <t>T003</t>
  </si>
  <si>
    <t>T004</t>
  </si>
  <si>
    <t>T005</t>
  </si>
  <si>
    <t>T006</t>
  </si>
  <si>
    <t>T007</t>
  </si>
  <si>
    <t>T008</t>
  </si>
  <si>
    <t>Chair</t>
  </si>
  <si>
    <t>T009</t>
  </si>
  <si>
    <t>T010</t>
  </si>
  <si>
    <t>T011</t>
  </si>
  <si>
    <t>T012</t>
  </si>
  <si>
    <t>T013</t>
  </si>
  <si>
    <t>T014</t>
  </si>
  <si>
    <t>T015</t>
  </si>
  <si>
    <t>Revenue</t>
  </si>
  <si>
    <t>Orders</t>
  </si>
  <si>
    <t>Customers</t>
  </si>
  <si>
    <t>empoyee_name</t>
  </si>
  <si>
    <t>E115</t>
  </si>
  <si>
    <t>T016</t>
  </si>
  <si>
    <t>Question!</t>
  </si>
  <si>
    <t>revenue target for May</t>
  </si>
  <si>
    <t>XLOOKUP</t>
  </si>
  <si>
    <t>VLOOKUP</t>
  </si>
  <si>
    <t>customers for April</t>
  </si>
  <si>
    <t>HLOOKUP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</si>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</sst>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21</xdr:row>
      <xdr:rowOff>50800</xdr:rowOff>
    </xdr:from>
    <xdr:to>
      <xdr:col>5</xdr:col>
      <xdr:colOff>361950</xdr:colOff>
      <xdr:row>22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23A119-058C-3815-FAF2-65A2E77D56C9}"/>
            </a:ext>
          </a:extLst>
        </xdr:cNvPr>
        <xdr:cNvSpPr txBox="1"/>
      </xdr:nvSpPr>
      <xdr:spPr>
        <a:xfrm>
          <a:off x="44450" y="3917950"/>
          <a:ext cx="386715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What's the employee_id whose named Grace?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F29E-7CA6-4787-B6A2-409C4D567849}">
  <dimension ref="A1:G24"/>
  <sheetViews>
    <sheetView topLeftCell="A7" zoomScale="90" workbookViewId="0">
      <selection activeCell="A24" sqref="A24"/>
    </sheetView>
  </sheetViews>
  <sheetFormatPr defaultRowHeight="14.5" x14ac:dyDescent="0.35"/>
  <cols>
    <col min="1" max="1" width="9.7265625" bestFit="1" customWidth="1"/>
    <col min="2" max="2" width="12.90625" bestFit="1" customWidth="1"/>
    <col min="3" max="3" width="10.7265625" bestFit="1" customWidth="1"/>
    <col min="4" max="4" width="9.6328125" customWidth="1"/>
    <col min="6" max="6" width="13.6328125" bestFit="1" customWidth="1"/>
    <col min="7" max="7" width="12.1796875" customWidth="1"/>
  </cols>
  <sheetData>
    <row r="1" spans="1:7" x14ac:dyDescent="0.35">
      <c r="F1" s="1" t="s">
        <v>76</v>
      </c>
      <c r="G1" s="1" t="s">
        <v>77</v>
      </c>
    </row>
    <row r="2" spans="1:7" x14ac:dyDescent="0.35">
      <c r="A2" t="s">
        <v>0</v>
      </c>
      <c r="B2" t="s">
        <v>21</v>
      </c>
      <c r="C2" t="s">
        <v>50</v>
      </c>
      <c r="D2" t="s">
        <v>51</v>
      </c>
      <c r="E2" t="s">
        <v>15</v>
      </c>
      <c r="F2" t="s">
        <v>71</v>
      </c>
      <c r="G2" t="s">
        <v>1</v>
      </c>
    </row>
    <row r="3" spans="1:7" x14ac:dyDescent="0.35">
      <c r="A3" t="s">
        <v>52</v>
      </c>
      <c r="B3" t="s">
        <v>39</v>
      </c>
      <c r="C3" t="s">
        <v>16</v>
      </c>
      <c r="D3">
        <v>12</v>
      </c>
      <c r="E3">
        <v>750</v>
      </c>
      <c r="F3" t="str">
        <f>_xlfn.XLOOKUP(B3,employees!A:A,employees!B:B,,)</f>
        <v>Ben</v>
      </c>
      <c r="G3" t="str">
        <f>VLOOKUP(B3,employees!A:E,5,)</f>
        <v>South</v>
      </c>
    </row>
    <row r="4" spans="1:7" x14ac:dyDescent="0.35">
      <c r="A4" t="s">
        <v>53</v>
      </c>
      <c r="B4" t="s">
        <v>43</v>
      </c>
      <c r="C4" t="s">
        <v>18</v>
      </c>
      <c r="D4">
        <v>18</v>
      </c>
      <c r="E4">
        <v>220</v>
      </c>
      <c r="F4" t="str">
        <f>_xlfn.XLOOKUP(B4,employees!A:A,employees!B:B,,)</f>
        <v>David</v>
      </c>
      <c r="G4" t="str">
        <f>VLOOKUP(B4,employees!A:E,5,)</f>
        <v>North</v>
      </c>
    </row>
    <row r="5" spans="1:7" x14ac:dyDescent="0.35">
      <c r="A5" t="s">
        <v>54</v>
      </c>
      <c r="B5" t="s">
        <v>46</v>
      </c>
      <c r="C5" t="s">
        <v>17</v>
      </c>
      <c r="D5">
        <v>35</v>
      </c>
      <c r="E5">
        <v>45</v>
      </c>
      <c r="F5" t="str">
        <f>_xlfn.XLOOKUP(B5,employees!A:A,employees!B:B,,)</f>
        <v>Grace</v>
      </c>
      <c r="G5" t="str">
        <f>VLOOKUP(B5,employees!A:E,5,)</f>
        <v>East</v>
      </c>
    </row>
    <row r="6" spans="1:7" x14ac:dyDescent="0.35">
      <c r="A6" t="s">
        <v>55</v>
      </c>
      <c r="B6" t="s">
        <v>37</v>
      </c>
      <c r="C6" t="s">
        <v>20</v>
      </c>
      <c r="D6">
        <v>40</v>
      </c>
      <c r="E6">
        <v>25</v>
      </c>
      <c r="F6" t="str">
        <f>_xlfn.XLOOKUP(B6,employees!A:A,employees!B:B,,)</f>
        <v>Anna</v>
      </c>
      <c r="G6" t="str">
        <f>VLOOKUP(B6,employees!A:E,5,)</f>
        <v>North</v>
      </c>
    </row>
    <row r="7" spans="1:7" x14ac:dyDescent="0.35">
      <c r="A7" t="s">
        <v>56</v>
      </c>
      <c r="B7" t="s">
        <v>49</v>
      </c>
      <c r="C7" t="s">
        <v>16</v>
      </c>
      <c r="D7">
        <v>7</v>
      </c>
      <c r="E7">
        <v>750</v>
      </c>
      <c r="F7" t="str">
        <f>_xlfn.XLOOKUP(B7,employees!A:A,employees!B:B,,)</f>
        <v>Jack</v>
      </c>
      <c r="G7" t="str">
        <f>VLOOKUP(B7,employees!A:E,5,)</f>
        <v>South</v>
      </c>
    </row>
    <row r="8" spans="1:7" x14ac:dyDescent="0.35">
      <c r="A8" t="s">
        <v>57</v>
      </c>
      <c r="B8" t="s">
        <v>41</v>
      </c>
      <c r="C8" t="s">
        <v>19</v>
      </c>
      <c r="D8">
        <v>10</v>
      </c>
      <c r="E8">
        <v>300</v>
      </c>
      <c r="F8" t="str">
        <f>_xlfn.XLOOKUP(B8,employees!A:A,employees!B:B,,)</f>
        <v>Clara</v>
      </c>
      <c r="G8" t="str">
        <f>VLOOKUP(B8,employees!A:E,5,)</f>
        <v>East</v>
      </c>
    </row>
    <row r="9" spans="1:7" x14ac:dyDescent="0.35">
      <c r="A9" t="s">
        <v>58</v>
      </c>
      <c r="B9" t="s">
        <v>39</v>
      </c>
      <c r="C9" t="s">
        <v>18</v>
      </c>
      <c r="D9">
        <v>14</v>
      </c>
      <c r="E9">
        <v>220</v>
      </c>
      <c r="F9" t="str">
        <f>_xlfn.XLOOKUP(B9,employees!A:A,employees!B:B,,)</f>
        <v>Ben</v>
      </c>
      <c r="G9" t="str">
        <f>VLOOKUP(B9,employees!A:E,5,)</f>
        <v>South</v>
      </c>
    </row>
    <row r="10" spans="1:7" x14ac:dyDescent="0.35">
      <c r="A10" t="s">
        <v>59</v>
      </c>
      <c r="B10" t="s">
        <v>48</v>
      </c>
      <c r="C10" t="s">
        <v>60</v>
      </c>
      <c r="D10">
        <v>16</v>
      </c>
      <c r="E10">
        <v>120</v>
      </c>
      <c r="F10" t="str">
        <f>_xlfn.XLOOKUP(B10,employees!A:A,employees!B:B,,)</f>
        <v>Isabel</v>
      </c>
      <c r="G10" t="str">
        <f>VLOOKUP(B10,employees!A:E,5,)</f>
        <v>North</v>
      </c>
    </row>
    <row r="11" spans="1:7" x14ac:dyDescent="0.35">
      <c r="A11" t="s">
        <v>61</v>
      </c>
      <c r="B11" t="s">
        <v>45</v>
      </c>
      <c r="C11" t="s">
        <v>17</v>
      </c>
      <c r="D11">
        <v>28</v>
      </c>
      <c r="E11">
        <v>45</v>
      </c>
      <c r="F11" t="str">
        <f>_xlfn.XLOOKUP(B11,employees!A:A,employees!B:B,,)</f>
        <v>Frank</v>
      </c>
      <c r="G11" t="str">
        <f>VLOOKUP(B11,employees!A:E,5,)</f>
        <v>South</v>
      </c>
    </row>
    <row r="12" spans="1:7" x14ac:dyDescent="0.35">
      <c r="A12" t="s">
        <v>62</v>
      </c>
      <c r="B12" t="s">
        <v>46</v>
      </c>
      <c r="C12" t="s">
        <v>16</v>
      </c>
      <c r="D12">
        <v>9</v>
      </c>
      <c r="E12">
        <v>750</v>
      </c>
      <c r="F12" t="str">
        <f>_xlfn.XLOOKUP(B12,employees!A:A,employees!B:B,,)</f>
        <v>Grace</v>
      </c>
      <c r="G12" t="str">
        <f>VLOOKUP(B12,employees!A:E,5,)</f>
        <v>East</v>
      </c>
    </row>
    <row r="13" spans="1:7" x14ac:dyDescent="0.35">
      <c r="A13" t="s">
        <v>63</v>
      </c>
      <c r="B13" t="s">
        <v>43</v>
      </c>
      <c r="C13" t="s">
        <v>20</v>
      </c>
      <c r="D13">
        <v>32</v>
      </c>
      <c r="E13">
        <v>25</v>
      </c>
      <c r="F13" t="str">
        <f>_xlfn.XLOOKUP(B13,employees!A:A,employees!B:B,,)</f>
        <v>David</v>
      </c>
      <c r="G13" t="str">
        <f>VLOOKUP(B13,employees!A:E,5,)</f>
        <v>North</v>
      </c>
    </row>
    <row r="14" spans="1:7" x14ac:dyDescent="0.35">
      <c r="A14" t="s">
        <v>64</v>
      </c>
      <c r="B14" t="s">
        <v>44</v>
      </c>
      <c r="C14" t="s">
        <v>19</v>
      </c>
      <c r="D14">
        <v>11</v>
      </c>
      <c r="E14">
        <v>300</v>
      </c>
      <c r="F14" t="str">
        <f>_xlfn.XLOOKUP(B14,employees!A:A,employees!B:B,,)</f>
        <v>Emma</v>
      </c>
      <c r="G14" t="str">
        <f>VLOOKUP(B14,employees!A:E,5,)</f>
        <v>West</v>
      </c>
    </row>
    <row r="15" spans="1:7" x14ac:dyDescent="0.35">
      <c r="A15" t="s">
        <v>65</v>
      </c>
      <c r="B15" t="s">
        <v>49</v>
      </c>
      <c r="C15" t="s">
        <v>18</v>
      </c>
      <c r="D15">
        <v>20</v>
      </c>
      <c r="E15">
        <v>220</v>
      </c>
      <c r="F15" t="str">
        <f>_xlfn.XLOOKUP(B15,employees!A:A,employees!B:B,,)</f>
        <v>Jack</v>
      </c>
      <c r="G15" t="str">
        <f>VLOOKUP(B15,employees!A:E,5,)</f>
        <v>South</v>
      </c>
    </row>
    <row r="16" spans="1:7" x14ac:dyDescent="0.35">
      <c r="A16" t="s">
        <v>66</v>
      </c>
      <c r="B16" t="s">
        <v>41</v>
      </c>
      <c r="C16" t="s">
        <v>60</v>
      </c>
      <c r="D16">
        <v>13</v>
      </c>
      <c r="E16">
        <v>120</v>
      </c>
      <c r="F16" t="str">
        <f>_xlfn.XLOOKUP(B16,employees!A:A,employees!B:B,,)</f>
        <v>Clara</v>
      </c>
      <c r="G16" t="str">
        <f>VLOOKUP(B16,employees!A:E,5,)</f>
        <v>East</v>
      </c>
    </row>
    <row r="17" spans="1:7" x14ac:dyDescent="0.35">
      <c r="A17" t="s">
        <v>67</v>
      </c>
      <c r="B17" t="s">
        <v>39</v>
      </c>
      <c r="C17" t="s">
        <v>17</v>
      </c>
      <c r="D17">
        <v>45</v>
      </c>
      <c r="E17">
        <v>45</v>
      </c>
      <c r="F17" t="str">
        <f>_xlfn.XLOOKUP(B17,employees!A:A,employees!B:B,,)</f>
        <v>Ben</v>
      </c>
      <c r="G17" t="str">
        <f>VLOOKUP(B17,employees!A:E,5,)</f>
        <v>South</v>
      </c>
    </row>
    <row r="18" spans="1:7" x14ac:dyDescent="0.35">
      <c r="A18" t="s">
        <v>73</v>
      </c>
      <c r="B18" t="s">
        <v>72</v>
      </c>
      <c r="C18" t="s">
        <v>18</v>
      </c>
      <c r="D18">
        <v>15</v>
      </c>
      <c r="E18">
        <v>220</v>
      </c>
      <c r="F18" s="1" t="str">
        <f>_xlfn.XLOOKUP(B18,employees!A:A,employees!B:B,"Not Found",)</f>
        <v>Not Found</v>
      </c>
      <c r="G18" s="1" t="e">
        <f>VLOOKUP(B18,employees!A:E,5,)</f>
        <v>#N/A</v>
      </c>
    </row>
    <row r="20" spans="1:7" x14ac:dyDescent="0.35">
      <c r="A20" s="1" t="s">
        <v>74</v>
      </c>
    </row>
    <row r="24" spans="1:7" x14ac:dyDescent="0.35">
      <c r="A24" t="str">
        <f>_xlfn.XLOOKUP("Grace",F:F,B:B,,)</f>
        <v>E107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4164-274D-40F1-B1F2-96CDC36D08BD}">
  <dimension ref="A1:F12"/>
  <sheetViews>
    <sheetView workbookViewId="0">
      <selection activeCell="M9" sqref="M9"/>
    </sheetView>
  </sheetViews>
  <sheetFormatPr defaultRowHeight="14.5" x14ac:dyDescent="0.35"/>
  <cols>
    <col min="1" max="1" width="11.1796875" bestFit="1" customWidth="1"/>
    <col min="4" max="4" width="13" bestFit="1" customWidth="1"/>
    <col min="6" max="6" width="9.81640625" customWidth="1"/>
  </cols>
  <sheetData>
    <row r="1" spans="1:6" x14ac:dyDescent="0.35">
      <c r="F1" s="1" t="s">
        <v>76</v>
      </c>
    </row>
    <row r="2" spans="1:6" x14ac:dyDescent="0.35">
      <c r="A2" t="s">
        <v>21</v>
      </c>
      <c r="B2" t="s">
        <v>22</v>
      </c>
      <c r="C2" t="s">
        <v>23</v>
      </c>
      <c r="D2" t="s">
        <v>36</v>
      </c>
      <c r="E2" t="s">
        <v>1</v>
      </c>
      <c r="F2" t="s">
        <v>80</v>
      </c>
    </row>
    <row r="3" spans="1:6" x14ac:dyDescent="0.35">
      <c r="A3" t="s">
        <v>37</v>
      </c>
      <c r="B3" t="s">
        <v>24</v>
      </c>
      <c r="C3" t="s">
        <v>25</v>
      </c>
      <c r="D3" t="s">
        <v>38</v>
      </c>
      <c r="E3" t="s">
        <v>2</v>
      </c>
      <c r="F3" t="str">
        <f>_xlfn.XLOOKUP(A3,'sales new'!B:B,'sales new'!C:C,,0)</f>
        <v>Mouse</v>
      </c>
    </row>
    <row r="4" spans="1:6" x14ac:dyDescent="0.35">
      <c r="A4" t="s">
        <v>39</v>
      </c>
      <c r="B4" t="s">
        <v>3</v>
      </c>
      <c r="C4" t="s">
        <v>26</v>
      </c>
      <c r="D4" t="s">
        <v>40</v>
      </c>
      <c r="E4" t="s">
        <v>4</v>
      </c>
      <c r="F4" t="str">
        <f>_xlfn.XLOOKUP(A4,'sales new'!B:B,'sales new'!C:C,,0)</f>
        <v>Laptop</v>
      </c>
    </row>
    <row r="5" spans="1:6" x14ac:dyDescent="0.35">
      <c r="A5" t="s">
        <v>41</v>
      </c>
      <c r="B5" t="s">
        <v>5</v>
      </c>
      <c r="C5" t="s">
        <v>27</v>
      </c>
      <c r="D5" t="s">
        <v>42</v>
      </c>
      <c r="E5" t="s">
        <v>6</v>
      </c>
      <c r="F5" t="str">
        <f>_xlfn.XLOOKUP(A5,'sales new'!B:B,'sales new'!C:C,,0)</f>
        <v>Desk</v>
      </c>
    </row>
    <row r="6" spans="1:6" x14ac:dyDescent="0.35">
      <c r="A6" t="s">
        <v>43</v>
      </c>
      <c r="B6" t="s">
        <v>7</v>
      </c>
      <c r="C6" t="s">
        <v>26</v>
      </c>
      <c r="D6" t="s">
        <v>38</v>
      </c>
      <c r="E6" t="s">
        <v>2</v>
      </c>
      <c r="F6" t="str">
        <f>_xlfn.XLOOKUP(A6,'sales new'!B:B,'sales new'!C:C,,0)</f>
        <v>Monitor</v>
      </c>
    </row>
    <row r="7" spans="1:6" x14ac:dyDescent="0.35">
      <c r="A7" t="s">
        <v>44</v>
      </c>
      <c r="B7" t="s">
        <v>8</v>
      </c>
      <c r="C7" t="s">
        <v>28</v>
      </c>
      <c r="D7" t="s">
        <v>40</v>
      </c>
      <c r="E7" t="s">
        <v>9</v>
      </c>
      <c r="F7" t="str">
        <f>_xlfn.XLOOKUP(A7,'sales new'!B:B,'sales new'!C:C,,0)</f>
        <v>Desk</v>
      </c>
    </row>
    <row r="8" spans="1:6" x14ac:dyDescent="0.35">
      <c r="A8" t="s">
        <v>45</v>
      </c>
      <c r="B8" t="s">
        <v>10</v>
      </c>
      <c r="C8" t="s">
        <v>25</v>
      </c>
      <c r="D8" t="s">
        <v>42</v>
      </c>
      <c r="E8" t="s">
        <v>4</v>
      </c>
      <c r="F8" t="str">
        <f>_xlfn.XLOOKUP(A8,'sales new'!B:B,'sales new'!C:C,,0)</f>
        <v>Keyboard</v>
      </c>
    </row>
    <row r="9" spans="1:6" x14ac:dyDescent="0.35">
      <c r="A9" t="s">
        <v>46</v>
      </c>
      <c r="B9" t="s">
        <v>11</v>
      </c>
      <c r="C9" t="s">
        <v>26</v>
      </c>
      <c r="D9" t="s">
        <v>40</v>
      </c>
      <c r="E9" t="s">
        <v>6</v>
      </c>
      <c r="F9" t="str">
        <f>_xlfn.XLOOKUP(A9,'sales new'!B:B,'sales new'!C:C,,0)</f>
        <v>Keyboard</v>
      </c>
    </row>
    <row r="10" spans="1:6" x14ac:dyDescent="0.35">
      <c r="A10" t="s">
        <v>47</v>
      </c>
      <c r="B10" t="s">
        <v>12</v>
      </c>
      <c r="C10" t="s">
        <v>27</v>
      </c>
      <c r="D10" t="s">
        <v>38</v>
      </c>
      <c r="E10" t="s">
        <v>9</v>
      </c>
      <c r="F10" t="e">
        <f>_xlfn.XLOOKUP(A10,'sales new'!B:B,'sales new'!C:C,,0)</f>
        <v>#N/A</v>
      </c>
    </row>
    <row r="11" spans="1:6" x14ac:dyDescent="0.35">
      <c r="A11" t="s">
        <v>48</v>
      </c>
      <c r="B11" t="s">
        <v>13</v>
      </c>
      <c r="C11" t="s">
        <v>28</v>
      </c>
      <c r="D11" t="s">
        <v>42</v>
      </c>
      <c r="E11" t="s">
        <v>2</v>
      </c>
      <c r="F11" t="str">
        <f>_xlfn.XLOOKUP(A11,'sales new'!B:B,'sales new'!C:C,,0)</f>
        <v>Chair</v>
      </c>
    </row>
    <row r="12" spans="1:6" x14ac:dyDescent="0.35">
      <c r="A12" t="s">
        <v>49</v>
      </c>
      <c r="B12" t="s">
        <v>14</v>
      </c>
      <c r="C12" t="s">
        <v>26</v>
      </c>
      <c r="D12" t="s">
        <v>38</v>
      </c>
      <c r="E12" t="s">
        <v>4</v>
      </c>
      <c r="F12" t="str">
        <f>_xlfn.XLOOKUP(A12,'sales new'!B:B,'sales new'!C:C,,0)</f>
        <v>Laptop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1D99-7040-4F81-A06C-095D7FBE9CF1}">
  <dimension ref="A1:G9"/>
  <sheetViews>
    <sheetView tabSelected="1" workbookViewId="0">
      <selection activeCell="C10" sqref="C10"/>
    </sheetView>
  </sheetViews>
  <sheetFormatPr defaultRowHeight="14.5" x14ac:dyDescent="0.35"/>
  <cols>
    <col min="1" max="1" width="10.453125" customWidth="1"/>
    <col min="2" max="2" width="10.6328125" customWidth="1"/>
  </cols>
  <sheetData>
    <row r="1" spans="1:7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5">
      <c r="A2" t="s">
        <v>68</v>
      </c>
      <c r="B2">
        <v>12000</v>
      </c>
      <c r="C2">
        <v>14500</v>
      </c>
      <c r="D2">
        <v>16000</v>
      </c>
      <c r="E2">
        <v>15500</v>
      </c>
      <c r="F2">
        <v>18000</v>
      </c>
      <c r="G2">
        <v>20000</v>
      </c>
    </row>
    <row r="3" spans="1:7" x14ac:dyDescent="0.35">
      <c r="A3" t="s">
        <v>69</v>
      </c>
      <c r="B3">
        <v>85</v>
      </c>
      <c r="C3">
        <v>90</v>
      </c>
      <c r="D3">
        <v>105</v>
      </c>
      <c r="E3">
        <v>98</v>
      </c>
      <c r="F3">
        <v>115</v>
      </c>
      <c r="G3">
        <v>125</v>
      </c>
    </row>
    <row r="4" spans="1:7" x14ac:dyDescent="0.35">
      <c r="A4" t="s">
        <v>70</v>
      </c>
      <c r="B4">
        <v>60</v>
      </c>
      <c r="C4">
        <v>65</v>
      </c>
      <c r="D4">
        <v>72</v>
      </c>
      <c r="E4">
        <v>70</v>
      </c>
      <c r="F4">
        <v>80</v>
      </c>
      <c r="G4">
        <v>88</v>
      </c>
    </row>
    <row r="7" spans="1:7" x14ac:dyDescent="0.35">
      <c r="A7" s="1" t="s">
        <v>79</v>
      </c>
    </row>
    <row r="8" spans="1:7" x14ac:dyDescent="0.35">
      <c r="A8" s="2" t="s">
        <v>75</v>
      </c>
      <c r="B8" s="2"/>
      <c r="C8">
        <f>HLOOKUP(F1,A:G,2,)</f>
        <v>18000</v>
      </c>
    </row>
    <row r="9" spans="1:7" x14ac:dyDescent="0.35">
      <c r="A9" t="s">
        <v>78</v>
      </c>
      <c r="C9">
        <f>HLOOKUP(E1,A1:G4,4,FALSE)</f>
        <v>70</v>
      </c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new</vt:lpstr>
      <vt:lpstr>employees</vt:lpstr>
      <vt:lpstr>monthly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lenovoindonesia31122024@outlook.com</dc:creator>
  <cp:lastModifiedBy>lenovoindonesia31122024@outlook.com</cp:lastModifiedBy>
  <dcterms:created xsi:type="dcterms:W3CDTF">2026-10-20T10:05:02Z</dcterms:created>
  <dcterms:modified xsi:type="dcterms:W3CDTF">2026-10-23T08:36:20Z</dcterms:modified>
</cp:coreProperties>
</file>